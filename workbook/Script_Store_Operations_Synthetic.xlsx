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cript_List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Pivot_Analysis" sheetId="6" state="visible" r:id="rId6"/>
    <sheet xmlns:r="http://schemas.openxmlformats.org/officeDocument/2006/relationships" name="Checks" sheetId="7" state="visible" r:id="rId7"/>
  </sheets>
  <definedNames>
    <definedName name="_xlnm.Print_Area" localSheetId="1">'Dashboard'!$A$1:$L$50</definedName>
  </definedNames>
  <calcPr calcId="191029" fullCalcOnLoad="1"/>
  <pivotCaches>
    <pivotCache xmlns:r="http://schemas.openxmlformats.org/officeDocument/2006/relationships" cacheId="0" r:id="rId8"/>
    <pivotCache xmlns:r="http://schemas.openxmlformats.org/officeDocument/2006/relationships" cacheId="0" r:id="rId9"/>
  </pivotCaches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 yy"/>
    <numFmt numFmtId="166" formatCode="yyyy-mm-dd"/>
    <numFmt numFmtId="167" formatCode="&quot;$&quot;#,##0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9546B"/>
      <sz val="20"/>
    </font>
    <font>
      <name val="Arial"/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95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pivotCacheDefinition" Target="/xl/pivotCache/pivotCacheDefinition4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Monthly Sessions (October partial)</ns1:t>
            </ns1:r>
          </ns1:p>
        </ns0:rich>
      </ns0:tx>
    </ns0:title>
    <ns0:plotArea>
      <ns0:lineChart>
        <ns0:grouping val="standard"/>
        <ns0:ser>
          <ns0:idx val="0"/>
          <ns0:order val="0"/>
          <ns0:tx>
            <ns0:strRef>
              <ns0:f>'Dashboard'!Q8</ns0:f>
            </ns0:strRef>
          </ns0:tx>
          <ns0:spPr>
            <ns1:ln>
              <ns1:prstDash val="solid"/>
            </ns1:ln>
          </ns0:spPr>
          <ns0:marker>
            <ns0:symbol val="none"/>
            <ns0:spPr>
              <ns1:ln>
                <ns1:prstDash val="solid"/>
              </ns1:ln>
            </ns0:spPr>
          </ns0:marker>
          <ns0:cat>
            <ns0:numRef>
              <ns0:f>'Dashboard'!$P$9:$P$22</ns0:f>
              <ns0:numCache>
                <ns0:formatCode>mmm yy</ns0:formatCode>
                <ns0:ptCount val="14"/>
                <ns0:pt idx="0">
                  <ns0:v>45901.0</ns0:v>
                </ns0:pt>
                <ns0:pt idx="1">
                  <ns0:v>45931.0</ns0:v>
                </ns0:pt>
                <ns0:pt idx="2">
                  <ns0:v>45962.0</ns0:v>
                </ns0:pt>
                <ns0:pt idx="3">
                  <ns0:v>45992.0</ns0:v>
                </ns0:pt>
                <ns0:pt idx="4">
                  <ns0:v>46023.0</ns0:v>
                </ns0:pt>
                <ns0:pt idx="5">
                  <ns0:v>46054.0</ns0:v>
                </ns0:pt>
                <ns0:pt idx="6">
                  <ns0:v>46082.0</ns0:v>
                </ns0:pt>
                <ns0:pt idx="7">
                  <ns0:v>46113.0</ns0:v>
                </ns0:pt>
                <ns0:pt idx="8">
                  <ns0:v>46143.0</ns0:v>
                </ns0:pt>
                <ns0:pt idx="9">
                  <ns0:v>46174.0</ns0:v>
                </ns0:pt>
                <ns0:pt idx="10">
                  <ns0:v>46204.0</ns0:v>
                </ns0:pt>
                <ns0:pt idx="11">
                  <ns0:v>46235.0</ns0:v>
                </ns0:pt>
                <ns0:pt idx="12">
                  <ns0:v>46266.0</ns0:v>
                </ns0:pt>
                <ns0:pt idx="13">
                  <ns0:v>46296.0</ns0:v>
                </ns0:pt>
              </ns0:numCache>
            </ns0:numRef>
          </ns0:cat>
          <ns0:val>
            <ns0:numRef>
              <ns0:f>'Dashboard'!$Q$9:$Q$22</ns0:f>
              <ns0:numCache>
                <ns0:formatCode>General</ns0:formatCode>
                <ns0:ptCount val="14"/>
                <ns0:pt idx="0">
                  <ns0:v>31</ns0:v>
                </ns0:pt>
                <ns0:pt idx="1">
                  <ns0:v>32</ns0:v>
                </ns0:pt>
                <ns0:pt idx="2">
                  <ns0:v>31</ns0:v>
                </ns0:pt>
                <ns0:pt idx="3">
                  <ns0:v>32</ns0:v>
                </ns0:pt>
                <ns0:pt idx="4">
                  <ns0:v>32</ns0:v>
                </ns0:pt>
                <ns0:pt idx="5">
                  <ns0:v>29</ns0:v>
                </ns0:pt>
                <ns0:pt idx="6">
                  <ns0:v>32</ns0:v>
                </ns0:pt>
                <ns0:pt idx="7">
                  <ns0:v>31</ns0:v>
                </ns0:pt>
                <ns0:pt idx="8">
                  <ns0:v>32</ns0:v>
                </ns0:pt>
                <ns0:pt idx="9">
                  <ns0:v>31</ns0:v>
                </ns0:pt>
                <ns0:pt idx="10">
                  <ns0:v>32</ns0:v>
                </ns0:pt>
                <ns0:pt idx="11">
                  <ns0:v>32</ns0:v>
                </ns0:pt>
                <ns0:pt idx="12">
                  <ns0:v>31</ns0:v>
                </ns0:pt>
                <ns0:pt idx="13">
                  <ns0:v>8</ns0:v>
                </ns0:pt>
              </ns0:numCache>
            </ns0:numRef>
          </ns0:val>
        </ns0:ser>
        <ns0:axId val="10"/>
        <ns0:axId val="100"/>
      </ns0:lineChart>
      <ns0:catAx>
        <ns0:axId val="10"/>
        <ns0:scaling>
          <ns0:orientation val="minMax"/>
        </ns0:scaling>
        <ns0:axPos val="l"/>
        <ns0:majorTickMark val="none"/>
        <ns0:minorTickMark val="none"/>
        <ns0:crossAx val="100"/>
        <ns0:lblOffset val="100"/>
      </ns0:catAx>
      <ns0:valAx>
        <ns0:axId val="100"/>
        <ns0:scaling>
          <ns0:orientation val="minMax"/>
        </ns0:scaling>
        <ns0:axPos val="l"/>
        <ns0:majorGridlines/>
        <ns0:majorTickMark val="none"/>
        <ns0:minorTickMark val="none"/>
        <ns0:crossAx val="10"/>
      </ns0:valAx>
    </ns0:plotArea>
    <ns0:plotVisOnly val="1"/>
    <ns0:dispBlanksAs val="gap"/>
  </ns0:chart>
</ns0:chartSpace>
</file>

<file path=xl/charts/chart2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Contribution per Session by Edition</ns1:t>
            </ns1:r>
          </ns1:p>
        </ns0:rich>
      </ns0:tx>
    </ns0:title>
    <ns0:plotArea>
      <ns0:barChart>
        <ns0:barDir val="col"/>
        <ns0:grouping val="clustered"/>
        <ns0:ser>
          <ns0:idx val="0"/>
          <ns0:order val="0"/>
          <ns0:tx>
            <ns0:strRef>
              <ns0:f>'Dashboard'!Q25</ns0:f>
            </ns0:strRef>
          </ns0:tx>
          <ns0:spPr>
            <ns1:ln>
              <ns1:prstDash val="solid"/>
            </ns1:ln>
          </ns0:spPr>
          <ns0:cat>
            <ns0:strRef>
              <ns0:f>'Dashboard'!$P$26:$P$28</ns0:f>
              <ns0:strCache>
                <ns0:ptCount val="3"/>
                <ns0:pt idx="0">
                  <ns0:v>城限</ns0:v>
                </ns0:pt>
                <ns0:pt idx="1">
                  <ns0:v>独家</ns0:v>
                </ns0:pt>
                <ns0:pt idx="2">
                  <ns0:v>盒装</ns0:v>
                </ns0:pt>
              </ns0:strCache>
            </ns0:strRef>
          </ns0:cat>
          <ns0:val>
            <ns0:numRef>
              <ns0:f>'Dashboard'!$Q$26:$Q$28</ns0:f>
              <ns0:numCache>
                <ns0:formatCode>General</ns0:formatCode>
                <ns0:ptCount val="3"/>
                <ns0:pt idx="0">
                  <ns0:v>505.5</ns0:v>
                </ns0:pt>
                <ns0:pt idx="1">
                  <ns0:v>527.8571428571429</ns0:v>
                </ns0:pt>
                <ns0:pt idx="2">
                  <ns0:v>430.962962962963</ns0:v>
                </ns0:pt>
              </ns0:numCache>
            </ns0:numRef>
          </ns0:val>
        </ns0:ser>
        <ns0:gapWidth val="150"/>
        <ns0:axId val="10"/>
        <ns0:axId val="100"/>
      </ns0:barChart>
      <ns0:catAx>
        <ns0:axId val="10"/>
        <ns0:scaling>
          <ns0:orientation val="minMax"/>
        </ns0:scaling>
        <ns0:axPos val="l"/>
        <ns0:majorTickMark val="none"/>
        <ns0:minorTickMark val="none"/>
        <ns0:crossAx val="100"/>
        <ns0:lblOffset val="100"/>
      </ns0:catAx>
      <ns0:valAx>
        <ns0:axId val="100"/>
        <ns0:scaling>
          <ns0:orientation val="minMax"/>
        </ns0:scaling>
        <ns0:axPos val="l"/>
        <ns0:majorGridlines/>
        <ns0:majorTickMark val="none"/>
        <ns0:minorTickMark val="none"/>
        <ns0:crossAx val="10"/>
      </ns0:valAx>
    </ns0:plotArea>
    <ns0:plotVisOnly val="1"/>
    <ns0:dispBlanksAs val="gap"/>
  </ns0:chart>
</ns0:chartSpace>
</file>

<file path=xl/charts/chart3.xml><?xml version="1.0" encoding="utf-8"?>
<ns0:chartSpace xmlns:ns0="http://schemas.openxmlformats.org/drawingml/2006/chart" xmlns:ns1="http://schemas.openxmlformats.org/drawingml/2006/main">
  <ns0:chart>
    <ns0:title>
      <ns0:tx>
        <ns0:rich>
          <ns1:bodyPr/>
          <ns1:p>
            <ns1:pPr>
              <ns1:defRPr/>
            </ns1:pPr>
            <ns1:r>
              <ns1:t>Script Performance: Opened Scripts Only</ns1:t>
            </ns1:r>
          </ns1:p>
        </ns0:rich>
      </ns0:tx>
    </ns0:title>
    <ns0:plotArea>
      <ns0:scatterChart>
        <ns0:ser>
          <ns0:idx val="0"/>
          <ns0:order val="0"/>
          <ns0:tx>
            <ns0:v>Scripts</ns0:v>
          </ns0:tx>
          <ns0:spPr>
            <ns1:ln>
              <ns1:noFill/>
              <ns1:prstDash val="solid"/>
            </ns1:ln>
          </ns0:spPr>
          <ns0:marker>
            <ns0:symbol val="circle"/>
            <ns0:size val="5"/>
            <ns0:spPr>
              <ns1:ln>
                <ns1:prstDash val="solid"/>
              </ns1:ln>
            </ns0:spPr>
          </ns0:marker>
          <ns0:xVal>
            <ns0:numRef>
              <ns0:f>'Dashboard'!$Q$32:$Q$167</ns0:f>
              <ns0:numCache>
                <ns0:formatCode>General</ns0:formatCode>
                <ns0:ptCount val="136"/>
                <ns0:pt idx="0">
                  <ns0:v>1</ns0:v>
                </ns0:pt>
                <ns0:pt idx="1">
                  <ns0:v>3</ns0:v>
                </ns0:pt>
                <ns0:pt idx="2">
                  <ns0:v>2</ns0:v>
                </ns0:pt>
                <ns0:pt idx="3">
                  <ns0:v>4</ns0:v>
                </ns0:pt>
                <ns0:pt idx="4">
                  <ns0:v>2</ns0:v>
                </ns0:pt>
                <ns0:pt idx="5">
                  <ns0:v>4</ns0:v>
                </ns0:pt>
                <ns0:pt idx="6">
                  <ns0:v>1</ns0:v>
                </ns0:pt>
                <ns0:pt idx="7">
                  <ns0:v>2</ns0:v>
                </ns0:pt>
                <ns0:pt idx="8">
                  <ns0:v>5</ns0:v>
                </ns0:pt>
                <ns0:pt idx="9">
                  <ns0:v>1</ns0:v>
                </ns0:pt>
                <ns0:pt idx="10">
                  <ns0:v>2</ns0:v>
                </ns0:pt>
                <ns0:pt idx="11">
                  <ns0:v>7</ns0:v>
                </ns0:pt>
                <ns0:pt idx="12">
                  <ns0:v>1</ns0:v>
                </ns0:pt>
                <ns0:pt idx="13">
                  <ns0:v>3</ns0:v>
                </ns0:pt>
                <ns0:pt idx="14">
                  <ns0:v>10</ns0:v>
                </ns0:pt>
                <ns0:pt idx="15">
                  <ns0:v>1</ns0:v>
                </ns0:pt>
                <ns0:pt idx="16">
                  <ns0:v>3</ns0:v>
                </ns0:pt>
                <ns0:pt idx="17">
                  <ns0:v>1</ns0:v>
                </ns0:pt>
                <ns0:pt idx="18">
                  <ns0:v>3</ns0:v>
                </ns0:pt>
                <ns0:pt idx="19">
                  <ns0:v>2</ns0:v>
                </ns0:pt>
                <ns0:pt idx="20">
                  <ns0:v>4</ns0:v>
                </ns0:pt>
                <ns0:pt idx="21">
                  <ns0:v>2</ns0:v>
                </ns0:pt>
                <ns0:pt idx="22">
                  <ns0:v>4</ns0:v>
                </ns0:pt>
                <ns0:pt idx="23">
                  <ns0:v>1</ns0:v>
                </ns0:pt>
                <ns0:pt idx="24">
                  <ns0:v>2</ns0:v>
                </ns0:pt>
                <ns0:pt idx="25">
                  <ns0:v>5</ns0:v>
                </ns0:pt>
                <ns0:pt idx="26">
                  <ns0:v>1</ns0:v>
                </ns0:pt>
                <ns0:pt idx="27">
                  <ns0:v>2</ns0:v>
                </ns0:pt>
                <ns0:pt idx="28">
                  <ns0:v>7</ns0:v>
                </ns0:pt>
                <ns0:pt idx="29">
                  <ns0:v>1</ns0:v>
                </ns0:pt>
                <ns0:pt idx="30">
                  <ns0:v>3</ns0:v>
                </ns0:pt>
                <ns0:pt idx="31">
                  <ns0:v>10</ns0:v>
                </ns0:pt>
                <ns0:pt idx="32">
                  <ns0:v>1</ns0:v>
                </ns0:pt>
                <ns0:pt idx="33">
                  <ns0:v>3</ns0:v>
                </ns0:pt>
                <ns0:pt idx="34">
                  <ns0:v>1</ns0:v>
                </ns0:pt>
                <ns0:pt idx="35">
                  <ns0:v>3</ns0:v>
                </ns0:pt>
                <ns0:pt idx="36">
                  <ns0:v>2</ns0:v>
                </ns0:pt>
                <ns0:pt idx="37">
                  <ns0:v>4</ns0:v>
                </ns0:pt>
                <ns0:pt idx="38">
                  <ns0:v>2</ns0:v>
                </ns0:pt>
                <ns0:pt idx="39">
                  <ns0:v>4</ns0:v>
                </ns0:pt>
                <ns0:pt idx="40">
                  <ns0:v>1</ns0:v>
                </ns0:pt>
                <ns0:pt idx="41">
                  <ns0:v>2</ns0:v>
                </ns0:pt>
                <ns0:pt idx="42">
                  <ns0:v>5</ns0:v>
                </ns0:pt>
                <ns0:pt idx="43">
                  <ns0:v>1</ns0:v>
                </ns0:pt>
                <ns0:pt idx="44">
                  <ns0:v>2</ns0:v>
                </ns0:pt>
                <ns0:pt idx="45">
                  <ns0:v>7</ns0:v>
                </ns0:pt>
                <ns0:pt idx="46">
                  <ns0:v>1</ns0:v>
                </ns0:pt>
                <ns0:pt idx="47">
                  <ns0:v>3</ns0:v>
                </ns0:pt>
                <ns0:pt idx="48">
                  <ns0:v>10</ns0:v>
                </ns0:pt>
                <ns0:pt idx="49">
                  <ns0:v>1</ns0:v>
                </ns0:pt>
                <ns0:pt idx="50">
                  <ns0:v>3</ns0:v>
                </ns0:pt>
                <ns0:pt idx="51">
                  <ns0:v>1</ns0:v>
                </ns0:pt>
                <ns0:pt idx="52">
                  <ns0:v>3</ns0:v>
                </ns0:pt>
                <ns0:pt idx="53">
                  <ns0:v>2</ns0:v>
                </ns0:pt>
                <ns0:pt idx="54">
                  <ns0:v>4</ns0:v>
                </ns0:pt>
                <ns0:pt idx="55">
                  <ns0:v>2</ns0:v>
                </ns0:pt>
                <ns0:pt idx="56">
                  <ns0:v>4</ns0:v>
                </ns0:pt>
                <ns0:pt idx="57">
                  <ns0:v>1</ns0:v>
                </ns0:pt>
                <ns0:pt idx="58">
                  <ns0:v>2</ns0:v>
                </ns0:pt>
                <ns0:pt idx="59">
                  <ns0:v>5</ns0:v>
                </ns0:pt>
                <ns0:pt idx="60">
                  <ns0:v>1</ns0:v>
                </ns0:pt>
                <ns0:pt idx="61">
                  <ns0:v>2</ns0:v>
                </ns0:pt>
                <ns0:pt idx="62">
                  <ns0:v>7</ns0:v>
                </ns0:pt>
                <ns0:pt idx="63">
                  <ns0:v>1</ns0:v>
                </ns0:pt>
                <ns0:pt idx="64">
                  <ns0:v>3</ns0:v>
                </ns0:pt>
                <ns0:pt idx="65">
                  <ns0:v>10</ns0:v>
                </ns0:pt>
                <ns0:pt idx="66">
                  <ns0:v>1</ns0:v>
                </ns0:pt>
                <ns0:pt idx="67">
                  <ns0:v>3</ns0:v>
                </ns0:pt>
                <ns0:pt idx="68">
                  <ns0:v>1</ns0:v>
                </ns0:pt>
                <ns0:pt idx="69">
                  <ns0:v>3</ns0:v>
                </ns0:pt>
                <ns0:pt idx="70">
                  <ns0:v>2</ns0:v>
                </ns0:pt>
                <ns0:pt idx="71">
                  <ns0:v>4</ns0:v>
                </ns0:pt>
                <ns0:pt idx="72">
                  <ns0:v>2</ns0:v>
                </ns0:pt>
                <ns0:pt idx="73">
                  <ns0:v>4</ns0:v>
                </ns0:pt>
                <ns0:pt idx="74">
                  <ns0:v>1</ns0:v>
                </ns0:pt>
                <ns0:pt idx="75">
                  <ns0:v>2</ns0:v>
                </ns0:pt>
                <ns0:pt idx="76">
                  <ns0:v>5</ns0:v>
                </ns0:pt>
                <ns0:pt idx="77">
                  <ns0:v>1</ns0:v>
                </ns0:pt>
                <ns0:pt idx="78">
                  <ns0:v>2</ns0:v>
                </ns0:pt>
                <ns0:pt idx="79">
                  <ns0:v>7</ns0:v>
                </ns0:pt>
                <ns0:pt idx="80">
                  <ns0:v>1</ns0:v>
                </ns0:pt>
                <ns0:pt idx="81">
                  <ns0:v>3</ns0:v>
                </ns0:pt>
                <ns0:pt idx="82">
                  <ns0:v>10</ns0:v>
                </ns0:pt>
                <ns0:pt idx="83">
                  <ns0:v>1</ns0:v>
                </ns0:pt>
                <ns0:pt idx="84">
                  <ns0:v>3</ns0:v>
                </ns0:pt>
                <ns0:pt idx="85">
                  <ns0:v>1</ns0:v>
                </ns0:pt>
                <ns0:pt idx="86">
                  <ns0:v>3</ns0:v>
                </ns0:pt>
                <ns0:pt idx="87">
                  <ns0:v>2</ns0:v>
                </ns0:pt>
                <ns0:pt idx="88">
                  <ns0:v>4</ns0:v>
                </ns0:pt>
                <ns0:pt idx="89">
                  <ns0:v>2</ns0:v>
                </ns0:pt>
                <ns0:pt idx="90">
                  <ns0:v>4</ns0:v>
                </ns0:pt>
                <ns0:pt idx="91">
                  <ns0:v>1</ns0:v>
                </ns0:pt>
                <ns0:pt idx="92">
                  <ns0:v>2</ns0:v>
                </ns0:pt>
                <ns0:pt idx="93">
                  <ns0:v>5</ns0:v>
                </ns0:pt>
                <ns0:pt idx="94">
                  <ns0:v>1</ns0:v>
                </ns0:pt>
                <ns0:pt idx="95">
                  <ns0:v>2</ns0:v>
                </ns0:pt>
                <ns0:pt idx="96">
                  <ns0:v>7</ns0:v>
                </ns0:pt>
                <ns0:pt idx="97">
                  <ns0:v>1</ns0:v>
                </ns0:pt>
                <ns0:pt idx="98">
                  <ns0:v>3</ns0:v>
                </ns0:pt>
                <ns0:pt idx="99">
                  <ns0:v>10</ns0:v>
                </ns0:pt>
                <ns0:pt idx="100">
                  <ns0:v>1</ns0:v>
                </ns0:pt>
                <ns0:pt idx="101">
                  <ns0:v>3</ns0:v>
                </ns0:pt>
                <ns0:pt idx="102">
                  <ns0:v>1</ns0:v>
                </ns0:pt>
                <ns0:pt idx="103">
                  <ns0:v>3</ns0:v>
                </ns0:pt>
                <ns0:pt idx="104">
                  <ns0:v>2</ns0:v>
                </ns0:pt>
                <ns0:pt idx="105">
                  <ns0:v>4</ns0:v>
                </ns0:pt>
                <ns0:pt idx="106">
                  <ns0:v>2</ns0:v>
                </ns0:pt>
                <ns0:pt idx="107">
                  <ns0:v>4</ns0:v>
                </ns0:pt>
                <ns0:pt idx="108">
                  <ns0:v>1</ns0:v>
                </ns0:pt>
                <ns0:pt idx="109">
                  <ns0:v>2</ns0:v>
                </ns0:pt>
                <ns0:pt idx="110">
                  <ns0:v>5</ns0:v>
                </ns0:pt>
                <ns0:pt idx="111">
                  <ns0:v>1</ns0:v>
                </ns0:pt>
                <ns0:pt idx="112">
                  <ns0:v>2</ns0:v>
                </ns0:pt>
                <ns0:pt idx="113">
                  <ns0:v>7</ns0:v>
                </ns0:pt>
                <ns0:pt idx="114">
                  <ns0:v>1</ns0:v>
                </ns0:pt>
                <ns0:pt idx="115">
                  <ns0:v>3</ns0:v>
                </ns0:pt>
                <ns0:pt idx="116">
                  <ns0:v>10</ns0:v>
                </ns0:pt>
                <ns0:pt idx="117">
                  <ns0:v>1</ns0:v>
                </ns0:pt>
                <ns0:pt idx="118">
                  <ns0:v>3</ns0:v>
                </ns0:pt>
                <ns0:pt idx="119">
                  <ns0:v>1</ns0:v>
                </ns0:pt>
                <ns0:pt idx="120">
                  <ns0:v>3</ns0:v>
                </ns0:pt>
                <ns0:pt idx="121">
                  <ns0:v>2</ns0:v>
                </ns0:pt>
                <ns0:pt idx="122">
                  <ns0:v>4</ns0:v>
                </ns0:pt>
                <ns0:pt idx="123">
                  <ns0:v>2</ns0:v>
                </ns0:pt>
                <ns0:pt idx="124">
                  <ns0:v>4</ns0:v>
                </ns0:pt>
                <ns0:pt idx="125">
                  <ns0:v>1</ns0:v>
                </ns0:pt>
                <ns0:pt idx="126">
                  <ns0:v>2</ns0:v>
                </ns0:pt>
                <ns0:pt idx="127">
                  <ns0:v>5</ns0:v>
                </ns0:pt>
                <ns0:pt idx="128">
                  <ns0:v>1</ns0:v>
                </ns0:pt>
                <ns0:pt idx="129">
                  <ns0:v>2</ns0:v>
                </ns0:pt>
                <ns0:pt idx="130">
                  <ns0:v>7</ns0:v>
                </ns0:pt>
                <ns0:pt idx="131">
                  <ns0:v>1</ns0:v>
                </ns0:pt>
                <ns0:pt idx="132">
                  <ns0:v>3</ns0:v>
                </ns0:pt>
                <ns0:pt idx="133">
                  <ns0:v>10</ns0:v>
                </ns0:pt>
                <ns0:pt idx="134">
                  <ns0:v>1</ns0:v>
                </ns0:pt>
                <ns0:pt idx="135">
                  <ns0:v>3</ns0:v>
                </ns0:pt>
              </ns0:numCache>
            </ns0:numRef>
          </ns0:xVal>
          <ns0:yVal>
            <ns0:numRef>
              <ns0:f>'Dashboard'!$R$32:$R$167</ns0:f>
              <ns0:numCache>
                <ns0:formatCode>General</ns0:formatCode>
                <ns0:ptCount val="136"/>
                <ns0:pt idx="0">
                  <ns0:v>332.0</ns0:v>
                </ns0:pt>
                <ns0:pt idx="1">
                  <ns0:v>438.0</ns0:v>
                </ns0:pt>
                <ns0:pt idx="2">
                  <ns0:v>383.0</ns0:v>
                </ns0:pt>
                <ns0:pt idx="3">
                  <ns0:v>474.0</ns0:v>
                </ns0:pt>
                <ns0:pt idx="4">
                  <ns0:v>527.0</ns0:v>
                </ns0:pt>
                <ns0:pt idx="5">
                  <ns0:v>490.0</ns0:v>
                </ns0:pt>
                <ns0:pt idx="6">
                  <ns0:v>332.0</ns0:v>
                </ns0:pt>
                <ns0:pt idx="7">
                  <ns0:v>528.0</ns0:v>
                </ns0:pt>
                <ns0:pt idx="8">
                  <ns0:v>527.0</ns0:v>
                </ns0:pt>
                <ns0:pt idx="9">
                  <ns0:v>324.0</ns0:v>
                </ns0:pt>
                <ns0:pt idx="10">
                  <ns0:v>563.0</ns0:v>
                </ns0:pt>
                <ns0:pt idx="11">
                  <ns0:v>560.0</ns0:v>
                </ns0:pt>
                <ns0:pt idx="12">
                  <ns0:v>648.0</ns0:v>
                </ns0:pt>
                <ns0:pt idx="13">
                  <ns0:v>482.0</ns0:v>
                </ns0:pt>
                <ns0:pt idx="14">
                  <ns0:v>332.0</ns0:v>
                </ns0:pt>
                <ns0:pt idx="15">
                  <ns0:v>609.0</ns0:v>
                </ns0:pt>
                <ns0:pt idx="16">
                  <ns0:v>564.0</ns0:v>
                </ns0:pt>
                <ns0:pt idx="17">
                  <ns0:v>332.0</ns0:v>
                </ns0:pt>
                <ns0:pt idx="18">
                  <ns0:v>438.0</ns0:v>
                </ns0:pt>
                <ns0:pt idx="19">
                  <ns0:v>383.0</ns0:v>
                </ns0:pt>
                <ns0:pt idx="20">
                  <ns0:v>474.0</ns0:v>
                </ns0:pt>
                <ns0:pt idx="21">
                  <ns0:v>527.0</ns0:v>
                </ns0:pt>
                <ns0:pt idx="22">
                  <ns0:v>490.0</ns0:v>
                </ns0:pt>
                <ns0:pt idx="23">
                  <ns0:v>332.0</ns0:v>
                </ns0:pt>
                <ns0:pt idx="24">
                  <ns0:v>528.0</ns0:v>
                </ns0:pt>
                <ns0:pt idx="25">
                  <ns0:v>527.0</ns0:v>
                </ns0:pt>
                <ns0:pt idx="26">
                  <ns0:v>324.0</ns0:v>
                </ns0:pt>
                <ns0:pt idx="27">
                  <ns0:v>563.0</ns0:v>
                </ns0:pt>
                <ns0:pt idx="28">
                  <ns0:v>560.0</ns0:v>
                </ns0:pt>
                <ns0:pt idx="29">
                  <ns0:v>648.0</ns0:v>
                </ns0:pt>
                <ns0:pt idx="30">
                  <ns0:v>482.0</ns0:v>
                </ns0:pt>
                <ns0:pt idx="31">
                  <ns0:v>332.0</ns0:v>
                </ns0:pt>
                <ns0:pt idx="32">
                  <ns0:v>609.0</ns0:v>
                </ns0:pt>
                <ns0:pt idx="33">
                  <ns0:v>564.0</ns0:v>
                </ns0:pt>
                <ns0:pt idx="34">
                  <ns0:v>332.0</ns0:v>
                </ns0:pt>
                <ns0:pt idx="35">
                  <ns0:v>438.0</ns0:v>
                </ns0:pt>
                <ns0:pt idx="36">
                  <ns0:v>383.0</ns0:v>
                </ns0:pt>
                <ns0:pt idx="37">
                  <ns0:v>474.0</ns0:v>
                </ns0:pt>
                <ns0:pt idx="38">
                  <ns0:v>527.0</ns0:v>
                </ns0:pt>
                <ns0:pt idx="39">
                  <ns0:v>490.0</ns0:v>
                </ns0:pt>
                <ns0:pt idx="40">
                  <ns0:v>332.0</ns0:v>
                </ns0:pt>
                <ns0:pt idx="41">
                  <ns0:v>528.0</ns0:v>
                </ns0:pt>
                <ns0:pt idx="42">
                  <ns0:v>527.0</ns0:v>
                </ns0:pt>
                <ns0:pt idx="43">
                  <ns0:v>324.0</ns0:v>
                </ns0:pt>
                <ns0:pt idx="44">
                  <ns0:v>563.0</ns0:v>
                </ns0:pt>
                <ns0:pt idx="45">
                  <ns0:v>560.0</ns0:v>
                </ns0:pt>
                <ns0:pt idx="46">
                  <ns0:v>648.0</ns0:v>
                </ns0:pt>
                <ns0:pt idx="47">
                  <ns0:v>482.0</ns0:v>
                </ns0:pt>
                <ns0:pt idx="48">
                  <ns0:v>332.0</ns0:v>
                </ns0:pt>
                <ns0:pt idx="49">
                  <ns0:v>609.0</ns0:v>
                </ns0:pt>
                <ns0:pt idx="50">
                  <ns0:v>564.0</ns0:v>
                </ns0:pt>
                <ns0:pt idx="51">
                  <ns0:v>332.0</ns0:v>
                </ns0:pt>
                <ns0:pt idx="52">
                  <ns0:v>438.0</ns0:v>
                </ns0:pt>
                <ns0:pt idx="53">
                  <ns0:v>383.0</ns0:v>
                </ns0:pt>
                <ns0:pt idx="54">
                  <ns0:v>474.0</ns0:v>
                </ns0:pt>
                <ns0:pt idx="55">
                  <ns0:v>527.0</ns0:v>
                </ns0:pt>
                <ns0:pt idx="56">
                  <ns0:v>490.0</ns0:v>
                </ns0:pt>
                <ns0:pt idx="57">
                  <ns0:v>332.0</ns0:v>
                </ns0:pt>
                <ns0:pt idx="58">
                  <ns0:v>528.0</ns0:v>
                </ns0:pt>
                <ns0:pt idx="59">
                  <ns0:v>527.0</ns0:v>
                </ns0:pt>
                <ns0:pt idx="60">
                  <ns0:v>324.0</ns0:v>
                </ns0:pt>
                <ns0:pt idx="61">
                  <ns0:v>563.0</ns0:v>
                </ns0:pt>
                <ns0:pt idx="62">
                  <ns0:v>560.0</ns0:v>
                </ns0:pt>
                <ns0:pt idx="63">
                  <ns0:v>648.0</ns0:v>
                </ns0:pt>
                <ns0:pt idx="64">
                  <ns0:v>482.0</ns0:v>
                </ns0:pt>
                <ns0:pt idx="65">
                  <ns0:v>332.0</ns0:v>
                </ns0:pt>
                <ns0:pt idx="66">
                  <ns0:v>609.0</ns0:v>
                </ns0:pt>
                <ns0:pt idx="67">
                  <ns0:v>564.0</ns0:v>
                </ns0:pt>
                <ns0:pt idx="68">
                  <ns0:v>332.0</ns0:v>
                </ns0:pt>
                <ns0:pt idx="69">
                  <ns0:v>438.0</ns0:v>
                </ns0:pt>
                <ns0:pt idx="70">
                  <ns0:v>383.0</ns0:v>
                </ns0:pt>
                <ns0:pt idx="71">
                  <ns0:v>474.0</ns0:v>
                </ns0:pt>
                <ns0:pt idx="72">
                  <ns0:v>527.0</ns0:v>
                </ns0:pt>
                <ns0:pt idx="73">
                  <ns0:v>490.0</ns0:v>
                </ns0:pt>
                <ns0:pt idx="74">
                  <ns0:v>332.0</ns0:v>
                </ns0:pt>
                <ns0:pt idx="75">
                  <ns0:v>528.0</ns0:v>
                </ns0:pt>
                <ns0:pt idx="76">
                  <ns0:v>527.0</ns0:v>
                </ns0:pt>
                <ns0:pt idx="77">
                  <ns0:v>324.0</ns0:v>
                </ns0:pt>
                <ns0:pt idx="78">
                  <ns0:v>563.0</ns0:v>
                </ns0:pt>
                <ns0:pt idx="79">
                  <ns0:v>560.0</ns0:v>
                </ns0:pt>
                <ns0:pt idx="80">
                  <ns0:v>648.0</ns0:v>
                </ns0:pt>
                <ns0:pt idx="81">
                  <ns0:v>482.0</ns0:v>
                </ns0:pt>
                <ns0:pt idx="82">
                  <ns0:v>332.0</ns0:v>
                </ns0:pt>
                <ns0:pt idx="83">
                  <ns0:v>609.0</ns0:v>
                </ns0:pt>
                <ns0:pt idx="84">
                  <ns0:v>564.0</ns0:v>
                </ns0:pt>
                <ns0:pt idx="85">
                  <ns0:v>332.0</ns0:v>
                </ns0:pt>
                <ns0:pt idx="86">
                  <ns0:v>438.0</ns0:v>
                </ns0:pt>
                <ns0:pt idx="87">
                  <ns0:v>383.0</ns0:v>
                </ns0:pt>
                <ns0:pt idx="88">
                  <ns0:v>474.0</ns0:v>
                </ns0:pt>
                <ns0:pt idx="89">
                  <ns0:v>527.0</ns0:v>
                </ns0:pt>
                <ns0:pt idx="90">
                  <ns0:v>490.0</ns0:v>
                </ns0:pt>
                <ns0:pt idx="91">
                  <ns0:v>332.0</ns0:v>
                </ns0:pt>
                <ns0:pt idx="92">
                  <ns0:v>528.0</ns0:v>
                </ns0:pt>
                <ns0:pt idx="93">
                  <ns0:v>527.0</ns0:v>
                </ns0:pt>
                <ns0:pt idx="94">
                  <ns0:v>324.0</ns0:v>
                </ns0:pt>
                <ns0:pt idx="95">
                  <ns0:v>563.0</ns0:v>
                </ns0:pt>
                <ns0:pt idx="96">
                  <ns0:v>560.0</ns0:v>
                </ns0:pt>
                <ns0:pt idx="97">
                  <ns0:v>648.0</ns0:v>
                </ns0:pt>
                <ns0:pt idx="98">
                  <ns0:v>482.0</ns0:v>
                </ns0:pt>
                <ns0:pt idx="99">
                  <ns0:v>332.0</ns0:v>
                </ns0:pt>
                <ns0:pt idx="100">
                  <ns0:v>609.0</ns0:v>
                </ns0:pt>
                <ns0:pt idx="101">
                  <ns0:v>564.0</ns0:v>
                </ns0:pt>
                <ns0:pt idx="102">
                  <ns0:v>332.0</ns0:v>
                </ns0:pt>
                <ns0:pt idx="103">
                  <ns0:v>438.0</ns0:v>
                </ns0:pt>
                <ns0:pt idx="104">
                  <ns0:v>383.0</ns0:v>
                </ns0:pt>
                <ns0:pt idx="105">
                  <ns0:v>474.0</ns0:v>
                </ns0:pt>
                <ns0:pt idx="106">
                  <ns0:v>527.0</ns0:v>
                </ns0:pt>
                <ns0:pt idx="107">
                  <ns0:v>490.0</ns0:v>
                </ns0:pt>
                <ns0:pt idx="108">
                  <ns0:v>332.0</ns0:v>
                </ns0:pt>
                <ns0:pt idx="109">
                  <ns0:v>528.0</ns0:v>
                </ns0:pt>
                <ns0:pt idx="110">
                  <ns0:v>527.0</ns0:v>
                </ns0:pt>
                <ns0:pt idx="111">
                  <ns0:v>324.0</ns0:v>
                </ns0:pt>
                <ns0:pt idx="112">
                  <ns0:v>563.0</ns0:v>
                </ns0:pt>
                <ns0:pt idx="113">
                  <ns0:v>560.0</ns0:v>
                </ns0:pt>
                <ns0:pt idx="114">
                  <ns0:v>648.0</ns0:v>
                </ns0:pt>
                <ns0:pt idx="115">
                  <ns0:v>482.0</ns0:v>
                </ns0:pt>
                <ns0:pt idx="116">
                  <ns0:v>332.0</ns0:v>
                </ns0:pt>
                <ns0:pt idx="117">
                  <ns0:v>609.0</ns0:v>
                </ns0:pt>
                <ns0:pt idx="118">
                  <ns0:v>564.0</ns0:v>
                </ns0:pt>
                <ns0:pt idx="119">
                  <ns0:v>332.0</ns0:v>
                </ns0:pt>
                <ns0:pt idx="120">
                  <ns0:v>438.0</ns0:v>
                </ns0:pt>
                <ns0:pt idx="121">
                  <ns0:v>383.0</ns0:v>
                </ns0:pt>
                <ns0:pt idx="122">
                  <ns0:v>474.0</ns0:v>
                </ns0:pt>
                <ns0:pt idx="123">
                  <ns0:v>527.0</ns0:v>
                </ns0:pt>
                <ns0:pt idx="124">
                  <ns0:v>490.0</ns0:v>
                </ns0:pt>
                <ns0:pt idx="125">
                  <ns0:v>332.0</ns0:v>
                </ns0:pt>
                <ns0:pt idx="126">
                  <ns0:v>528.0</ns0:v>
                </ns0:pt>
                <ns0:pt idx="127">
                  <ns0:v>527.0</ns0:v>
                </ns0:pt>
                <ns0:pt idx="128">
                  <ns0:v>324.0</ns0:v>
                </ns0:pt>
                <ns0:pt idx="129">
                  <ns0:v>563.0</ns0:v>
                </ns0:pt>
                <ns0:pt idx="130">
                  <ns0:v>560.0</ns0:v>
                </ns0:pt>
                <ns0:pt idx="131">
                  <ns0:v>648.0</ns0:v>
                </ns0:pt>
                <ns0:pt idx="132">
                  <ns0:v>482.0</ns0:v>
                </ns0:pt>
                <ns0:pt idx="133">
                  <ns0:v>332.0</ns0:v>
                </ns0:pt>
                <ns0:pt idx="134">
                  <ns0:v>609.0</ns0:v>
                </ns0:pt>
                <ns0:pt idx="135">
                  <ns0:v>564.0</ns0:v>
                </ns0:pt>
              </ns0:numCache>
            </ns0:numRef>
          </ns0:yVal>
        </ns0:ser>
        <ns0:ser>
          <ns0:idx val="1"/>
          <ns0:order val="1"/>
          <ns0:tx>
            <ns0:v>Frequency median</ns0:v>
          </ns0:tx>
          <ns0:spPr>
            <ns1:ln>
              <ns1:solidFill>
                <ns1:srgbClr val="B05A4A"/>
              </ns1:solidFill>
              <ns1:prstDash val="solid"/>
            </ns1:ln>
          </ns0:spPr>
          <ns0:marker>
            <ns0:symbol val="none"/>
            <ns0:spPr>
              <ns1:ln>
                <ns1:prstDash val="solid"/>
              </ns1:ln>
            </ns0:spPr>
          </ns0:marker>
          <ns0:xVal>
            <ns0:numRef>
              <ns0:f>'Dashboard'!$T$32:$T$33</ns0:f>
              <ns0:numCache>
                <ns0:formatCode>General</ns0:formatCode>
                <ns0:ptCount val="2"/>
                <ns0:pt idx="0">
                  <ns0:v>2.0</ns0:v>
                </ns0:pt>
                <ns0:pt idx="1">
                  <ns0:v>2.0</ns0:v>
                </ns0:pt>
              </ns0:numCache>
            </ns0:numRef>
          </ns0:xVal>
          <ns0:yVal>
            <ns0:numRef>
              <ns0:f>'Dashboard'!$U$32:$U$33</ns0:f>
              <ns0:numCache>
                <ns0:formatCode>General</ns0:formatCode>
                <ns0:ptCount val="2"/>
                <ns0:pt idx="0">
                  <ns0:v>0</ns0:v>
                </ns0:pt>
                <ns0:pt idx="1">
                  <ns0:v>648.0</ns0:v>
                </ns0:pt>
              </ns0:numCache>
            </ns0:numRef>
          </ns0:yVal>
        </ns0:ser>
        <ns0:ser>
          <ns0:idx val="2"/>
          <ns0:order val="2"/>
          <ns0:tx>
            <ns0:v>Contribution median</ns0:v>
          </ns0:tx>
          <ns0:spPr>
            <ns1:ln>
              <ns1:solidFill>
                <ns1:srgbClr val="B05A4A"/>
              </ns1:solidFill>
              <ns1:prstDash val="solid"/>
            </ns1:ln>
          </ns0:spPr>
          <ns0:marker>
            <ns0:symbol val="none"/>
            <ns0:spPr>
              <ns1:ln>
                <ns1:prstDash val="solid"/>
              </ns1:ln>
            </ns0:spPr>
          </ns0:marker>
          <ns0:xVal>
            <ns0:numRef>
              <ns0:f>'Dashboard'!$V$32:$V$33</ns0:f>
              <ns0:numCache>
                <ns0:formatCode>General</ns0:formatCode>
                <ns0:ptCount val="2"/>
                <ns0:pt idx="0">
                  <ns0:v>0</ns0:v>
                </ns0:pt>
                <ns0:pt idx="1">
                  <ns0:v>10</ns0:v>
                </ns0:pt>
              </ns0:numCache>
            </ns0:numRef>
          </ns0:xVal>
          <ns0:yVal>
            <ns0:numRef>
              <ns0:f>'Dashboard'!$W$32:$W$33</ns0:f>
              <ns0:numCache>
                <ns0:formatCode>General</ns0:formatCode>
                <ns0:ptCount val="2"/>
                <ns0:pt idx="0">
                  <ns0:v>490.0</ns0:v>
                </ns0:pt>
                <ns0:pt idx="1">
                  <ns0:v>490.0</ns0:v>
                </ns0:pt>
              </ns0:numCache>
            </ns0:numRef>
          </ns0:yVal>
        </ns0:ser>
        <ns0:axId val="10"/>
        <ns0:axId val="20"/>
      </ns0:scatterChart>
      <ns0:valAx>
        <ns0:axId val="10"/>
        <ns0:scaling>
          <ns0:orientation val="minMax"/>
        </ns0:scaling>
        <ns0:axPos val="l"/>
        <ns0:majorGridlines/>
        <ns0:title>
          <ns0:tx>
            <ns0:rich>
              <ns1:bodyPr/>
              <ns1:p>
                <ns1:pPr>
                  <ns1:defRPr/>
                </ns1:pPr>
                <ns1:r>
                  <ns1:t>Observed Sessions</ns1:t>
                </ns1:r>
              </ns1:p>
            </ns0:rich>
          </ns0:tx>
        </ns0:title>
        <ns0:majorTickMark val="none"/>
        <ns0:minorTickMark val="none"/>
        <ns0:crossAx val="20"/>
      </ns0:valAx>
      <ns0:valAx>
        <ns0:axId val="20"/>
        <ns0:scaling>
          <ns0:orientation val="minMax"/>
        </ns0:scaling>
        <ns0:axPos val="l"/>
        <ns0:majorGridlines/>
        <ns0:title>
          <ns0:tx>
            <ns0:rich>
              <ns1:bodyPr/>
              <ns1:p>
                <ns1:pPr>
                  <ns1:defRPr/>
                </ns1:pPr>
                <ns1:r>
                  <ns1:t>Estimated Contribution per Session (USD)</ns1:t>
                </ns1:r>
              </ns1:p>
            </ns0:rich>
          </ns0:tx>
        </ns0:title>
        <ns0:majorTickMark val="none"/>
        <ns0:minorTickMark val="none"/>
        <ns0:crossAx val="10"/>
      </ns0:valAx>
    </ns0:plotArea>
    <ns0:plotVisOnly val="1"/>
    <ns0:dispBlanksAs val="gap"/>
  </ns0:chart>
</ns0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111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saveData="1" refreshOnLoad="0" enableRefresh="1" missingItemsLimit="0" recordCount="416" r:id="rId1">
  <cacheSource type="worksheet">
    <worksheetSource name="RawData"/>
  </cacheSource>
  <cacheFields count="15">
    <cacheField name="Session ID" uniqueList="1" sqlType="0" hierarchy="0" level="0" databaseField="1">
      <sharedItems count="416" containsDate="0" containsNumber="0" containsString="1">
        <s v="SES-0001"/>
        <s v="SES-0002"/>
        <s v="SES-0003"/>
        <s v="SES-0004"/>
        <s v="SES-0005"/>
        <s v="SES-0006"/>
        <s v="SES-0007"/>
        <s v="SES-0008"/>
        <s v="SES-0009"/>
        <s v="SES-0010"/>
        <s v="SES-0011"/>
        <s v="SES-0012"/>
        <s v="SES-0013"/>
        <s v="SES-0014"/>
        <s v="SES-0015"/>
        <s v="SES-0016"/>
        <s v="SES-0017"/>
        <s v="SES-0018"/>
        <s v="SES-0019"/>
        <s v="SES-0020"/>
        <s v="SES-0021"/>
        <s v="SES-0022"/>
        <s v="SES-0023"/>
        <s v="SES-0024"/>
        <s v="SES-0025"/>
        <s v="SES-0026"/>
        <s v="SES-0027"/>
        <s v="SES-0028"/>
        <s v="SES-0029"/>
        <s v="SES-0030"/>
        <s v="SES-0031"/>
        <s v="SES-0032"/>
        <s v="SES-0033"/>
        <s v="SES-0034"/>
        <s v="SES-0035"/>
        <s v="SES-0036"/>
        <s v="SES-0037"/>
        <s v="SES-0038"/>
        <s v="SES-0039"/>
        <s v="SES-0040"/>
        <s v="SES-0041"/>
        <s v="SES-0042"/>
        <s v="SES-0043"/>
        <s v="SES-0044"/>
        <s v="SES-0045"/>
        <s v="SES-0046"/>
        <s v="SES-0047"/>
        <s v="SES-0048"/>
        <s v="SES-0049"/>
        <s v="SES-0050"/>
        <s v="SES-0051"/>
        <s v="SES-0052"/>
        <s v="SES-0053"/>
        <s v="SES-0054"/>
        <s v="SES-0055"/>
        <s v="SES-0056"/>
        <s v="SES-0057"/>
        <s v="SES-0058"/>
        <s v="SES-0059"/>
        <s v="SES-0060"/>
        <s v="SES-0061"/>
        <s v="SES-0062"/>
        <s v="SES-0063"/>
        <s v="SES-0064"/>
        <s v="SES-0065"/>
        <s v="SES-0066"/>
        <s v="SES-0067"/>
        <s v="SES-0068"/>
        <s v="SES-0069"/>
        <s v="SES-0070"/>
        <s v="SES-0071"/>
        <s v="SES-0072"/>
        <s v="SES-0073"/>
        <s v="SES-0074"/>
        <s v="SES-0075"/>
        <s v="SES-0076"/>
        <s v="SES-0077"/>
        <s v="SES-0078"/>
        <s v="SES-0079"/>
        <s v="SES-0080"/>
        <s v="SES-0081"/>
        <s v="SES-0082"/>
        <s v="SES-0083"/>
        <s v="SES-0084"/>
        <s v="SES-0085"/>
        <s v="SES-0086"/>
        <s v="SES-0087"/>
        <s v="SES-0088"/>
        <s v="SES-0089"/>
        <s v="SES-0090"/>
        <s v="SES-0091"/>
        <s v="SES-0092"/>
        <s v="SES-0093"/>
        <s v="SES-0094"/>
        <s v="SES-0095"/>
        <s v="SES-0096"/>
        <s v="SES-0097"/>
        <s v="SES-0098"/>
        <s v="SES-0099"/>
        <s v="SES-0100"/>
        <s v="SES-0101"/>
        <s v="SES-0102"/>
        <s v="SES-0103"/>
        <s v="SES-0104"/>
        <s v="SES-0105"/>
        <s v="SES-0106"/>
        <s v="SES-0107"/>
        <s v="SES-0108"/>
        <s v="SES-0109"/>
        <s v="SES-0110"/>
        <s v="SES-0111"/>
        <s v="SES-0112"/>
        <s v="SES-0113"/>
        <s v="SES-0114"/>
        <s v="SES-0115"/>
        <s v="SES-0116"/>
        <s v="SES-0117"/>
        <s v="SES-0118"/>
        <s v="SES-0119"/>
        <s v="SES-0120"/>
        <s v="SES-0121"/>
        <s v="SES-0122"/>
        <s v="SES-0123"/>
        <s v="SES-0124"/>
        <s v="SES-0125"/>
        <s v="SES-0126"/>
        <s v="SES-0127"/>
        <s v="SES-0128"/>
        <s v="SES-0129"/>
        <s v="SES-0130"/>
        <s v="SES-0131"/>
        <s v="SES-0132"/>
        <s v="SES-0133"/>
        <s v="SES-0134"/>
        <s v="SES-0135"/>
        <s v="SES-0136"/>
        <s v="SES-0137"/>
        <s v="SES-0138"/>
        <s v="SES-0139"/>
        <s v="SES-0140"/>
        <s v="SES-0141"/>
        <s v="SES-0142"/>
        <s v="SES-0143"/>
        <s v="SES-0144"/>
        <s v="SES-0145"/>
        <s v="SES-0146"/>
        <s v="SES-0147"/>
        <s v="SES-0148"/>
        <s v="SES-0149"/>
        <s v="SES-0150"/>
        <s v="SES-0151"/>
        <s v="SES-0152"/>
        <s v="SES-0153"/>
        <s v="SES-0154"/>
        <s v="SES-0155"/>
        <s v="SES-0156"/>
        <s v="SES-0157"/>
        <s v="SES-0158"/>
        <s v="SES-0159"/>
        <s v="SES-0160"/>
        <s v="SES-0161"/>
        <s v="SES-0162"/>
        <s v="SES-0163"/>
        <s v="SES-0164"/>
        <s v="SES-0165"/>
        <s v="SES-0166"/>
        <s v="SES-0167"/>
        <s v="SES-0168"/>
        <s v="SES-0169"/>
        <s v="SES-0170"/>
        <s v="SES-0171"/>
        <s v="SES-0172"/>
        <s v="SES-0173"/>
        <s v="SES-0174"/>
        <s v="SES-0175"/>
        <s v="SES-0176"/>
        <s v="SES-0177"/>
        <s v="SES-0178"/>
        <s v="SES-0179"/>
        <s v="SES-0180"/>
        <s v="SES-0181"/>
        <s v="SES-0182"/>
        <s v="SES-0183"/>
        <s v="SES-0184"/>
        <s v="SES-0185"/>
        <s v="SES-0186"/>
        <s v="SES-0187"/>
        <s v="SES-0188"/>
        <s v="SES-0189"/>
        <s v="SES-0190"/>
        <s v="SES-0191"/>
        <s v="SES-0192"/>
        <s v="SES-0193"/>
        <s v="SES-0194"/>
        <s v="SES-0195"/>
        <s v="SES-0196"/>
        <s v="SES-0197"/>
        <s v="SES-0198"/>
        <s v="SES-0199"/>
        <s v="SES-0200"/>
        <s v="SES-0201"/>
        <s v="SES-0202"/>
        <s v="SES-0203"/>
        <s v="SES-0204"/>
        <s v="SES-0205"/>
        <s v="SES-0206"/>
        <s v="SES-0207"/>
        <s v="SES-0208"/>
        <s v="SES-0209"/>
        <s v="SES-0210"/>
        <s v="SES-0211"/>
        <s v="SES-0212"/>
        <s v="SES-0213"/>
        <s v="SES-0214"/>
        <s v="SES-0215"/>
        <s v="SES-0216"/>
        <s v="SES-0217"/>
        <s v="SES-0218"/>
        <s v="SES-0219"/>
        <s v="SES-0220"/>
        <s v="SES-0221"/>
        <s v="SES-0222"/>
        <s v="SES-0223"/>
        <s v="SES-0224"/>
        <s v="SES-0225"/>
        <s v="SES-0226"/>
        <s v="SES-0227"/>
        <s v="SES-0228"/>
        <s v="SES-0229"/>
        <s v="SES-0230"/>
        <s v="SES-0231"/>
        <s v="SES-0232"/>
        <s v="SES-0233"/>
        <s v="SES-0234"/>
        <s v="SES-0235"/>
        <s v="SES-0236"/>
        <s v="SES-0237"/>
        <s v="SES-0238"/>
        <s v="SES-0239"/>
        <s v="SES-0240"/>
        <s v="SES-0241"/>
        <s v="SES-0242"/>
        <s v="SES-0243"/>
        <s v="SES-0244"/>
        <s v="SES-0245"/>
        <s v="SES-0246"/>
        <s v="SES-0247"/>
        <s v="SES-0248"/>
        <s v="SES-0249"/>
        <s v="SES-0250"/>
        <s v="SES-0251"/>
        <s v="SES-0252"/>
        <s v="SES-0253"/>
        <s v="SES-0254"/>
        <s v="SES-0255"/>
        <s v="SES-0256"/>
        <s v="SES-0257"/>
        <s v="SES-0258"/>
        <s v="SES-0259"/>
        <s v="SES-0260"/>
        <s v="SES-0261"/>
        <s v="SES-0262"/>
        <s v="SES-0263"/>
        <s v="SES-0264"/>
        <s v="SES-0265"/>
        <s v="SES-0266"/>
        <s v="SES-0267"/>
        <s v="SES-0268"/>
        <s v="SES-0269"/>
        <s v="SES-0270"/>
        <s v="SES-0271"/>
        <s v="SES-0272"/>
        <s v="SES-0273"/>
        <s v="SES-0274"/>
        <s v="SES-0275"/>
        <s v="SES-0276"/>
        <s v="SES-0277"/>
        <s v="SES-0278"/>
        <s v="SES-0279"/>
        <s v="SES-0280"/>
        <s v="SES-0281"/>
        <s v="SES-0282"/>
        <s v="SES-0283"/>
        <s v="SES-0284"/>
        <s v="SES-0285"/>
        <s v="SES-0286"/>
        <s v="SES-0287"/>
        <s v="SES-0288"/>
        <s v="SES-0289"/>
        <s v="SES-0290"/>
        <s v="SES-0291"/>
        <s v="SES-0292"/>
        <s v="SES-0293"/>
        <s v="SES-0294"/>
        <s v="SES-0295"/>
        <s v="SES-0296"/>
        <s v="SES-0297"/>
        <s v="SES-0298"/>
        <s v="SES-0299"/>
        <s v="SES-0300"/>
        <s v="SES-0301"/>
        <s v="SES-0302"/>
        <s v="SES-0303"/>
        <s v="SES-0304"/>
        <s v="SES-0305"/>
        <s v="SES-0306"/>
        <s v="SES-0307"/>
        <s v="SES-0308"/>
        <s v="SES-0309"/>
        <s v="SES-0310"/>
        <s v="SES-0311"/>
        <s v="SES-0312"/>
        <s v="SES-0313"/>
        <s v="SES-0314"/>
        <s v="SES-0315"/>
        <s v="SES-0316"/>
        <s v="SES-0317"/>
        <s v="SES-0318"/>
        <s v="SES-0319"/>
        <s v="SES-0320"/>
        <s v="SES-0321"/>
        <s v="SES-0322"/>
        <s v="SES-0323"/>
        <s v="SES-0324"/>
        <s v="SES-0325"/>
        <s v="SES-0326"/>
        <s v="SES-0327"/>
        <s v="SES-0328"/>
        <s v="SES-0329"/>
        <s v="SES-0330"/>
        <s v="SES-0331"/>
        <s v="SES-0332"/>
        <s v="SES-0333"/>
        <s v="SES-0334"/>
        <s v="SES-0335"/>
        <s v="SES-0336"/>
        <s v="SES-0337"/>
        <s v="SES-0338"/>
        <s v="SES-0339"/>
        <s v="SES-0340"/>
        <s v="SES-0341"/>
        <s v="SES-0342"/>
        <s v="SES-0343"/>
        <s v="SES-0344"/>
        <s v="SES-0345"/>
        <s v="SES-0346"/>
        <s v="SES-0347"/>
        <s v="SES-0348"/>
        <s v="SES-0349"/>
        <s v="SES-0350"/>
        <s v="SES-0351"/>
        <s v="SES-0352"/>
        <s v="SES-0353"/>
        <s v="SES-0354"/>
        <s v="SES-0355"/>
        <s v="SES-0356"/>
        <s v="SES-0357"/>
        <s v="SES-0358"/>
        <s v="SES-0359"/>
        <s v="SES-0360"/>
        <s v="SES-0361"/>
        <s v="SES-0362"/>
        <s v="SES-0363"/>
        <s v="SES-0364"/>
        <s v="SES-0365"/>
        <s v="SES-0366"/>
        <s v="SES-0367"/>
        <s v="SES-0368"/>
        <s v="SES-0369"/>
        <s v="SES-0370"/>
        <s v="SES-0371"/>
        <s v="SES-0372"/>
        <s v="SES-0373"/>
        <s v="SES-0374"/>
        <s v="SES-0375"/>
        <s v="SES-0376"/>
        <s v="SES-0377"/>
        <s v="SES-0378"/>
        <s v="SES-0379"/>
        <s v="SES-0380"/>
        <s v="SES-0381"/>
        <s v="SES-0382"/>
        <s v="SES-0383"/>
        <s v="SES-0384"/>
        <s v="SES-0385"/>
        <s v="SES-0386"/>
        <s v="SES-0387"/>
        <s v="SES-0388"/>
        <s v="SES-0389"/>
        <s v="SES-0390"/>
        <s v="SES-0391"/>
        <s v="SES-0392"/>
        <s v="SES-0393"/>
        <s v="SES-0394"/>
        <s v="SES-0395"/>
        <s v="SES-0396"/>
        <s v="SES-0397"/>
        <s v="SES-0398"/>
        <s v="SES-0399"/>
        <s v="SES-0400"/>
        <s v="SES-0401"/>
        <s v="SES-0402"/>
        <s v="SES-0403"/>
        <s v="SES-0404"/>
        <s v="SES-0405"/>
        <s v="SES-0406"/>
        <s v="SES-0407"/>
        <s v="SES-0408"/>
        <s v="SES-0409"/>
        <s v="SES-0410"/>
        <s v="SES-0411"/>
        <s v="SES-0412"/>
        <s v="SES-0413"/>
        <s v="SES-0414"/>
        <s v="SES-0415"/>
        <s v="SES-0416"/>
      </sharedItems>
    </cacheField>
    <cacheField name="Script ID" uniqueList="1" sqlType="0" hierarchy="0" level="0" databaseField="1">
      <sharedItems count="136" containsDate="0" containsNumber="0" containsString="1">
        <s v="SYN-002"/>
        <s v="SYN-003"/>
        <s v="SYN-005"/>
        <s v="SYN-006"/>
        <s v="SYN-008"/>
        <s v="SYN-009"/>
        <s v="SYN-010"/>
        <s v="SYN-011"/>
        <s v="SYN-012"/>
        <s v="SYN-013"/>
        <s v="SYN-014"/>
        <s v="SYN-015"/>
        <s v="SYN-016"/>
        <s v="SYN-017"/>
        <s v="SYN-018"/>
        <s v="SYN-019"/>
        <s v="SYN-020"/>
        <s v="SYN-022"/>
        <s v="SYN-023"/>
        <s v="SYN-025"/>
        <s v="SYN-026"/>
        <s v="SYN-028"/>
        <s v="SYN-029"/>
        <s v="SYN-030"/>
        <s v="SYN-031"/>
        <s v="SYN-032"/>
        <s v="SYN-033"/>
        <s v="SYN-034"/>
        <s v="SYN-035"/>
        <s v="SYN-036"/>
        <s v="SYN-037"/>
        <s v="SYN-038"/>
        <s v="SYN-039"/>
        <s v="SYN-040"/>
        <s v="SYN-042"/>
        <s v="SYN-043"/>
        <s v="SYN-045"/>
        <s v="SYN-046"/>
        <s v="SYN-048"/>
        <s v="SYN-049"/>
        <s v="SYN-050"/>
        <s v="SYN-051"/>
        <s v="SYN-052"/>
        <s v="SYN-053"/>
        <s v="SYN-054"/>
        <s v="SYN-055"/>
        <s v="SYN-056"/>
        <s v="SYN-057"/>
        <s v="SYN-058"/>
        <s v="SYN-059"/>
        <s v="SYN-060"/>
        <s v="SYN-062"/>
        <s v="SYN-063"/>
        <s v="SYN-065"/>
        <s v="SYN-066"/>
        <s v="SYN-068"/>
        <s v="SYN-069"/>
        <s v="SYN-070"/>
        <s v="SYN-071"/>
        <s v="SYN-072"/>
        <s v="SYN-073"/>
        <s v="SYN-074"/>
        <s v="SYN-075"/>
        <s v="SYN-076"/>
        <s v="SYN-077"/>
        <s v="SYN-078"/>
        <s v="SYN-079"/>
        <s v="SYN-080"/>
        <s v="SYN-082"/>
        <s v="SYN-083"/>
        <s v="SYN-085"/>
        <s v="SYN-086"/>
        <s v="SYN-088"/>
        <s v="SYN-089"/>
        <s v="SYN-090"/>
        <s v="SYN-091"/>
        <s v="SYN-092"/>
        <s v="SYN-093"/>
        <s v="SYN-094"/>
        <s v="SYN-095"/>
        <s v="SYN-096"/>
        <s v="SYN-097"/>
        <s v="SYN-098"/>
        <s v="SYN-099"/>
        <s v="SYN-100"/>
        <s v="SYN-102"/>
        <s v="SYN-103"/>
        <s v="SYN-105"/>
        <s v="SYN-106"/>
        <s v="SYN-108"/>
        <s v="SYN-109"/>
        <s v="SYN-110"/>
        <s v="SYN-111"/>
        <s v="SYN-112"/>
        <s v="SYN-113"/>
        <s v="SYN-114"/>
        <s v="SYN-115"/>
        <s v="SYN-116"/>
        <s v="SYN-117"/>
        <s v="SYN-118"/>
        <s v="SYN-119"/>
        <s v="SYN-120"/>
        <s v="SYN-122"/>
        <s v="SYN-123"/>
        <s v="SYN-125"/>
        <s v="SYN-126"/>
        <s v="SYN-128"/>
        <s v="SYN-129"/>
        <s v="SYN-130"/>
        <s v="SYN-131"/>
        <s v="SYN-132"/>
        <s v="SYN-133"/>
        <s v="SYN-134"/>
        <s v="SYN-135"/>
        <s v="SYN-136"/>
        <s v="SYN-137"/>
        <s v="SYN-138"/>
        <s v="SYN-139"/>
        <s v="SYN-140"/>
        <s v="SYN-142"/>
        <s v="SYN-143"/>
        <s v="SYN-145"/>
        <s v="SYN-146"/>
        <s v="SYN-148"/>
        <s v="SYN-149"/>
        <s v="SYN-150"/>
        <s v="SYN-151"/>
        <s v="SYN-152"/>
        <s v="SYN-153"/>
        <s v="SYN-154"/>
        <s v="SYN-155"/>
        <s v="SYN-156"/>
        <s v="SYN-157"/>
        <s v="SYN-158"/>
        <s v="SYN-159"/>
        <s v="SYN-160"/>
      </sharedItems>
    </cacheField>
    <cacheField name="Date" uniqueList="1" sqlType="0" hierarchy="0" level="0" databaseField="1">
      <sharedItems count="403" containsDate="1" containsNumber="0" containsString="0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</sharedItems>
    </cacheField>
    <cacheField name="Script Name" uniqueList="1" sqlType="0" hierarchy="0" level="0" databaseField="1">
      <sharedItems count="136" containsDate="0" containsNumber="0" containsString="1">
        <s v="Synthetic Script 002"/>
        <s v="Synthetic Script 003"/>
        <s v="Synthetic Script 005"/>
        <s v="Synthetic Script 006"/>
        <s v="Synthetic Script 008"/>
        <s v="Synthetic Script 009"/>
        <s v="Synthetic Script 010"/>
        <s v="Synthetic Script 011"/>
        <s v="Synthetic Script 012"/>
        <s v="Synthetic Script 013"/>
        <s v="Synthetic Script 014"/>
        <s v="Synthetic Script 015"/>
        <s v="Synthetic Script 016"/>
        <s v="Synthetic Script 017"/>
        <s v="Synthetic Script 018"/>
        <s v="Synthetic Script 019"/>
        <s v="Synthetic Script 020"/>
        <s v="Synthetic Script 022"/>
        <s v="Synthetic Script 023"/>
        <s v="Synthetic Script 025"/>
        <s v="Synthetic Script 026"/>
        <s v="Synthetic Script 028"/>
        <s v="Synthetic Script 029"/>
        <s v="Synthetic Script 030"/>
        <s v="Synthetic Script 031"/>
        <s v="Synthetic Script 032"/>
        <s v="Synthetic Script 033"/>
        <s v="Synthetic Script 034"/>
        <s v="Synthetic Script 035"/>
        <s v="Synthetic Script 036"/>
        <s v="Synthetic Script 037"/>
        <s v="Synthetic Script 038"/>
        <s v="Synthetic Script 039"/>
        <s v="Synthetic Script 040"/>
        <s v="Synthetic Script 042"/>
        <s v="Synthetic Script 043"/>
        <s v="Synthetic Script 045"/>
        <s v="Synthetic Script 046"/>
        <s v="Synthetic Script 048"/>
        <s v="Synthetic Script 049"/>
        <s v="Synthetic Script 050"/>
        <s v="Synthetic Script 051"/>
        <s v="Synthetic Script 052"/>
        <s v="Synthetic Script 053"/>
        <s v="Synthetic Script 054"/>
        <s v="Synthetic Script 055"/>
        <s v="Synthetic Script 056"/>
        <s v="Synthetic Script 057"/>
        <s v="Synthetic Script 058"/>
        <s v="Synthetic Script 059"/>
        <s v="Synthetic Script 060"/>
        <s v="Synthetic Script 062"/>
        <s v="Synthetic Script 063"/>
        <s v="Synthetic Script 065"/>
        <s v="Synthetic Script 066"/>
        <s v="Synthetic Script 068"/>
        <s v="Synthetic Script 069"/>
        <s v="Synthetic Script 070"/>
        <s v="Synthetic Script 071"/>
        <s v="Synthetic Script 072"/>
        <s v="Synthetic Script 073"/>
        <s v="Synthetic Script 074"/>
        <s v="Synthetic Script 075"/>
        <s v="Synthetic Script 076"/>
        <s v="Synthetic Script 077"/>
        <s v="Synthetic Script 078"/>
        <s v="Synthetic Script 079"/>
        <s v="Synthetic Script 080"/>
        <s v="Synthetic Script 082"/>
        <s v="Synthetic Script 083"/>
        <s v="Synthetic Script 085"/>
        <s v="Synthetic Script 086"/>
        <s v="Synthetic Script 088"/>
        <s v="Synthetic Script 089"/>
        <s v="Synthetic Script 090"/>
        <s v="Synthetic Script 091"/>
        <s v="Synthetic Script 092"/>
        <s v="Synthetic Script 093"/>
        <s v="Synthetic Script 094"/>
        <s v="Synthetic Script 095"/>
        <s v="Synthetic Script 096"/>
        <s v="Synthetic Script 097"/>
        <s v="Synthetic Script 098"/>
        <s v="Synthetic Script 099"/>
        <s v="Synthetic Script 100"/>
        <s v="Synthetic Script 102"/>
        <s v="Synthetic Script 103"/>
        <s v="Synthetic Script 105"/>
        <s v="Synthetic Script 106"/>
        <s v="Synthetic Script 108"/>
        <s v="Synthetic Script 109"/>
        <s v="Synthetic Script 110"/>
        <s v="Synthetic Script 111"/>
        <s v="Synthetic Script 112"/>
        <s v="Synthetic Script 113"/>
        <s v="Synthetic Script 114"/>
        <s v="Synthetic Script 115"/>
        <s v="Synthetic Script 116"/>
        <s v="Synthetic Script 117"/>
        <s v="Synthetic Script 118"/>
        <s v="Synthetic Script 119"/>
        <s v="Synthetic Script 120"/>
        <s v="Synthetic Script 122"/>
        <s v="Synthetic Script 123"/>
        <s v="Synthetic Script 125"/>
        <s v="Synthetic Script 126"/>
        <s v="Synthetic Script 128"/>
        <s v="Synthetic Script 129"/>
        <s v="Synthetic Script 130"/>
        <s v="Synthetic Script 131"/>
        <s v="Synthetic Script 132"/>
        <s v="Synthetic Script 133"/>
        <s v="Synthetic Script 134"/>
        <s v="Synthetic Script 135"/>
        <s v="Synthetic Script 136"/>
        <s v="Synthetic Script 137"/>
        <s v="Synthetic Script 138"/>
        <s v="Synthetic Script 139"/>
        <s v="Synthetic Script 140"/>
        <s v="Synthetic Script 142"/>
        <s v="Synthetic Script 143"/>
        <s v="Synthetic Script 145"/>
        <s v="Synthetic Script 146"/>
        <s v="Synthetic Script 148"/>
        <s v="Synthetic Script 149"/>
        <s v="Synthetic Script 150"/>
        <s v="Synthetic Script 151"/>
        <s v="Synthetic Script 152"/>
        <s v="Synthetic Script 153"/>
        <s v="Synthetic Script 154"/>
        <s v="Synthetic Script 155"/>
        <s v="Synthetic Script 156"/>
        <s v="Synthetic Script 157"/>
        <s v="Synthetic Script 158"/>
        <s v="Synthetic Script 159"/>
        <s v="Synthetic Script 160"/>
      </sharedItems>
    </cacheField>
    <cacheField name="Script Type" uniqueList="1" sqlType="0" hierarchy="0" level="0" databaseField="1">
      <sharedItems count="4" containsDate="0" containsNumber="0" containsString="1">
        <s v="推理"/>
        <s v="情感"/>
        <s v="欢乐"/>
        <s v="机制"/>
      </sharedItems>
    </cacheField>
    <cacheField name="DM Count" uniqueList="1" sqlType="0" hierarchy="0" level="0" databaseField="1">
      <sharedItems count="4" containsDate="0" containsNumber="1" containsString="0">
        <n v="1"/>
        <n v="3"/>
        <n v="2"/>
        <n v="6"/>
      </sharedItems>
    </cacheField>
    <cacheField name="Players" uniqueList="1" sqlType="0" hierarchy="0" level="0" databaseField="1">
      <sharedItems count="3" containsDate="0" containsNumber="1" containsString="0">
        <n v="6"/>
        <n v="8"/>
        <n v="7"/>
      </sharedItems>
    </cacheField>
    <cacheField name="Price Per Player" uniqueList="1" sqlType="0" hierarchy="0" level="0" databaseField="1">
      <sharedItems count="8" containsDate="0" containsNumber="1" containsString="0">
        <n v="75"/>
        <n v="118"/>
        <n v="65"/>
        <n v="109"/>
        <n v="119"/>
        <n v="95"/>
        <n v="99"/>
        <n v="138"/>
      </sharedItems>
    </cacheField>
    <cacheField name="Estimated Gross Revenue" uniqueList="1" sqlType="0" hierarchy="0" level="0" databaseField="1">
      <sharedItems count="13" containsDate="0" containsNumber="1" containsString="0">
        <n v="450"/>
        <n v="708"/>
        <n v="520"/>
        <n v="654"/>
        <n v="714"/>
        <n v="665"/>
        <n v="872"/>
        <n v="594"/>
        <n v="763"/>
        <n v="760"/>
        <n v="828"/>
        <n v="826"/>
        <n v="1104"/>
      </sharedItems>
    </cacheField>
    <cacheField name="Standard DM Wage" uniqueList="1" sqlType="0" hierarchy="0" level="0" databaseField="1">
      <sharedItems count="10" containsDate="0" containsNumber="1" containsString="0">
        <n v="118"/>
        <n v="270"/>
        <n v="137"/>
        <n v="180"/>
        <n v="187"/>
        <n v="175"/>
        <n v="540"/>
        <n v="200"/>
        <n v="172"/>
        <n v="217"/>
      </sharedItems>
    </cacheField>
    <cacheField name="Script Edition" uniqueList="1" sqlType="0" hierarchy="0" level="0" databaseField="1">
      <sharedItems count="3" containsDate="0" containsNumber="0" containsString="1">
        <s v="城限"/>
        <s v="盒装"/>
        <s v="独家"/>
      </sharedItems>
    </cacheField>
    <cacheField name="Estimated Contribution" uniqueList="1" sqlType="0" hierarchy="0" level="0" databaseField="1">
      <sharedItems count="14" containsDate="0" containsNumber="1" containsString="0">
        <n v="332"/>
        <n v="438"/>
        <n v="383"/>
        <n v="474"/>
        <n v="527"/>
        <n v="490"/>
        <n v="528"/>
        <n v="324"/>
        <n v="563"/>
        <n v="560"/>
        <n v="648"/>
        <n v="482"/>
        <n v="609"/>
        <n v="564"/>
      </sharedItems>
    </cacheField>
    <cacheField name="Rating" uniqueList="1" sqlType="0" hierarchy="0" level="0" databaseField="1">
      <sharedItems count="3" containsDate="0" containsNumber="1" containsString="0">
        <n v="7.7"/>
        <n v="8.4"/>
        <n v="7"/>
      </sharedItems>
    </cacheField>
    <cacheField name="Month Start" uniqueList="1" sqlType="0" hierarchy="0" level="0" databaseField="1">
      <sharedItems count="14" containsDate="1" containsNumber="0" containsString="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</sharedItems>
    </cacheField>
    <cacheField name="Report Month" uniqueList="1" sqlType="0" hierarchy="0" level="0" databaseField="1">
      <sharedItems count="14" containsDate="0" containsNumber="0" containsString="1"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saveData="1" refreshOnLoad="0" enableRefresh="1" missingItemsLimit="0" recordCount="416" r:id="rId1">
  <cacheSource type="worksheet">
    <worksheetSource name="RawData"/>
  </cacheSource>
  <cacheFields count="15">
    <cacheField name="Session ID" uniqueList="1" sqlType="0" hierarchy="0" level="0" databaseField="1">
      <sharedItems count="416" containsDate="0" containsNumber="0" containsString="1">
        <s v="SES-0001"/>
        <s v="SES-0002"/>
        <s v="SES-0003"/>
        <s v="SES-0004"/>
        <s v="SES-0005"/>
        <s v="SES-0006"/>
        <s v="SES-0007"/>
        <s v="SES-0008"/>
        <s v="SES-0009"/>
        <s v="SES-0010"/>
        <s v="SES-0011"/>
        <s v="SES-0012"/>
        <s v="SES-0013"/>
        <s v="SES-0014"/>
        <s v="SES-0015"/>
        <s v="SES-0016"/>
        <s v="SES-0017"/>
        <s v="SES-0018"/>
        <s v="SES-0019"/>
        <s v="SES-0020"/>
        <s v="SES-0021"/>
        <s v="SES-0022"/>
        <s v="SES-0023"/>
        <s v="SES-0024"/>
        <s v="SES-0025"/>
        <s v="SES-0026"/>
        <s v="SES-0027"/>
        <s v="SES-0028"/>
        <s v="SES-0029"/>
        <s v="SES-0030"/>
        <s v="SES-0031"/>
        <s v="SES-0032"/>
        <s v="SES-0033"/>
        <s v="SES-0034"/>
        <s v="SES-0035"/>
        <s v="SES-0036"/>
        <s v="SES-0037"/>
        <s v="SES-0038"/>
        <s v="SES-0039"/>
        <s v="SES-0040"/>
        <s v="SES-0041"/>
        <s v="SES-0042"/>
        <s v="SES-0043"/>
        <s v="SES-0044"/>
        <s v="SES-0045"/>
        <s v="SES-0046"/>
        <s v="SES-0047"/>
        <s v="SES-0048"/>
        <s v="SES-0049"/>
        <s v="SES-0050"/>
        <s v="SES-0051"/>
        <s v="SES-0052"/>
        <s v="SES-0053"/>
        <s v="SES-0054"/>
        <s v="SES-0055"/>
        <s v="SES-0056"/>
        <s v="SES-0057"/>
        <s v="SES-0058"/>
        <s v="SES-0059"/>
        <s v="SES-0060"/>
        <s v="SES-0061"/>
        <s v="SES-0062"/>
        <s v="SES-0063"/>
        <s v="SES-0064"/>
        <s v="SES-0065"/>
        <s v="SES-0066"/>
        <s v="SES-0067"/>
        <s v="SES-0068"/>
        <s v="SES-0069"/>
        <s v="SES-0070"/>
        <s v="SES-0071"/>
        <s v="SES-0072"/>
        <s v="SES-0073"/>
        <s v="SES-0074"/>
        <s v="SES-0075"/>
        <s v="SES-0076"/>
        <s v="SES-0077"/>
        <s v="SES-0078"/>
        <s v="SES-0079"/>
        <s v="SES-0080"/>
        <s v="SES-0081"/>
        <s v="SES-0082"/>
        <s v="SES-0083"/>
        <s v="SES-0084"/>
        <s v="SES-0085"/>
        <s v="SES-0086"/>
        <s v="SES-0087"/>
        <s v="SES-0088"/>
        <s v="SES-0089"/>
        <s v="SES-0090"/>
        <s v="SES-0091"/>
        <s v="SES-0092"/>
        <s v="SES-0093"/>
        <s v="SES-0094"/>
        <s v="SES-0095"/>
        <s v="SES-0096"/>
        <s v="SES-0097"/>
        <s v="SES-0098"/>
        <s v="SES-0099"/>
        <s v="SES-0100"/>
        <s v="SES-0101"/>
        <s v="SES-0102"/>
        <s v="SES-0103"/>
        <s v="SES-0104"/>
        <s v="SES-0105"/>
        <s v="SES-0106"/>
        <s v="SES-0107"/>
        <s v="SES-0108"/>
        <s v="SES-0109"/>
        <s v="SES-0110"/>
        <s v="SES-0111"/>
        <s v="SES-0112"/>
        <s v="SES-0113"/>
        <s v="SES-0114"/>
        <s v="SES-0115"/>
        <s v="SES-0116"/>
        <s v="SES-0117"/>
        <s v="SES-0118"/>
        <s v="SES-0119"/>
        <s v="SES-0120"/>
        <s v="SES-0121"/>
        <s v="SES-0122"/>
        <s v="SES-0123"/>
        <s v="SES-0124"/>
        <s v="SES-0125"/>
        <s v="SES-0126"/>
        <s v="SES-0127"/>
        <s v="SES-0128"/>
        <s v="SES-0129"/>
        <s v="SES-0130"/>
        <s v="SES-0131"/>
        <s v="SES-0132"/>
        <s v="SES-0133"/>
        <s v="SES-0134"/>
        <s v="SES-0135"/>
        <s v="SES-0136"/>
        <s v="SES-0137"/>
        <s v="SES-0138"/>
        <s v="SES-0139"/>
        <s v="SES-0140"/>
        <s v="SES-0141"/>
        <s v="SES-0142"/>
        <s v="SES-0143"/>
        <s v="SES-0144"/>
        <s v="SES-0145"/>
        <s v="SES-0146"/>
        <s v="SES-0147"/>
        <s v="SES-0148"/>
        <s v="SES-0149"/>
        <s v="SES-0150"/>
        <s v="SES-0151"/>
        <s v="SES-0152"/>
        <s v="SES-0153"/>
        <s v="SES-0154"/>
        <s v="SES-0155"/>
        <s v="SES-0156"/>
        <s v="SES-0157"/>
        <s v="SES-0158"/>
        <s v="SES-0159"/>
        <s v="SES-0160"/>
        <s v="SES-0161"/>
        <s v="SES-0162"/>
        <s v="SES-0163"/>
        <s v="SES-0164"/>
        <s v="SES-0165"/>
        <s v="SES-0166"/>
        <s v="SES-0167"/>
        <s v="SES-0168"/>
        <s v="SES-0169"/>
        <s v="SES-0170"/>
        <s v="SES-0171"/>
        <s v="SES-0172"/>
        <s v="SES-0173"/>
        <s v="SES-0174"/>
        <s v="SES-0175"/>
        <s v="SES-0176"/>
        <s v="SES-0177"/>
        <s v="SES-0178"/>
        <s v="SES-0179"/>
        <s v="SES-0180"/>
        <s v="SES-0181"/>
        <s v="SES-0182"/>
        <s v="SES-0183"/>
        <s v="SES-0184"/>
        <s v="SES-0185"/>
        <s v="SES-0186"/>
        <s v="SES-0187"/>
        <s v="SES-0188"/>
        <s v="SES-0189"/>
        <s v="SES-0190"/>
        <s v="SES-0191"/>
        <s v="SES-0192"/>
        <s v="SES-0193"/>
        <s v="SES-0194"/>
        <s v="SES-0195"/>
        <s v="SES-0196"/>
        <s v="SES-0197"/>
        <s v="SES-0198"/>
        <s v="SES-0199"/>
        <s v="SES-0200"/>
        <s v="SES-0201"/>
        <s v="SES-0202"/>
        <s v="SES-0203"/>
        <s v="SES-0204"/>
        <s v="SES-0205"/>
        <s v="SES-0206"/>
        <s v="SES-0207"/>
        <s v="SES-0208"/>
        <s v="SES-0209"/>
        <s v="SES-0210"/>
        <s v="SES-0211"/>
        <s v="SES-0212"/>
        <s v="SES-0213"/>
        <s v="SES-0214"/>
        <s v="SES-0215"/>
        <s v="SES-0216"/>
        <s v="SES-0217"/>
        <s v="SES-0218"/>
        <s v="SES-0219"/>
        <s v="SES-0220"/>
        <s v="SES-0221"/>
        <s v="SES-0222"/>
        <s v="SES-0223"/>
        <s v="SES-0224"/>
        <s v="SES-0225"/>
        <s v="SES-0226"/>
        <s v="SES-0227"/>
        <s v="SES-0228"/>
        <s v="SES-0229"/>
        <s v="SES-0230"/>
        <s v="SES-0231"/>
        <s v="SES-0232"/>
        <s v="SES-0233"/>
        <s v="SES-0234"/>
        <s v="SES-0235"/>
        <s v="SES-0236"/>
        <s v="SES-0237"/>
        <s v="SES-0238"/>
        <s v="SES-0239"/>
        <s v="SES-0240"/>
        <s v="SES-0241"/>
        <s v="SES-0242"/>
        <s v="SES-0243"/>
        <s v="SES-0244"/>
        <s v="SES-0245"/>
        <s v="SES-0246"/>
        <s v="SES-0247"/>
        <s v="SES-0248"/>
        <s v="SES-0249"/>
        <s v="SES-0250"/>
        <s v="SES-0251"/>
        <s v="SES-0252"/>
        <s v="SES-0253"/>
        <s v="SES-0254"/>
        <s v="SES-0255"/>
        <s v="SES-0256"/>
        <s v="SES-0257"/>
        <s v="SES-0258"/>
        <s v="SES-0259"/>
        <s v="SES-0260"/>
        <s v="SES-0261"/>
        <s v="SES-0262"/>
        <s v="SES-0263"/>
        <s v="SES-0264"/>
        <s v="SES-0265"/>
        <s v="SES-0266"/>
        <s v="SES-0267"/>
        <s v="SES-0268"/>
        <s v="SES-0269"/>
        <s v="SES-0270"/>
        <s v="SES-0271"/>
        <s v="SES-0272"/>
        <s v="SES-0273"/>
        <s v="SES-0274"/>
        <s v="SES-0275"/>
        <s v="SES-0276"/>
        <s v="SES-0277"/>
        <s v="SES-0278"/>
        <s v="SES-0279"/>
        <s v="SES-0280"/>
        <s v="SES-0281"/>
        <s v="SES-0282"/>
        <s v="SES-0283"/>
        <s v="SES-0284"/>
        <s v="SES-0285"/>
        <s v="SES-0286"/>
        <s v="SES-0287"/>
        <s v="SES-0288"/>
        <s v="SES-0289"/>
        <s v="SES-0290"/>
        <s v="SES-0291"/>
        <s v="SES-0292"/>
        <s v="SES-0293"/>
        <s v="SES-0294"/>
        <s v="SES-0295"/>
        <s v="SES-0296"/>
        <s v="SES-0297"/>
        <s v="SES-0298"/>
        <s v="SES-0299"/>
        <s v="SES-0300"/>
        <s v="SES-0301"/>
        <s v="SES-0302"/>
        <s v="SES-0303"/>
        <s v="SES-0304"/>
        <s v="SES-0305"/>
        <s v="SES-0306"/>
        <s v="SES-0307"/>
        <s v="SES-0308"/>
        <s v="SES-0309"/>
        <s v="SES-0310"/>
        <s v="SES-0311"/>
        <s v="SES-0312"/>
        <s v="SES-0313"/>
        <s v="SES-0314"/>
        <s v="SES-0315"/>
        <s v="SES-0316"/>
        <s v="SES-0317"/>
        <s v="SES-0318"/>
        <s v="SES-0319"/>
        <s v="SES-0320"/>
        <s v="SES-0321"/>
        <s v="SES-0322"/>
        <s v="SES-0323"/>
        <s v="SES-0324"/>
        <s v="SES-0325"/>
        <s v="SES-0326"/>
        <s v="SES-0327"/>
        <s v="SES-0328"/>
        <s v="SES-0329"/>
        <s v="SES-0330"/>
        <s v="SES-0331"/>
        <s v="SES-0332"/>
        <s v="SES-0333"/>
        <s v="SES-0334"/>
        <s v="SES-0335"/>
        <s v="SES-0336"/>
        <s v="SES-0337"/>
        <s v="SES-0338"/>
        <s v="SES-0339"/>
        <s v="SES-0340"/>
        <s v="SES-0341"/>
        <s v="SES-0342"/>
        <s v="SES-0343"/>
        <s v="SES-0344"/>
        <s v="SES-0345"/>
        <s v="SES-0346"/>
        <s v="SES-0347"/>
        <s v="SES-0348"/>
        <s v="SES-0349"/>
        <s v="SES-0350"/>
        <s v="SES-0351"/>
        <s v="SES-0352"/>
        <s v="SES-0353"/>
        <s v="SES-0354"/>
        <s v="SES-0355"/>
        <s v="SES-0356"/>
        <s v="SES-0357"/>
        <s v="SES-0358"/>
        <s v="SES-0359"/>
        <s v="SES-0360"/>
        <s v="SES-0361"/>
        <s v="SES-0362"/>
        <s v="SES-0363"/>
        <s v="SES-0364"/>
        <s v="SES-0365"/>
        <s v="SES-0366"/>
        <s v="SES-0367"/>
        <s v="SES-0368"/>
        <s v="SES-0369"/>
        <s v="SES-0370"/>
        <s v="SES-0371"/>
        <s v="SES-0372"/>
        <s v="SES-0373"/>
        <s v="SES-0374"/>
        <s v="SES-0375"/>
        <s v="SES-0376"/>
        <s v="SES-0377"/>
        <s v="SES-0378"/>
        <s v="SES-0379"/>
        <s v="SES-0380"/>
        <s v="SES-0381"/>
        <s v="SES-0382"/>
        <s v="SES-0383"/>
        <s v="SES-0384"/>
        <s v="SES-0385"/>
        <s v="SES-0386"/>
        <s v="SES-0387"/>
        <s v="SES-0388"/>
        <s v="SES-0389"/>
        <s v="SES-0390"/>
        <s v="SES-0391"/>
        <s v="SES-0392"/>
        <s v="SES-0393"/>
        <s v="SES-0394"/>
        <s v="SES-0395"/>
        <s v="SES-0396"/>
        <s v="SES-0397"/>
        <s v="SES-0398"/>
        <s v="SES-0399"/>
        <s v="SES-0400"/>
        <s v="SES-0401"/>
        <s v="SES-0402"/>
        <s v="SES-0403"/>
        <s v="SES-0404"/>
        <s v="SES-0405"/>
        <s v="SES-0406"/>
        <s v="SES-0407"/>
        <s v="SES-0408"/>
        <s v="SES-0409"/>
        <s v="SES-0410"/>
        <s v="SES-0411"/>
        <s v="SES-0412"/>
        <s v="SES-0413"/>
        <s v="SES-0414"/>
        <s v="SES-0415"/>
        <s v="SES-0416"/>
      </sharedItems>
    </cacheField>
    <cacheField name="Script ID" uniqueList="1" sqlType="0" hierarchy="0" level="0" databaseField="1">
      <sharedItems count="136" containsDate="0" containsNumber="0" containsString="1">
        <s v="SYN-002"/>
        <s v="SYN-003"/>
        <s v="SYN-005"/>
        <s v="SYN-006"/>
        <s v="SYN-008"/>
        <s v="SYN-009"/>
        <s v="SYN-010"/>
        <s v="SYN-011"/>
        <s v="SYN-012"/>
        <s v="SYN-013"/>
        <s v="SYN-014"/>
        <s v="SYN-015"/>
        <s v="SYN-016"/>
        <s v="SYN-017"/>
        <s v="SYN-018"/>
        <s v="SYN-019"/>
        <s v="SYN-020"/>
        <s v="SYN-022"/>
        <s v="SYN-023"/>
        <s v="SYN-025"/>
        <s v="SYN-026"/>
        <s v="SYN-028"/>
        <s v="SYN-029"/>
        <s v="SYN-030"/>
        <s v="SYN-031"/>
        <s v="SYN-032"/>
        <s v="SYN-033"/>
        <s v="SYN-034"/>
        <s v="SYN-035"/>
        <s v="SYN-036"/>
        <s v="SYN-037"/>
        <s v="SYN-038"/>
        <s v="SYN-039"/>
        <s v="SYN-040"/>
        <s v="SYN-042"/>
        <s v="SYN-043"/>
        <s v="SYN-045"/>
        <s v="SYN-046"/>
        <s v="SYN-048"/>
        <s v="SYN-049"/>
        <s v="SYN-050"/>
        <s v="SYN-051"/>
        <s v="SYN-052"/>
        <s v="SYN-053"/>
        <s v="SYN-054"/>
        <s v="SYN-055"/>
        <s v="SYN-056"/>
        <s v="SYN-057"/>
        <s v="SYN-058"/>
        <s v="SYN-059"/>
        <s v="SYN-060"/>
        <s v="SYN-062"/>
        <s v="SYN-063"/>
        <s v="SYN-065"/>
        <s v="SYN-066"/>
        <s v="SYN-068"/>
        <s v="SYN-069"/>
        <s v="SYN-070"/>
        <s v="SYN-071"/>
        <s v="SYN-072"/>
        <s v="SYN-073"/>
        <s v="SYN-074"/>
        <s v="SYN-075"/>
        <s v="SYN-076"/>
        <s v="SYN-077"/>
        <s v="SYN-078"/>
        <s v="SYN-079"/>
        <s v="SYN-080"/>
        <s v="SYN-082"/>
        <s v="SYN-083"/>
        <s v="SYN-085"/>
        <s v="SYN-086"/>
        <s v="SYN-088"/>
        <s v="SYN-089"/>
        <s v="SYN-090"/>
        <s v="SYN-091"/>
        <s v="SYN-092"/>
        <s v="SYN-093"/>
        <s v="SYN-094"/>
        <s v="SYN-095"/>
        <s v="SYN-096"/>
        <s v="SYN-097"/>
        <s v="SYN-098"/>
        <s v="SYN-099"/>
        <s v="SYN-100"/>
        <s v="SYN-102"/>
        <s v="SYN-103"/>
        <s v="SYN-105"/>
        <s v="SYN-106"/>
        <s v="SYN-108"/>
        <s v="SYN-109"/>
        <s v="SYN-110"/>
        <s v="SYN-111"/>
        <s v="SYN-112"/>
        <s v="SYN-113"/>
        <s v="SYN-114"/>
        <s v="SYN-115"/>
        <s v="SYN-116"/>
        <s v="SYN-117"/>
        <s v="SYN-118"/>
        <s v="SYN-119"/>
        <s v="SYN-120"/>
        <s v="SYN-122"/>
        <s v="SYN-123"/>
        <s v="SYN-125"/>
        <s v="SYN-126"/>
        <s v="SYN-128"/>
        <s v="SYN-129"/>
        <s v="SYN-130"/>
        <s v="SYN-131"/>
        <s v="SYN-132"/>
        <s v="SYN-133"/>
        <s v="SYN-134"/>
        <s v="SYN-135"/>
        <s v="SYN-136"/>
        <s v="SYN-137"/>
        <s v="SYN-138"/>
        <s v="SYN-139"/>
        <s v="SYN-140"/>
        <s v="SYN-142"/>
        <s v="SYN-143"/>
        <s v="SYN-145"/>
        <s v="SYN-146"/>
        <s v="SYN-148"/>
        <s v="SYN-149"/>
        <s v="SYN-150"/>
        <s v="SYN-151"/>
        <s v="SYN-152"/>
        <s v="SYN-153"/>
        <s v="SYN-154"/>
        <s v="SYN-155"/>
        <s v="SYN-156"/>
        <s v="SYN-157"/>
        <s v="SYN-158"/>
        <s v="SYN-159"/>
        <s v="SYN-160"/>
      </sharedItems>
    </cacheField>
    <cacheField name="Date" uniqueList="1" sqlType="0" hierarchy="0" level="0" databaseField="1">
      <sharedItems count="403" containsDate="1" containsNumber="0" containsString="0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</sharedItems>
    </cacheField>
    <cacheField name="Script Name" uniqueList="1" sqlType="0" hierarchy="0" level="0" databaseField="1">
      <sharedItems count="136" containsDate="0" containsNumber="0" containsString="1">
        <s v="Synthetic Script 002"/>
        <s v="Synthetic Script 003"/>
        <s v="Synthetic Script 005"/>
        <s v="Synthetic Script 006"/>
        <s v="Synthetic Script 008"/>
        <s v="Synthetic Script 009"/>
        <s v="Synthetic Script 010"/>
        <s v="Synthetic Script 011"/>
        <s v="Synthetic Script 012"/>
        <s v="Synthetic Script 013"/>
        <s v="Synthetic Script 014"/>
        <s v="Synthetic Script 015"/>
        <s v="Synthetic Script 016"/>
        <s v="Synthetic Script 017"/>
        <s v="Synthetic Script 018"/>
        <s v="Synthetic Script 019"/>
        <s v="Synthetic Script 020"/>
        <s v="Synthetic Script 022"/>
        <s v="Synthetic Script 023"/>
        <s v="Synthetic Script 025"/>
        <s v="Synthetic Script 026"/>
        <s v="Synthetic Script 028"/>
        <s v="Synthetic Script 029"/>
        <s v="Synthetic Script 030"/>
        <s v="Synthetic Script 031"/>
        <s v="Synthetic Script 032"/>
        <s v="Synthetic Script 033"/>
        <s v="Synthetic Script 034"/>
        <s v="Synthetic Script 035"/>
        <s v="Synthetic Script 036"/>
        <s v="Synthetic Script 037"/>
        <s v="Synthetic Script 038"/>
        <s v="Synthetic Script 039"/>
        <s v="Synthetic Script 040"/>
        <s v="Synthetic Script 042"/>
        <s v="Synthetic Script 043"/>
        <s v="Synthetic Script 045"/>
        <s v="Synthetic Script 046"/>
        <s v="Synthetic Script 048"/>
        <s v="Synthetic Script 049"/>
        <s v="Synthetic Script 050"/>
        <s v="Synthetic Script 051"/>
        <s v="Synthetic Script 052"/>
        <s v="Synthetic Script 053"/>
        <s v="Synthetic Script 054"/>
        <s v="Synthetic Script 055"/>
        <s v="Synthetic Script 056"/>
        <s v="Synthetic Script 057"/>
        <s v="Synthetic Script 058"/>
        <s v="Synthetic Script 059"/>
        <s v="Synthetic Script 060"/>
        <s v="Synthetic Script 062"/>
        <s v="Synthetic Script 063"/>
        <s v="Synthetic Script 065"/>
        <s v="Synthetic Script 066"/>
        <s v="Synthetic Script 068"/>
        <s v="Synthetic Script 069"/>
        <s v="Synthetic Script 070"/>
        <s v="Synthetic Script 071"/>
        <s v="Synthetic Script 072"/>
        <s v="Synthetic Script 073"/>
        <s v="Synthetic Script 074"/>
        <s v="Synthetic Script 075"/>
        <s v="Synthetic Script 076"/>
        <s v="Synthetic Script 077"/>
        <s v="Synthetic Script 078"/>
        <s v="Synthetic Script 079"/>
        <s v="Synthetic Script 080"/>
        <s v="Synthetic Script 082"/>
        <s v="Synthetic Script 083"/>
        <s v="Synthetic Script 085"/>
        <s v="Synthetic Script 086"/>
        <s v="Synthetic Script 088"/>
        <s v="Synthetic Script 089"/>
        <s v="Synthetic Script 090"/>
        <s v="Synthetic Script 091"/>
        <s v="Synthetic Script 092"/>
        <s v="Synthetic Script 093"/>
        <s v="Synthetic Script 094"/>
        <s v="Synthetic Script 095"/>
        <s v="Synthetic Script 096"/>
        <s v="Synthetic Script 097"/>
        <s v="Synthetic Script 098"/>
        <s v="Synthetic Script 099"/>
        <s v="Synthetic Script 100"/>
        <s v="Synthetic Script 102"/>
        <s v="Synthetic Script 103"/>
        <s v="Synthetic Script 105"/>
        <s v="Synthetic Script 106"/>
        <s v="Synthetic Script 108"/>
        <s v="Synthetic Script 109"/>
        <s v="Synthetic Script 110"/>
        <s v="Synthetic Script 111"/>
        <s v="Synthetic Script 112"/>
        <s v="Synthetic Script 113"/>
        <s v="Synthetic Script 114"/>
        <s v="Synthetic Script 115"/>
        <s v="Synthetic Script 116"/>
        <s v="Synthetic Script 117"/>
        <s v="Synthetic Script 118"/>
        <s v="Synthetic Script 119"/>
        <s v="Synthetic Script 120"/>
        <s v="Synthetic Script 122"/>
        <s v="Synthetic Script 123"/>
        <s v="Synthetic Script 125"/>
        <s v="Synthetic Script 126"/>
        <s v="Synthetic Script 128"/>
        <s v="Synthetic Script 129"/>
        <s v="Synthetic Script 130"/>
        <s v="Synthetic Script 131"/>
        <s v="Synthetic Script 132"/>
        <s v="Synthetic Script 133"/>
        <s v="Synthetic Script 134"/>
        <s v="Synthetic Script 135"/>
        <s v="Synthetic Script 136"/>
        <s v="Synthetic Script 137"/>
        <s v="Synthetic Script 138"/>
        <s v="Synthetic Script 139"/>
        <s v="Synthetic Script 140"/>
        <s v="Synthetic Script 142"/>
        <s v="Synthetic Script 143"/>
        <s v="Synthetic Script 145"/>
        <s v="Synthetic Script 146"/>
        <s v="Synthetic Script 148"/>
        <s v="Synthetic Script 149"/>
        <s v="Synthetic Script 150"/>
        <s v="Synthetic Script 151"/>
        <s v="Synthetic Script 152"/>
        <s v="Synthetic Script 153"/>
        <s v="Synthetic Script 154"/>
        <s v="Synthetic Script 155"/>
        <s v="Synthetic Script 156"/>
        <s v="Synthetic Script 157"/>
        <s v="Synthetic Script 158"/>
        <s v="Synthetic Script 159"/>
        <s v="Synthetic Script 160"/>
      </sharedItems>
    </cacheField>
    <cacheField name="Script Type" uniqueList="1" sqlType="0" hierarchy="0" level="0" databaseField="1">
      <sharedItems count="4" containsDate="0" containsNumber="0" containsString="1">
        <s v="推理"/>
        <s v="情感"/>
        <s v="欢乐"/>
        <s v="机制"/>
      </sharedItems>
    </cacheField>
    <cacheField name="DM Count" uniqueList="1" sqlType="0" hierarchy="0" level="0" databaseField="1">
      <sharedItems count="4" containsDate="0" containsNumber="1" containsString="0">
        <n v="1"/>
        <n v="3"/>
        <n v="2"/>
        <n v="6"/>
      </sharedItems>
    </cacheField>
    <cacheField name="Players" uniqueList="1" sqlType="0" hierarchy="0" level="0" databaseField="1">
      <sharedItems count="3" containsDate="0" containsNumber="1" containsString="0">
        <n v="6"/>
        <n v="8"/>
        <n v="7"/>
      </sharedItems>
    </cacheField>
    <cacheField name="Price Per Player" uniqueList="1" sqlType="0" hierarchy="0" level="0" databaseField="1">
      <sharedItems count="8" containsDate="0" containsNumber="1" containsString="0">
        <n v="75"/>
        <n v="118"/>
        <n v="65"/>
        <n v="109"/>
        <n v="119"/>
        <n v="95"/>
        <n v="99"/>
        <n v="138"/>
      </sharedItems>
    </cacheField>
    <cacheField name="Estimated Gross Revenue" uniqueList="1" sqlType="0" hierarchy="0" level="0" databaseField="1">
      <sharedItems count="13" containsDate="0" containsNumber="1" containsString="0">
        <n v="450"/>
        <n v="708"/>
        <n v="520"/>
        <n v="654"/>
        <n v="714"/>
        <n v="665"/>
        <n v="872"/>
        <n v="594"/>
        <n v="763"/>
        <n v="760"/>
        <n v="828"/>
        <n v="826"/>
        <n v="1104"/>
      </sharedItems>
    </cacheField>
    <cacheField name="Standard DM Wage" uniqueList="1" sqlType="0" hierarchy="0" level="0" databaseField="1">
      <sharedItems count="10" containsDate="0" containsNumber="1" containsString="0">
        <n v="118"/>
        <n v="270"/>
        <n v="137"/>
        <n v="180"/>
        <n v="187"/>
        <n v="175"/>
        <n v="540"/>
        <n v="200"/>
        <n v="172"/>
        <n v="217"/>
      </sharedItems>
    </cacheField>
    <cacheField name="Script Edition" uniqueList="1" sqlType="0" hierarchy="0" level="0" databaseField="1">
      <sharedItems count="3" containsDate="0" containsNumber="0" containsString="1">
        <s v="城限"/>
        <s v="盒装"/>
        <s v="独家"/>
      </sharedItems>
    </cacheField>
    <cacheField name="Estimated Contribution" uniqueList="1" sqlType="0" hierarchy="0" level="0" databaseField="1">
      <sharedItems count="14" containsDate="0" containsNumber="1" containsString="0">
        <n v="332"/>
        <n v="438"/>
        <n v="383"/>
        <n v="474"/>
        <n v="527"/>
        <n v="490"/>
        <n v="528"/>
        <n v="324"/>
        <n v="563"/>
        <n v="560"/>
        <n v="648"/>
        <n v="482"/>
        <n v="609"/>
        <n v="564"/>
      </sharedItems>
    </cacheField>
    <cacheField name="Rating" uniqueList="1" sqlType="0" hierarchy="0" level="0" databaseField="1">
      <sharedItems count="3" containsDate="0" containsNumber="1" containsString="0">
        <n v="7.7"/>
        <n v="8.4"/>
        <n v="7"/>
      </sharedItems>
    </cacheField>
    <cacheField name="Month Start" uniqueList="1" sqlType="0" hierarchy="0" level="0" databaseField="1">
      <sharedItems count="14" containsDate="1" containsNumber="0" containsString="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</sharedItems>
    </cacheField>
    <cacheField name="Report Month" uniqueList="1" sqlType="0" hierarchy="0" level="0" databaseField="1">
      <sharedItems count="14" containsDate="0" containsNumber="0" containsString="1"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</sharedItems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saveData="1" refreshOnLoad="0" enableRefresh="1" missingItemsLimit="0" recordCount="416" r:id="rId1">
  <cacheSource type="worksheet">
    <worksheetSource name="RawData"/>
  </cacheSource>
  <cacheFields count="15">
    <cacheField name="Session ID" uniqueList="1" sqlType="0" hierarchy="0" level="0" databaseField="1">
      <sharedItems count="416" containsDate="0" containsNumber="0" containsString="1">
        <s v="SES-0001"/>
        <s v="SES-0002"/>
        <s v="SES-0003"/>
        <s v="SES-0004"/>
        <s v="SES-0005"/>
        <s v="SES-0006"/>
        <s v="SES-0007"/>
        <s v="SES-0008"/>
        <s v="SES-0009"/>
        <s v="SES-0010"/>
        <s v="SES-0011"/>
        <s v="SES-0012"/>
        <s v="SES-0013"/>
        <s v="SES-0014"/>
        <s v="SES-0015"/>
        <s v="SES-0016"/>
        <s v="SES-0017"/>
        <s v="SES-0018"/>
        <s v="SES-0019"/>
        <s v="SES-0020"/>
        <s v="SES-0021"/>
        <s v="SES-0022"/>
        <s v="SES-0023"/>
        <s v="SES-0024"/>
        <s v="SES-0025"/>
        <s v="SES-0026"/>
        <s v="SES-0027"/>
        <s v="SES-0028"/>
        <s v="SES-0029"/>
        <s v="SES-0030"/>
        <s v="SES-0031"/>
        <s v="SES-0032"/>
        <s v="SES-0033"/>
        <s v="SES-0034"/>
        <s v="SES-0035"/>
        <s v="SES-0036"/>
        <s v="SES-0037"/>
        <s v="SES-0038"/>
        <s v="SES-0039"/>
        <s v="SES-0040"/>
        <s v="SES-0041"/>
        <s v="SES-0042"/>
        <s v="SES-0043"/>
        <s v="SES-0044"/>
        <s v="SES-0045"/>
        <s v="SES-0046"/>
        <s v="SES-0047"/>
        <s v="SES-0048"/>
        <s v="SES-0049"/>
        <s v="SES-0050"/>
        <s v="SES-0051"/>
        <s v="SES-0052"/>
        <s v="SES-0053"/>
        <s v="SES-0054"/>
        <s v="SES-0055"/>
        <s v="SES-0056"/>
        <s v="SES-0057"/>
        <s v="SES-0058"/>
        <s v="SES-0059"/>
        <s v="SES-0060"/>
        <s v="SES-0061"/>
        <s v="SES-0062"/>
        <s v="SES-0063"/>
        <s v="SES-0064"/>
        <s v="SES-0065"/>
        <s v="SES-0066"/>
        <s v="SES-0067"/>
        <s v="SES-0068"/>
        <s v="SES-0069"/>
        <s v="SES-0070"/>
        <s v="SES-0071"/>
        <s v="SES-0072"/>
        <s v="SES-0073"/>
        <s v="SES-0074"/>
        <s v="SES-0075"/>
        <s v="SES-0076"/>
        <s v="SES-0077"/>
        <s v="SES-0078"/>
        <s v="SES-0079"/>
        <s v="SES-0080"/>
        <s v="SES-0081"/>
        <s v="SES-0082"/>
        <s v="SES-0083"/>
        <s v="SES-0084"/>
        <s v="SES-0085"/>
        <s v="SES-0086"/>
        <s v="SES-0087"/>
        <s v="SES-0088"/>
        <s v="SES-0089"/>
        <s v="SES-0090"/>
        <s v="SES-0091"/>
        <s v="SES-0092"/>
        <s v="SES-0093"/>
        <s v="SES-0094"/>
        <s v="SES-0095"/>
        <s v="SES-0096"/>
        <s v="SES-0097"/>
        <s v="SES-0098"/>
        <s v="SES-0099"/>
        <s v="SES-0100"/>
        <s v="SES-0101"/>
        <s v="SES-0102"/>
        <s v="SES-0103"/>
        <s v="SES-0104"/>
        <s v="SES-0105"/>
        <s v="SES-0106"/>
        <s v="SES-0107"/>
        <s v="SES-0108"/>
        <s v="SES-0109"/>
        <s v="SES-0110"/>
        <s v="SES-0111"/>
        <s v="SES-0112"/>
        <s v="SES-0113"/>
        <s v="SES-0114"/>
        <s v="SES-0115"/>
        <s v="SES-0116"/>
        <s v="SES-0117"/>
        <s v="SES-0118"/>
        <s v="SES-0119"/>
        <s v="SES-0120"/>
        <s v="SES-0121"/>
        <s v="SES-0122"/>
        <s v="SES-0123"/>
        <s v="SES-0124"/>
        <s v="SES-0125"/>
        <s v="SES-0126"/>
        <s v="SES-0127"/>
        <s v="SES-0128"/>
        <s v="SES-0129"/>
        <s v="SES-0130"/>
        <s v="SES-0131"/>
        <s v="SES-0132"/>
        <s v="SES-0133"/>
        <s v="SES-0134"/>
        <s v="SES-0135"/>
        <s v="SES-0136"/>
        <s v="SES-0137"/>
        <s v="SES-0138"/>
        <s v="SES-0139"/>
        <s v="SES-0140"/>
        <s v="SES-0141"/>
        <s v="SES-0142"/>
        <s v="SES-0143"/>
        <s v="SES-0144"/>
        <s v="SES-0145"/>
        <s v="SES-0146"/>
        <s v="SES-0147"/>
        <s v="SES-0148"/>
        <s v="SES-0149"/>
        <s v="SES-0150"/>
        <s v="SES-0151"/>
        <s v="SES-0152"/>
        <s v="SES-0153"/>
        <s v="SES-0154"/>
        <s v="SES-0155"/>
        <s v="SES-0156"/>
        <s v="SES-0157"/>
        <s v="SES-0158"/>
        <s v="SES-0159"/>
        <s v="SES-0160"/>
        <s v="SES-0161"/>
        <s v="SES-0162"/>
        <s v="SES-0163"/>
        <s v="SES-0164"/>
        <s v="SES-0165"/>
        <s v="SES-0166"/>
        <s v="SES-0167"/>
        <s v="SES-0168"/>
        <s v="SES-0169"/>
        <s v="SES-0170"/>
        <s v="SES-0171"/>
        <s v="SES-0172"/>
        <s v="SES-0173"/>
        <s v="SES-0174"/>
        <s v="SES-0175"/>
        <s v="SES-0176"/>
        <s v="SES-0177"/>
        <s v="SES-0178"/>
        <s v="SES-0179"/>
        <s v="SES-0180"/>
        <s v="SES-0181"/>
        <s v="SES-0182"/>
        <s v="SES-0183"/>
        <s v="SES-0184"/>
        <s v="SES-0185"/>
        <s v="SES-0186"/>
        <s v="SES-0187"/>
        <s v="SES-0188"/>
        <s v="SES-0189"/>
        <s v="SES-0190"/>
        <s v="SES-0191"/>
        <s v="SES-0192"/>
        <s v="SES-0193"/>
        <s v="SES-0194"/>
        <s v="SES-0195"/>
        <s v="SES-0196"/>
        <s v="SES-0197"/>
        <s v="SES-0198"/>
        <s v="SES-0199"/>
        <s v="SES-0200"/>
        <s v="SES-0201"/>
        <s v="SES-0202"/>
        <s v="SES-0203"/>
        <s v="SES-0204"/>
        <s v="SES-0205"/>
        <s v="SES-0206"/>
        <s v="SES-0207"/>
        <s v="SES-0208"/>
        <s v="SES-0209"/>
        <s v="SES-0210"/>
        <s v="SES-0211"/>
        <s v="SES-0212"/>
        <s v="SES-0213"/>
        <s v="SES-0214"/>
        <s v="SES-0215"/>
        <s v="SES-0216"/>
        <s v="SES-0217"/>
        <s v="SES-0218"/>
        <s v="SES-0219"/>
        <s v="SES-0220"/>
        <s v="SES-0221"/>
        <s v="SES-0222"/>
        <s v="SES-0223"/>
        <s v="SES-0224"/>
        <s v="SES-0225"/>
        <s v="SES-0226"/>
        <s v="SES-0227"/>
        <s v="SES-0228"/>
        <s v="SES-0229"/>
        <s v="SES-0230"/>
        <s v="SES-0231"/>
        <s v="SES-0232"/>
        <s v="SES-0233"/>
        <s v="SES-0234"/>
        <s v="SES-0235"/>
        <s v="SES-0236"/>
        <s v="SES-0237"/>
        <s v="SES-0238"/>
        <s v="SES-0239"/>
        <s v="SES-0240"/>
        <s v="SES-0241"/>
        <s v="SES-0242"/>
        <s v="SES-0243"/>
        <s v="SES-0244"/>
        <s v="SES-0245"/>
        <s v="SES-0246"/>
        <s v="SES-0247"/>
        <s v="SES-0248"/>
        <s v="SES-0249"/>
        <s v="SES-0250"/>
        <s v="SES-0251"/>
        <s v="SES-0252"/>
        <s v="SES-0253"/>
        <s v="SES-0254"/>
        <s v="SES-0255"/>
        <s v="SES-0256"/>
        <s v="SES-0257"/>
        <s v="SES-0258"/>
        <s v="SES-0259"/>
        <s v="SES-0260"/>
        <s v="SES-0261"/>
        <s v="SES-0262"/>
        <s v="SES-0263"/>
        <s v="SES-0264"/>
        <s v="SES-0265"/>
        <s v="SES-0266"/>
        <s v="SES-0267"/>
        <s v="SES-0268"/>
        <s v="SES-0269"/>
        <s v="SES-0270"/>
        <s v="SES-0271"/>
        <s v="SES-0272"/>
        <s v="SES-0273"/>
        <s v="SES-0274"/>
        <s v="SES-0275"/>
        <s v="SES-0276"/>
        <s v="SES-0277"/>
        <s v="SES-0278"/>
        <s v="SES-0279"/>
        <s v="SES-0280"/>
        <s v="SES-0281"/>
        <s v="SES-0282"/>
        <s v="SES-0283"/>
        <s v="SES-0284"/>
        <s v="SES-0285"/>
        <s v="SES-0286"/>
        <s v="SES-0287"/>
        <s v="SES-0288"/>
        <s v="SES-0289"/>
        <s v="SES-0290"/>
        <s v="SES-0291"/>
        <s v="SES-0292"/>
        <s v="SES-0293"/>
        <s v="SES-0294"/>
        <s v="SES-0295"/>
        <s v="SES-0296"/>
        <s v="SES-0297"/>
        <s v="SES-0298"/>
        <s v="SES-0299"/>
        <s v="SES-0300"/>
        <s v="SES-0301"/>
        <s v="SES-0302"/>
        <s v="SES-0303"/>
        <s v="SES-0304"/>
        <s v="SES-0305"/>
        <s v="SES-0306"/>
        <s v="SES-0307"/>
        <s v="SES-0308"/>
        <s v="SES-0309"/>
        <s v="SES-0310"/>
        <s v="SES-0311"/>
        <s v="SES-0312"/>
        <s v="SES-0313"/>
        <s v="SES-0314"/>
        <s v="SES-0315"/>
        <s v="SES-0316"/>
        <s v="SES-0317"/>
        <s v="SES-0318"/>
        <s v="SES-0319"/>
        <s v="SES-0320"/>
        <s v="SES-0321"/>
        <s v="SES-0322"/>
        <s v="SES-0323"/>
        <s v="SES-0324"/>
        <s v="SES-0325"/>
        <s v="SES-0326"/>
        <s v="SES-0327"/>
        <s v="SES-0328"/>
        <s v="SES-0329"/>
        <s v="SES-0330"/>
        <s v="SES-0331"/>
        <s v="SES-0332"/>
        <s v="SES-0333"/>
        <s v="SES-0334"/>
        <s v="SES-0335"/>
        <s v="SES-0336"/>
        <s v="SES-0337"/>
        <s v="SES-0338"/>
        <s v="SES-0339"/>
        <s v="SES-0340"/>
        <s v="SES-0341"/>
        <s v="SES-0342"/>
        <s v="SES-0343"/>
        <s v="SES-0344"/>
        <s v="SES-0345"/>
        <s v="SES-0346"/>
        <s v="SES-0347"/>
        <s v="SES-0348"/>
        <s v="SES-0349"/>
        <s v="SES-0350"/>
        <s v="SES-0351"/>
        <s v="SES-0352"/>
        <s v="SES-0353"/>
        <s v="SES-0354"/>
        <s v="SES-0355"/>
        <s v="SES-0356"/>
        <s v="SES-0357"/>
        <s v="SES-0358"/>
        <s v="SES-0359"/>
        <s v="SES-0360"/>
        <s v="SES-0361"/>
        <s v="SES-0362"/>
        <s v="SES-0363"/>
        <s v="SES-0364"/>
        <s v="SES-0365"/>
        <s v="SES-0366"/>
        <s v="SES-0367"/>
        <s v="SES-0368"/>
        <s v="SES-0369"/>
        <s v="SES-0370"/>
        <s v="SES-0371"/>
        <s v="SES-0372"/>
        <s v="SES-0373"/>
        <s v="SES-0374"/>
        <s v="SES-0375"/>
        <s v="SES-0376"/>
        <s v="SES-0377"/>
        <s v="SES-0378"/>
        <s v="SES-0379"/>
        <s v="SES-0380"/>
        <s v="SES-0381"/>
        <s v="SES-0382"/>
        <s v="SES-0383"/>
        <s v="SES-0384"/>
        <s v="SES-0385"/>
        <s v="SES-0386"/>
        <s v="SES-0387"/>
        <s v="SES-0388"/>
        <s v="SES-0389"/>
        <s v="SES-0390"/>
        <s v="SES-0391"/>
        <s v="SES-0392"/>
        <s v="SES-0393"/>
        <s v="SES-0394"/>
        <s v="SES-0395"/>
        <s v="SES-0396"/>
        <s v="SES-0397"/>
        <s v="SES-0398"/>
        <s v="SES-0399"/>
        <s v="SES-0400"/>
        <s v="SES-0401"/>
        <s v="SES-0402"/>
        <s v="SES-0403"/>
        <s v="SES-0404"/>
        <s v="SES-0405"/>
        <s v="SES-0406"/>
        <s v="SES-0407"/>
        <s v="SES-0408"/>
        <s v="SES-0409"/>
        <s v="SES-0410"/>
        <s v="SES-0411"/>
        <s v="SES-0412"/>
        <s v="SES-0413"/>
        <s v="SES-0414"/>
        <s v="SES-0415"/>
        <s v="SES-0416"/>
      </sharedItems>
    </cacheField>
    <cacheField name="Script ID" uniqueList="1" sqlType="0" hierarchy="0" level="0" databaseField="1">
      <sharedItems count="136" containsDate="0" containsNumber="0" containsString="1">
        <s v="SYN-002"/>
        <s v="SYN-003"/>
        <s v="SYN-005"/>
        <s v="SYN-006"/>
        <s v="SYN-008"/>
        <s v="SYN-009"/>
        <s v="SYN-010"/>
        <s v="SYN-011"/>
        <s v="SYN-012"/>
        <s v="SYN-013"/>
        <s v="SYN-014"/>
        <s v="SYN-015"/>
        <s v="SYN-016"/>
        <s v="SYN-017"/>
        <s v="SYN-018"/>
        <s v="SYN-019"/>
        <s v="SYN-020"/>
        <s v="SYN-022"/>
        <s v="SYN-023"/>
        <s v="SYN-025"/>
        <s v="SYN-026"/>
        <s v="SYN-028"/>
        <s v="SYN-029"/>
        <s v="SYN-030"/>
        <s v="SYN-031"/>
        <s v="SYN-032"/>
        <s v="SYN-033"/>
        <s v="SYN-034"/>
        <s v="SYN-035"/>
        <s v="SYN-036"/>
        <s v="SYN-037"/>
        <s v="SYN-038"/>
        <s v="SYN-039"/>
        <s v="SYN-040"/>
        <s v="SYN-042"/>
        <s v="SYN-043"/>
        <s v="SYN-045"/>
        <s v="SYN-046"/>
        <s v="SYN-048"/>
        <s v="SYN-049"/>
        <s v="SYN-050"/>
        <s v="SYN-051"/>
        <s v="SYN-052"/>
        <s v="SYN-053"/>
        <s v="SYN-054"/>
        <s v="SYN-055"/>
        <s v="SYN-056"/>
        <s v="SYN-057"/>
        <s v="SYN-058"/>
        <s v="SYN-059"/>
        <s v="SYN-060"/>
        <s v="SYN-062"/>
        <s v="SYN-063"/>
        <s v="SYN-065"/>
        <s v="SYN-066"/>
        <s v="SYN-068"/>
        <s v="SYN-069"/>
        <s v="SYN-070"/>
        <s v="SYN-071"/>
        <s v="SYN-072"/>
        <s v="SYN-073"/>
        <s v="SYN-074"/>
        <s v="SYN-075"/>
        <s v="SYN-076"/>
        <s v="SYN-077"/>
        <s v="SYN-078"/>
        <s v="SYN-079"/>
        <s v="SYN-080"/>
        <s v="SYN-082"/>
        <s v="SYN-083"/>
        <s v="SYN-085"/>
        <s v="SYN-086"/>
        <s v="SYN-088"/>
        <s v="SYN-089"/>
        <s v="SYN-090"/>
        <s v="SYN-091"/>
        <s v="SYN-092"/>
        <s v="SYN-093"/>
        <s v="SYN-094"/>
        <s v="SYN-095"/>
        <s v="SYN-096"/>
        <s v="SYN-097"/>
        <s v="SYN-098"/>
        <s v="SYN-099"/>
        <s v="SYN-100"/>
        <s v="SYN-102"/>
        <s v="SYN-103"/>
        <s v="SYN-105"/>
        <s v="SYN-106"/>
        <s v="SYN-108"/>
        <s v="SYN-109"/>
        <s v="SYN-110"/>
        <s v="SYN-111"/>
        <s v="SYN-112"/>
        <s v="SYN-113"/>
        <s v="SYN-114"/>
        <s v="SYN-115"/>
        <s v="SYN-116"/>
        <s v="SYN-117"/>
        <s v="SYN-118"/>
        <s v="SYN-119"/>
        <s v="SYN-120"/>
        <s v="SYN-122"/>
        <s v="SYN-123"/>
        <s v="SYN-125"/>
        <s v="SYN-126"/>
        <s v="SYN-128"/>
        <s v="SYN-129"/>
        <s v="SYN-130"/>
        <s v="SYN-131"/>
        <s v="SYN-132"/>
        <s v="SYN-133"/>
        <s v="SYN-134"/>
        <s v="SYN-135"/>
        <s v="SYN-136"/>
        <s v="SYN-137"/>
        <s v="SYN-138"/>
        <s v="SYN-139"/>
        <s v="SYN-140"/>
        <s v="SYN-142"/>
        <s v="SYN-143"/>
        <s v="SYN-145"/>
        <s v="SYN-146"/>
        <s v="SYN-148"/>
        <s v="SYN-149"/>
        <s v="SYN-150"/>
        <s v="SYN-151"/>
        <s v="SYN-152"/>
        <s v="SYN-153"/>
        <s v="SYN-154"/>
        <s v="SYN-155"/>
        <s v="SYN-156"/>
        <s v="SYN-157"/>
        <s v="SYN-158"/>
        <s v="SYN-159"/>
        <s v="SYN-160"/>
      </sharedItems>
    </cacheField>
    <cacheField name="Date" uniqueList="1" sqlType="0" hierarchy="0" level="0" databaseField="1">
      <sharedItems count="403" containsDate="1" containsNumber="0" containsString="0"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</sharedItems>
    </cacheField>
    <cacheField name="Script Name" uniqueList="1" sqlType="0" hierarchy="0" level="0" databaseField="1">
      <sharedItems count="136" containsDate="0" containsNumber="0" containsString="1">
        <s v="Synthetic Script 002"/>
        <s v="Synthetic Script 003"/>
        <s v="Synthetic Script 005"/>
        <s v="Synthetic Script 006"/>
        <s v="Synthetic Script 008"/>
        <s v="Synthetic Script 009"/>
        <s v="Synthetic Script 010"/>
        <s v="Synthetic Script 011"/>
        <s v="Synthetic Script 012"/>
        <s v="Synthetic Script 013"/>
        <s v="Synthetic Script 014"/>
        <s v="Synthetic Script 015"/>
        <s v="Synthetic Script 016"/>
        <s v="Synthetic Script 017"/>
        <s v="Synthetic Script 018"/>
        <s v="Synthetic Script 019"/>
        <s v="Synthetic Script 020"/>
        <s v="Synthetic Script 022"/>
        <s v="Synthetic Script 023"/>
        <s v="Synthetic Script 025"/>
        <s v="Synthetic Script 026"/>
        <s v="Synthetic Script 028"/>
        <s v="Synthetic Script 029"/>
        <s v="Synthetic Script 030"/>
        <s v="Synthetic Script 031"/>
        <s v="Synthetic Script 032"/>
        <s v="Synthetic Script 033"/>
        <s v="Synthetic Script 034"/>
        <s v="Synthetic Script 035"/>
        <s v="Synthetic Script 036"/>
        <s v="Synthetic Script 037"/>
        <s v="Synthetic Script 038"/>
        <s v="Synthetic Script 039"/>
        <s v="Synthetic Script 040"/>
        <s v="Synthetic Script 042"/>
        <s v="Synthetic Script 043"/>
        <s v="Synthetic Script 045"/>
        <s v="Synthetic Script 046"/>
        <s v="Synthetic Script 048"/>
        <s v="Synthetic Script 049"/>
        <s v="Synthetic Script 050"/>
        <s v="Synthetic Script 051"/>
        <s v="Synthetic Script 052"/>
        <s v="Synthetic Script 053"/>
        <s v="Synthetic Script 054"/>
        <s v="Synthetic Script 055"/>
        <s v="Synthetic Script 056"/>
        <s v="Synthetic Script 057"/>
        <s v="Synthetic Script 058"/>
        <s v="Synthetic Script 059"/>
        <s v="Synthetic Script 060"/>
        <s v="Synthetic Script 062"/>
        <s v="Synthetic Script 063"/>
        <s v="Synthetic Script 065"/>
        <s v="Synthetic Script 066"/>
        <s v="Synthetic Script 068"/>
        <s v="Synthetic Script 069"/>
        <s v="Synthetic Script 070"/>
        <s v="Synthetic Script 071"/>
        <s v="Synthetic Script 072"/>
        <s v="Synthetic Script 073"/>
        <s v="Synthetic Script 074"/>
        <s v="Synthetic Script 075"/>
        <s v="Synthetic Script 076"/>
        <s v="Synthetic Script 077"/>
        <s v="Synthetic Script 078"/>
        <s v="Synthetic Script 079"/>
        <s v="Synthetic Script 080"/>
        <s v="Synthetic Script 082"/>
        <s v="Synthetic Script 083"/>
        <s v="Synthetic Script 085"/>
        <s v="Synthetic Script 086"/>
        <s v="Synthetic Script 088"/>
        <s v="Synthetic Script 089"/>
        <s v="Synthetic Script 090"/>
        <s v="Synthetic Script 091"/>
        <s v="Synthetic Script 092"/>
        <s v="Synthetic Script 093"/>
        <s v="Synthetic Script 094"/>
        <s v="Synthetic Script 095"/>
        <s v="Synthetic Script 096"/>
        <s v="Synthetic Script 097"/>
        <s v="Synthetic Script 098"/>
        <s v="Synthetic Script 099"/>
        <s v="Synthetic Script 100"/>
        <s v="Synthetic Script 102"/>
        <s v="Synthetic Script 103"/>
        <s v="Synthetic Script 105"/>
        <s v="Synthetic Script 106"/>
        <s v="Synthetic Script 108"/>
        <s v="Synthetic Script 109"/>
        <s v="Synthetic Script 110"/>
        <s v="Synthetic Script 111"/>
        <s v="Synthetic Script 112"/>
        <s v="Synthetic Script 113"/>
        <s v="Synthetic Script 114"/>
        <s v="Synthetic Script 115"/>
        <s v="Synthetic Script 116"/>
        <s v="Synthetic Script 117"/>
        <s v="Synthetic Script 118"/>
        <s v="Synthetic Script 119"/>
        <s v="Synthetic Script 120"/>
        <s v="Synthetic Script 122"/>
        <s v="Synthetic Script 123"/>
        <s v="Synthetic Script 125"/>
        <s v="Synthetic Script 126"/>
        <s v="Synthetic Script 128"/>
        <s v="Synthetic Script 129"/>
        <s v="Synthetic Script 130"/>
        <s v="Synthetic Script 131"/>
        <s v="Synthetic Script 132"/>
        <s v="Synthetic Script 133"/>
        <s v="Synthetic Script 134"/>
        <s v="Synthetic Script 135"/>
        <s v="Synthetic Script 136"/>
        <s v="Synthetic Script 137"/>
        <s v="Synthetic Script 138"/>
        <s v="Synthetic Script 139"/>
        <s v="Synthetic Script 140"/>
        <s v="Synthetic Script 142"/>
        <s v="Synthetic Script 143"/>
        <s v="Synthetic Script 145"/>
        <s v="Synthetic Script 146"/>
        <s v="Synthetic Script 148"/>
        <s v="Synthetic Script 149"/>
        <s v="Synthetic Script 150"/>
        <s v="Synthetic Script 151"/>
        <s v="Synthetic Script 152"/>
        <s v="Synthetic Script 153"/>
        <s v="Synthetic Script 154"/>
        <s v="Synthetic Script 155"/>
        <s v="Synthetic Script 156"/>
        <s v="Synthetic Script 157"/>
        <s v="Synthetic Script 158"/>
        <s v="Synthetic Script 159"/>
        <s v="Synthetic Script 160"/>
      </sharedItems>
    </cacheField>
    <cacheField name="Script Type" uniqueList="1" sqlType="0" hierarchy="0" level="0" databaseField="1">
      <sharedItems count="4" containsDate="0" containsNumber="0" containsString="1">
        <s v="推理"/>
        <s v="情感"/>
        <s v="欢乐"/>
        <s v="机制"/>
      </sharedItems>
    </cacheField>
    <cacheField name="DM Count" uniqueList="1" sqlType="0" hierarchy="0" level="0" databaseField="1">
      <sharedItems count="4" containsDate="0" containsNumber="1" containsString="0">
        <n v="1"/>
        <n v="3"/>
        <n v="2"/>
        <n v="6"/>
      </sharedItems>
    </cacheField>
    <cacheField name="Players" uniqueList="1" sqlType="0" hierarchy="0" level="0" databaseField="1">
      <sharedItems count="3" containsDate="0" containsNumber="1" containsString="0">
        <n v="6"/>
        <n v="8"/>
        <n v="7"/>
      </sharedItems>
    </cacheField>
    <cacheField name="Price Per Player" uniqueList="1" sqlType="0" hierarchy="0" level="0" databaseField="1">
      <sharedItems count="8" containsDate="0" containsNumber="1" containsString="0">
        <n v="75"/>
        <n v="118"/>
        <n v="65"/>
        <n v="109"/>
        <n v="119"/>
        <n v="95"/>
        <n v="99"/>
        <n v="138"/>
      </sharedItems>
    </cacheField>
    <cacheField name="Estimated Gross Revenue" uniqueList="1" sqlType="0" hierarchy="0" level="0" databaseField="1">
      <sharedItems count="13" containsDate="0" containsNumber="1" containsString="0">
        <n v="450"/>
        <n v="708"/>
        <n v="520"/>
        <n v="654"/>
        <n v="714"/>
        <n v="665"/>
        <n v="872"/>
        <n v="594"/>
        <n v="763"/>
        <n v="760"/>
        <n v="828"/>
        <n v="826"/>
        <n v="1104"/>
      </sharedItems>
    </cacheField>
    <cacheField name="Standard DM Wage" uniqueList="1" sqlType="0" hierarchy="0" level="0" databaseField="1">
      <sharedItems count="10" containsDate="0" containsNumber="1" containsString="0">
        <n v="118"/>
        <n v="270"/>
        <n v="137"/>
        <n v="180"/>
        <n v="187"/>
        <n v="175"/>
        <n v="540"/>
        <n v="200"/>
        <n v="172"/>
        <n v="217"/>
      </sharedItems>
    </cacheField>
    <cacheField name="Script Edition" uniqueList="1" sqlType="0" hierarchy="0" level="0" databaseField="1">
      <sharedItems count="3" containsDate="0" containsNumber="0" containsString="1">
        <s v="城限"/>
        <s v="盒装"/>
        <s v="独家"/>
      </sharedItems>
    </cacheField>
    <cacheField name="Estimated Contribution" uniqueList="1" sqlType="0" hierarchy="0" level="0" databaseField="1">
      <sharedItems count="14" containsDate="0" containsNumber="1" containsString="0">
        <n v="332"/>
        <n v="438"/>
        <n v="383"/>
        <n v="474"/>
        <n v="527"/>
        <n v="490"/>
        <n v="528"/>
        <n v="324"/>
        <n v="563"/>
        <n v="560"/>
        <n v="648"/>
        <n v="482"/>
        <n v="609"/>
        <n v="564"/>
      </sharedItems>
    </cacheField>
    <cacheField name="Rating" uniqueList="1" sqlType="0" hierarchy="0" level="0" databaseField="1">
      <sharedItems count="3" containsDate="0" containsNumber="1" containsString="0">
        <n v="7.7"/>
        <n v="8.4"/>
        <n v="7"/>
      </sharedItems>
    </cacheField>
    <cacheField name="Month Start" uniqueList="1" sqlType="0" hierarchy="0" level="0" databaseField="1">
      <sharedItems count="14" containsDate="1" containsNumber="0" containsString="0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</sharedItems>
    </cacheField>
    <cacheField name="Report Month" uniqueList="1" sqlType="0" hierarchy="0" level="0" databaseField="1">
      <sharedItems count="14" containsDate="0" containsNumber="0" containsString="1"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</sharedItems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saveData="1" refreshOnLoad="0" enableRefresh="1" missingItemsLimit="0" recordCount="160" r:id="rId1">
  <cacheSource type="worksheet">
    <worksheetSource name="Script_List"/>
  </cacheSource>
  <cacheFields count="27">
    <cacheField name="Script ID" uniqueList="1" sqlType="0" hierarchy="0" level="0" databaseField="1">
      <sharedItems count="160" containsDate="0" containsNumber="0" containsString="1">
        <s v="SYN-001"/>
        <s v="SYN-002"/>
        <s v="SYN-003"/>
        <s v="SYN-004"/>
        <s v="SYN-005"/>
        <s v="SYN-006"/>
        <s v="SYN-007"/>
        <s v="SYN-008"/>
        <s v="SYN-009"/>
        <s v="SYN-010"/>
        <s v="SYN-011"/>
        <s v="SYN-012"/>
        <s v="SYN-013"/>
        <s v="SYN-014"/>
        <s v="SYN-015"/>
        <s v="SYN-016"/>
        <s v="SYN-017"/>
        <s v="SYN-018"/>
        <s v="SYN-019"/>
        <s v="SYN-020"/>
        <s v="SYN-021"/>
        <s v="SYN-022"/>
        <s v="SYN-023"/>
        <s v="SYN-024"/>
        <s v="SYN-025"/>
        <s v="SYN-026"/>
        <s v="SYN-027"/>
        <s v="SYN-028"/>
        <s v="SYN-029"/>
        <s v="SYN-030"/>
        <s v="SYN-031"/>
        <s v="SYN-032"/>
        <s v="SYN-033"/>
        <s v="SYN-034"/>
        <s v="SYN-035"/>
        <s v="SYN-036"/>
        <s v="SYN-037"/>
        <s v="SYN-038"/>
        <s v="SYN-039"/>
        <s v="SYN-040"/>
        <s v="SYN-041"/>
        <s v="SYN-042"/>
        <s v="SYN-043"/>
        <s v="SYN-044"/>
        <s v="SYN-045"/>
        <s v="SYN-046"/>
        <s v="SYN-047"/>
        <s v="SYN-048"/>
        <s v="SYN-049"/>
        <s v="SYN-050"/>
        <s v="SYN-051"/>
        <s v="SYN-052"/>
        <s v="SYN-053"/>
        <s v="SYN-054"/>
        <s v="SYN-055"/>
        <s v="SYN-056"/>
        <s v="SYN-057"/>
        <s v="SYN-058"/>
        <s v="SYN-059"/>
        <s v="SYN-060"/>
        <s v="SYN-061"/>
        <s v="SYN-062"/>
        <s v="SYN-063"/>
        <s v="SYN-064"/>
        <s v="SYN-065"/>
        <s v="SYN-066"/>
        <s v="SYN-067"/>
        <s v="SYN-068"/>
        <s v="SYN-069"/>
        <s v="SYN-070"/>
        <s v="SYN-071"/>
        <s v="SYN-072"/>
        <s v="SYN-073"/>
        <s v="SYN-074"/>
        <s v="SYN-075"/>
        <s v="SYN-076"/>
        <s v="SYN-077"/>
        <s v="SYN-078"/>
        <s v="SYN-079"/>
        <s v="SYN-080"/>
        <s v="SYN-081"/>
        <s v="SYN-082"/>
        <s v="SYN-083"/>
        <s v="SYN-084"/>
        <s v="SYN-085"/>
        <s v="SYN-086"/>
        <s v="SYN-087"/>
        <s v="SYN-088"/>
        <s v="SYN-089"/>
        <s v="SYN-090"/>
        <s v="SYN-091"/>
        <s v="SYN-092"/>
        <s v="SYN-093"/>
        <s v="SYN-094"/>
        <s v="SYN-095"/>
        <s v="SYN-096"/>
        <s v="SYN-097"/>
        <s v="SYN-098"/>
        <s v="SYN-099"/>
        <s v="SYN-100"/>
        <s v="SYN-101"/>
        <s v="SYN-102"/>
        <s v="SYN-103"/>
        <s v="SYN-104"/>
        <s v="SYN-105"/>
        <s v="SYN-106"/>
        <s v="SYN-107"/>
        <s v="SYN-108"/>
        <s v="SYN-109"/>
        <s v="SYN-110"/>
        <s v="SYN-111"/>
        <s v="SYN-112"/>
        <s v="SYN-113"/>
        <s v="SYN-114"/>
        <s v="SYN-115"/>
        <s v="SYN-116"/>
        <s v="SYN-117"/>
        <s v="SYN-118"/>
        <s v="SYN-119"/>
        <s v="SYN-120"/>
        <s v="SYN-121"/>
        <s v="SYN-122"/>
        <s v="SYN-123"/>
        <s v="SYN-124"/>
        <s v="SYN-125"/>
        <s v="SYN-126"/>
        <s v="SYN-127"/>
        <s v="SYN-128"/>
        <s v="SYN-129"/>
        <s v="SYN-130"/>
        <s v="SYN-131"/>
        <s v="SYN-132"/>
        <s v="SYN-133"/>
        <s v="SYN-134"/>
        <s v="SYN-135"/>
        <s v="SYN-136"/>
        <s v="SYN-137"/>
        <s v="SYN-138"/>
        <s v="SYN-139"/>
        <s v="SYN-140"/>
        <s v="SYN-141"/>
        <s v="SYN-142"/>
        <s v="SYN-143"/>
        <s v="SYN-144"/>
        <s v="SYN-145"/>
        <s v="SYN-146"/>
        <s v="SYN-147"/>
        <s v="SYN-148"/>
        <s v="SYN-149"/>
        <s v="SYN-150"/>
        <s v="SYN-151"/>
        <s v="SYN-152"/>
        <s v="SYN-153"/>
        <s v="SYN-154"/>
        <s v="SYN-155"/>
        <s v="SYN-156"/>
        <s v="SYN-157"/>
        <s v="SYN-158"/>
        <s v="SYN-159"/>
        <s v="SYN-160"/>
      </sharedItems>
    </cacheField>
    <cacheField name="Script Name" uniqueList="1" sqlType="0" hierarchy="0" level="0" databaseField="1">
      <sharedItems count="160" containsDate="0" containsNumber="0" containsString="1">
        <s v="Synthetic Script 001"/>
        <s v="Synthetic Script 002"/>
        <s v="Synthetic Script 003"/>
        <s v="Synthetic Script 004"/>
        <s v="Synthetic Script 005"/>
        <s v="Synthetic Script 006"/>
        <s v="Synthetic Script 007"/>
        <s v="Synthetic Script 008"/>
        <s v="Synthetic Script 009"/>
        <s v="Synthetic Script 010"/>
        <s v="Synthetic Script 011"/>
        <s v="Synthetic Script 012"/>
        <s v="Synthetic Script 013"/>
        <s v="Synthetic Script 014"/>
        <s v="Synthetic Script 015"/>
        <s v="Synthetic Script 016"/>
        <s v="Synthetic Script 017"/>
        <s v="Synthetic Script 018"/>
        <s v="Synthetic Script 019"/>
        <s v="Synthetic Script 020"/>
        <s v="Synthetic Script 021"/>
        <s v="Synthetic Script 022"/>
        <s v="Synthetic Script 023"/>
        <s v="Synthetic Script 024"/>
        <s v="Synthetic Script 025"/>
        <s v="Synthetic Script 026"/>
        <s v="Synthetic Script 027"/>
        <s v="Synthetic Script 028"/>
        <s v="Synthetic Script 029"/>
        <s v="Synthetic Script 030"/>
        <s v="Synthetic Script 031"/>
        <s v="Synthetic Script 032"/>
        <s v="Synthetic Script 033"/>
        <s v="Synthetic Script 034"/>
        <s v="Synthetic Script 035"/>
        <s v="Synthetic Script 036"/>
        <s v="Synthetic Script 037"/>
        <s v="Synthetic Script 038"/>
        <s v="Synthetic Script 039"/>
        <s v="Synthetic Script 040"/>
        <s v="Synthetic Script 041"/>
        <s v="Synthetic Script 042"/>
        <s v="Synthetic Script 043"/>
        <s v="Synthetic Script 044"/>
        <s v="Synthetic Script 045"/>
        <s v="Synthetic Script 046"/>
        <s v="Synthetic Script 047"/>
        <s v="Synthetic Script 048"/>
        <s v="Synthetic Script 049"/>
        <s v="Synthetic Script 050"/>
        <s v="Synthetic Script 051"/>
        <s v="Synthetic Script 052"/>
        <s v="Synthetic Script 053"/>
        <s v="Synthetic Script 054"/>
        <s v="Synthetic Script 055"/>
        <s v="Synthetic Script 056"/>
        <s v="Synthetic Script 057"/>
        <s v="Synthetic Script 058"/>
        <s v="Synthetic Script 059"/>
        <s v="Synthetic Script 060"/>
        <s v="Synthetic Script 061"/>
        <s v="Synthetic Script 062"/>
        <s v="Synthetic Script 063"/>
        <s v="Synthetic Script 064"/>
        <s v="Synthetic Script 065"/>
        <s v="Synthetic Script 066"/>
        <s v="Synthetic Script 067"/>
        <s v="Synthetic Script 068"/>
        <s v="Synthetic Script 069"/>
        <s v="Synthetic Script 070"/>
        <s v="Synthetic Script 071"/>
        <s v="Synthetic Script 072"/>
        <s v="Synthetic Script 073"/>
        <s v="Synthetic Script 074"/>
        <s v="Synthetic Script 075"/>
        <s v="Synthetic Script 076"/>
        <s v="Synthetic Script 077"/>
        <s v="Synthetic Script 078"/>
        <s v="Synthetic Script 079"/>
        <s v="Synthetic Script 080"/>
        <s v="Synthetic Script 081"/>
        <s v="Synthetic Script 082"/>
        <s v="Synthetic Script 083"/>
        <s v="Synthetic Script 084"/>
        <s v="Synthetic Script 085"/>
        <s v="Synthetic Script 086"/>
        <s v="Synthetic Script 087"/>
        <s v="Synthetic Script 088"/>
        <s v="Synthetic Script 089"/>
        <s v="Synthetic Script 090"/>
        <s v="Synthetic Script 091"/>
        <s v="Synthetic Script 092"/>
        <s v="Synthetic Script 093"/>
        <s v="Synthetic Script 094"/>
        <s v="Synthetic Script 095"/>
        <s v="Synthetic Script 096"/>
        <s v="Synthetic Script 097"/>
        <s v="Synthetic Script 098"/>
        <s v="Synthetic Script 099"/>
        <s v="Synthetic Script 100"/>
        <s v="Synthetic Script 101"/>
        <s v="Synthetic Script 102"/>
        <s v="Synthetic Script 103"/>
        <s v="Synthetic Script 104"/>
        <s v="Synthetic Script 105"/>
        <s v="Synthetic Script 106"/>
        <s v="Synthetic Script 107"/>
        <s v="Synthetic Script 108"/>
        <s v="Synthetic Script 109"/>
        <s v="Synthetic Script 110"/>
        <s v="Synthetic Script 111"/>
        <s v="Synthetic Script 112"/>
        <s v="Synthetic Script 113"/>
        <s v="Synthetic Script 114"/>
        <s v="Synthetic Script 115"/>
        <s v="Synthetic Script 116"/>
        <s v="Synthetic Script 117"/>
        <s v="Synthetic Script 118"/>
        <s v="Synthetic Script 119"/>
        <s v="Synthetic Script 120"/>
        <s v="Synthetic Script 121"/>
        <s v="Synthetic Script 122"/>
        <s v="Synthetic Script 123"/>
        <s v="Synthetic Script 124"/>
        <s v="Synthetic Script 125"/>
        <s v="Synthetic Script 126"/>
        <s v="Synthetic Script 127"/>
        <s v="Synthetic Script 128"/>
        <s v="Synthetic Script 129"/>
        <s v="Synthetic Script 130"/>
        <s v="Synthetic Script 131"/>
        <s v="Synthetic Script 132"/>
        <s v="Synthetic Script 133"/>
        <s v="Synthetic Script 134"/>
        <s v="Synthetic Script 135"/>
        <s v="Synthetic Script 136"/>
        <s v="Synthetic Script 137"/>
        <s v="Synthetic Script 138"/>
        <s v="Synthetic Script 139"/>
        <s v="Synthetic Script 140"/>
        <s v="Synthetic Script 141"/>
        <s v="Synthetic Script 142"/>
        <s v="Synthetic Script 143"/>
        <s v="Synthetic Script 144"/>
        <s v="Synthetic Script 145"/>
        <s v="Synthetic Script 146"/>
        <s v="Synthetic Script 147"/>
        <s v="Synthetic Script 148"/>
        <s v="Synthetic Script 149"/>
        <s v="Synthetic Script 150"/>
        <s v="Synthetic Script 151"/>
        <s v="Synthetic Script 152"/>
        <s v="Synthetic Script 153"/>
        <s v="Synthetic Script 154"/>
        <s v="Synthetic Script 155"/>
        <s v="Synthetic Script 156"/>
        <s v="Synthetic Script 157"/>
        <s v="Synthetic Script 158"/>
        <s v="Synthetic Script 159"/>
        <s v="Synthetic Script 160"/>
      </sharedItems>
    </cacheField>
    <cacheField name="Script Type" uniqueList="1" sqlType="0" hierarchy="0" level="0" databaseField="1">
      <sharedItems count="4" containsDate="0" containsNumber="0" containsString="1">
        <s v="情感"/>
        <s v="推理"/>
        <s v="欢乐"/>
        <s v="机制"/>
      </sharedItems>
    </cacheField>
    <cacheField name="DM" uniqueList="1" sqlType="0" hierarchy="0" level="0" databaseField="1">
      <sharedItems count="4" containsDate="0" containsNumber="1" containsString="0">
        <n v="2"/>
        <n v="1"/>
        <n v="3"/>
        <n v="6"/>
      </sharedItems>
    </cacheField>
    <cacheField name="Players" uniqueList="1" sqlType="0" hierarchy="0" level="0" databaseField="1">
      <sharedItems count="3" containsDate="0" containsNumber="1" containsString="0">
        <n v="6"/>
        <n v="7"/>
        <n v="8"/>
      </sharedItems>
    </cacheField>
    <cacheField name="Price Per Player" uniqueList="1" sqlType="0" hierarchy="0" level="0" databaseField="1">
      <sharedItems count="9" containsDate="0" containsNumber="1" containsString="0">
        <n v="99"/>
        <n v="75"/>
        <n v="118"/>
        <n v="129"/>
        <n v="65"/>
        <n v="109"/>
        <n v="119"/>
        <n v="95"/>
        <n v="138"/>
      </sharedItems>
    </cacheField>
    <cacheField name="Estimated Gross Revenue" uniqueList="1" sqlType="0" hierarchy="0" level="0" databaseField="1">
      <sharedItems count="15" containsDate="0" containsNumber="1" containsString="0">
        <n v="594"/>
        <n v="450"/>
        <n v="708"/>
        <n v="903"/>
        <n v="520"/>
        <n v="654"/>
        <n v="774"/>
        <n v="714"/>
        <n v="665"/>
        <n v="872"/>
        <n v="763"/>
        <n v="760"/>
        <n v="828"/>
        <n v="826"/>
        <n v="1104"/>
      </sharedItems>
    </cacheField>
    <cacheField name="Standard DM Wage" uniqueList="1" sqlType="0" hierarchy="0" level="0" databaseField="1">
      <sharedItems count="12" containsDate="0" containsNumber="1" containsString="0">
        <n v="180"/>
        <n v="118"/>
        <n v="270"/>
        <n v="237"/>
        <n v="137"/>
        <n v="203"/>
        <n v="187"/>
        <n v="175"/>
        <n v="540"/>
        <n v="200"/>
        <n v="172"/>
        <n v="217"/>
      </sharedItems>
    </cacheField>
    <cacheField name="Script Edition" uniqueList="1" sqlType="0" hierarchy="0" level="0" databaseField="1">
      <sharedItems count="3" containsDate="0" containsNumber="0" containsString="1">
        <s v="盒装"/>
        <s v="城限"/>
        <s v="独家"/>
      </sharedItems>
    </cacheField>
    <cacheField name="Estimated Contribution" uniqueList="1" sqlType="0" hierarchy="0" level="0" databaseField="1">
      <sharedItems count="17" containsDate="0" containsNumber="1" containsString="0">
        <n v="414"/>
        <n v="332"/>
        <n v="438"/>
        <n v="666"/>
        <n v="383"/>
        <n v="474"/>
        <n v="571"/>
        <n v="527"/>
        <n v="490"/>
        <n v="528"/>
        <n v="324"/>
        <n v="563"/>
        <n v="560"/>
        <n v="648"/>
        <n v="482"/>
        <n v="609"/>
        <n v="564"/>
      </sharedItems>
    </cacheField>
    <cacheField name="Rating" uniqueList="1" sqlType="0" hierarchy="0" level="0" databaseField="1">
      <sharedItems count="3" containsDate="0" containsNumber="1" containsString="0">
        <n v="7"/>
        <n v="7.7"/>
        <n v="8.4"/>
      </sharedItems>
    </cacheField>
    <cacheField name="Cost Low(RMB)" uniqueList="1" sqlType="0" hierarchy="0" level="0" databaseField="1">
      <sharedItems count="3" containsDate="0" containsNumber="1" containsString="0">
        <n v="0"/>
        <n v="1500"/>
        <n v="2500"/>
      </sharedItems>
    </cacheField>
    <cacheField name="Cost Base(RMB)" uniqueList="1" sqlType="0" hierarchy="0" level="0" databaseField="1">
      <sharedItems count="3" containsDate="0" containsNumber="1" containsString="0">
        <n v="750"/>
        <n v="2000"/>
        <n v="3000"/>
      </sharedItems>
    </cacheField>
    <cacheField name="Cost High(RMB)" uniqueList="1" sqlType="0" hierarchy="0" level="0" databaseField="1">
      <sharedItems count="3" containsDate="0" containsNumber="1" containsString="0">
        <n v="1000"/>
        <n v="2500"/>
        <n v="3500"/>
      </sharedItems>
    </cacheField>
    <cacheField name="Cost Low(USD)" uniqueList="1" sqlType="0" hierarchy="0" level="0" databaseField="1">
      <sharedItems count="3" containsDate="0" containsNumber="1" containsString="0">
        <n v="0"/>
        <n v="208"/>
        <n v="347"/>
      </sharedItems>
    </cacheField>
    <cacheField name="Cost Base(USD)" uniqueList="1" sqlType="0" hierarchy="0" level="0" databaseField="1">
      <sharedItems count="3" containsDate="0" containsNumber="1" containsString="0">
        <n v="104"/>
        <n v="278"/>
        <n v="417"/>
      </sharedItems>
    </cacheField>
    <cacheField name="Cost High(USD)" uniqueList="1" sqlType="0" hierarchy="0" level="0" databaseField="1">
      <sharedItems count="3" containsDate="0" containsNumber="1" containsString="0">
        <n v="139"/>
        <n v="347"/>
        <n v="486"/>
      </sharedItems>
    </cacheField>
    <cacheField name="Observed Session Count" uniqueList="1" sqlType="0" hierarchy="0" level="0" databaseField="1">
      <sharedItems count="8" containsDate="0" containsNumber="1" containsString="0">
        <n v="0"/>
        <n v="1"/>
        <n v="3"/>
        <n v="2"/>
        <n v="4"/>
        <n v="5"/>
        <n v="7"/>
        <n v="10"/>
      </sharedItems>
    </cacheField>
    <cacheField name="Cumulative Estimated Contribution" uniqueList="1" sqlType="0" hierarchy="0" level="0" databaseField="1">
      <sharedItems count="17" containsDate="0" containsNumber="1" containsString="0">
        <n v="0"/>
        <n v="332"/>
        <n v="1314"/>
        <n v="766"/>
        <n v="1896"/>
        <n v="1054"/>
        <n v="1960"/>
        <n v="1056"/>
        <n v="2635"/>
        <n v="324"/>
        <n v="1126"/>
        <n v="3920"/>
        <n v="648"/>
        <n v="1446"/>
        <n v="3320"/>
        <n v="609"/>
        <n v="1692"/>
      </sharedItems>
    </cacheField>
    <cacheField name="Surplus - Low Cost" uniqueList="1" sqlType="0" hierarchy="0" level="0" databaseField="1">
      <sharedItems count="20" containsDate="0" containsNumber="1" containsString="0">
        <n v="0"/>
        <n v="124"/>
        <n v="1314"/>
        <n v="-347"/>
        <n v="558"/>
        <n v="1896"/>
        <n v="-208"/>
        <n v="1054"/>
        <n v="1613"/>
        <n v="332"/>
        <n v="1056"/>
        <n v="2427"/>
        <n v="324"/>
        <n v="779"/>
        <n v="3712"/>
        <n v="648"/>
        <n v="1238"/>
        <n v="3320"/>
        <n v="262"/>
        <n v="1692"/>
      </sharedItems>
    </cacheField>
    <cacheField name="Surplus - Base Cost" uniqueList="1" sqlType="0" hierarchy="0" level="0" databaseField="1">
      <sharedItems count="20" containsDate="0" containsNumber="1" containsString="0">
        <n v="-104"/>
        <n v="54"/>
        <n v="1210"/>
        <n v="-417"/>
        <n v="488"/>
        <n v="1792"/>
        <n v="-278"/>
        <n v="950"/>
        <n v="1543"/>
        <n v="228"/>
        <n v="952"/>
        <n v="2357"/>
        <n v="220"/>
        <n v="709"/>
        <n v="3642"/>
        <n v="544"/>
        <n v="1168"/>
        <n v="3216"/>
        <n v="192"/>
        <n v="1588"/>
      </sharedItems>
    </cacheField>
    <cacheField name="Surplus - High Cost" uniqueList="1" sqlType="0" hierarchy="0" level="0" databaseField="1">
      <sharedItems count="20" containsDate="0" containsNumber="1" containsString="0">
        <n v="-139"/>
        <n v="-15"/>
        <n v="1175"/>
        <n v="-486"/>
        <n v="419"/>
        <n v="1757"/>
        <n v="-347"/>
        <n v="915"/>
        <n v="1474"/>
        <n v="193"/>
        <n v="917"/>
        <n v="2288"/>
        <n v="185"/>
        <n v="640"/>
        <n v="3573"/>
        <n v="509"/>
        <n v="1099"/>
        <n v="3181"/>
        <n v="123"/>
        <n v="1553"/>
      </sharedItems>
    </cacheField>
    <cacheField name="Cost Recovery Status" uniqueList="1" sqlType="0" hierarchy="0" level="0" databaseField="1">
      <sharedItems count="3" containsDate="0" containsNumber="0" containsString="1">
        <s v="Not Opened"/>
        <s v="Recovered - Low &amp; Base"/>
        <s v="Recovered - All Scenarios"/>
      </sharedItems>
    </cacheField>
    <cacheField name="Average Contribution per Session" uniqueList="1" sqlType="0" hierarchy="0" level="0" databaseField="1">
      <sharedItems count="15" containsDate="0" containsNumber="1" containsString="0">
        <n v="0"/>
        <n v="332"/>
        <n v="438"/>
        <n v="383"/>
        <n v="474"/>
        <n v="527"/>
        <n v="490"/>
        <n v="528"/>
        <n v="324"/>
        <n v="563"/>
        <n v="560"/>
        <n v="648"/>
        <n v="482"/>
        <n v="609"/>
        <n v="564"/>
      </sharedItems>
    </cacheField>
    <cacheField name="Open Session Count" uniqueList="1" sqlType="0" hierarchy="0" level="0" databaseField="1">
      <sharedItems count="8" containsDate="0" containsNumber="1" containsString="0">
        <n v="0"/>
        <n v="1"/>
        <n v="3"/>
        <n v="2"/>
        <n v="4"/>
        <n v="5"/>
        <n v="7"/>
        <n v="10"/>
      </sharedItems>
    </cacheField>
    <cacheField name="Avg Contribution(Opened Only)" uniqueList="1" sqlType="0" hierarchy="0" level="0" databaseField="1">
      <sharedItems count="15" containsDate="0" containsNumber="1" containsString="0">
        <m/>
        <n v="332"/>
        <n v="438"/>
        <n v="383"/>
        <n v="474"/>
        <n v="527"/>
        <n v="490"/>
        <n v="528"/>
        <n v="324"/>
        <n v="563"/>
        <n v="560"/>
        <n v="648"/>
        <n v="482"/>
        <n v="609"/>
        <n v="564"/>
      </sharedItems>
    </cacheField>
    <cacheField name="Strategy Segment" uniqueList="1" sqlType="0" hierarchy="0" level="0" databaseField="1">
      <sharedItems count="5" containsDate="0" containsNumber="0" containsString="1">
        <s v="Not Opened"/>
        <s v="Low Frequency / Low Contribution"/>
        <s v="High Frequency / Low Contribution"/>
        <s v="High Frequency / High Contribution"/>
        <s v="Low Frequency / High Contribution"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saveData="1" refreshOnLoad="0" enableRefresh="1" missingItemsLimit="0" recordCount="160" r:id="rId1">
  <cacheSource type="worksheet">
    <worksheetSource name="Script_List"/>
  </cacheSource>
  <cacheFields count="27">
    <cacheField name="Script ID" uniqueList="1" sqlType="0" hierarchy="0" level="0" databaseField="1">
      <sharedItems count="160" containsDate="0" containsNumber="0" containsString="1">
        <s v="SYN-001"/>
        <s v="SYN-002"/>
        <s v="SYN-003"/>
        <s v="SYN-004"/>
        <s v="SYN-005"/>
        <s v="SYN-006"/>
        <s v="SYN-007"/>
        <s v="SYN-008"/>
        <s v="SYN-009"/>
        <s v="SYN-010"/>
        <s v="SYN-011"/>
        <s v="SYN-012"/>
        <s v="SYN-013"/>
        <s v="SYN-014"/>
        <s v="SYN-015"/>
        <s v="SYN-016"/>
        <s v="SYN-017"/>
        <s v="SYN-018"/>
        <s v="SYN-019"/>
        <s v="SYN-020"/>
        <s v="SYN-021"/>
        <s v="SYN-022"/>
        <s v="SYN-023"/>
        <s v="SYN-024"/>
        <s v="SYN-025"/>
        <s v="SYN-026"/>
        <s v="SYN-027"/>
        <s v="SYN-028"/>
        <s v="SYN-029"/>
        <s v="SYN-030"/>
        <s v="SYN-031"/>
        <s v="SYN-032"/>
        <s v="SYN-033"/>
        <s v="SYN-034"/>
        <s v="SYN-035"/>
        <s v="SYN-036"/>
        <s v="SYN-037"/>
        <s v="SYN-038"/>
        <s v="SYN-039"/>
        <s v="SYN-040"/>
        <s v="SYN-041"/>
        <s v="SYN-042"/>
        <s v="SYN-043"/>
        <s v="SYN-044"/>
        <s v="SYN-045"/>
        <s v="SYN-046"/>
        <s v="SYN-047"/>
        <s v="SYN-048"/>
        <s v="SYN-049"/>
        <s v="SYN-050"/>
        <s v="SYN-051"/>
        <s v="SYN-052"/>
        <s v="SYN-053"/>
        <s v="SYN-054"/>
        <s v="SYN-055"/>
        <s v="SYN-056"/>
        <s v="SYN-057"/>
        <s v="SYN-058"/>
        <s v="SYN-059"/>
        <s v="SYN-060"/>
        <s v="SYN-061"/>
        <s v="SYN-062"/>
        <s v="SYN-063"/>
        <s v="SYN-064"/>
        <s v="SYN-065"/>
        <s v="SYN-066"/>
        <s v="SYN-067"/>
        <s v="SYN-068"/>
        <s v="SYN-069"/>
        <s v="SYN-070"/>
        <s v="SYN-071"/>
        <s v="SYN-072"/>
        <s v="SYN-073"/>
        <s v="SYN-074"/>
        <s v="SYN-075"/>
        <s v="SYN-076"/>
        <s v="SYN-077"/>
        <s v="SYN-078"/>
        <s v="SYN-079"/>
        <s v="SYN-080"/>
        <s v="SYN-081"/>
        <s v="SYN-082"/>
        <s v="SYN-083"/>
        <s v="SYN-084"/>
        <s v="SYN-085"/>
        <s v="SYN-086"/>
        <s v="SYN-087"/>
        <s v="SYN-088"/>
        <s v="SYN-089"/>
        <s v="SYN-090"/>
        <s v="SYN-091"/>
        <s v="SYN-092"/>
        <s v="SYN-093"/>
        <s v="SYN-094"/>
        <s v="SYN-095"/>
        <s v="SYN-096"/>
        <s v="SYN-097"/>
        <s v="SYN-098"/>
        <s v="SYN-099"/>
        <s v="SYN-100"/>
        <s v="SYN-101"/>
        <s v="SYN-102"/>
        <s v="SYN-103"/>
        <s v="SYN-104"/>
        <s v="SYN-105"/>
        <s v="SYN-106"/>
        <s v="SYN-107"/>
        <s v="SYN-108"/>
        <s v="SYN-109"/>
        <s v="SYN-110"/>
        <s v="SYN-111"/>
        <s v="SYN-112"/>
        <s v="SYN-113"/>
        <s v="SYN-114"/>
        <s v="SYN-115"/>
        <s v="SYN-116"/>
        <s v="SYN-117"/>
        <s v="SYN-118"/>
        <s v="SYN-119"/>
        <s v="SYN-120"/>
        <s v="SYN-121"/>
        <s v="SYN-122"/>
        <s v="SYN-123"/>
        <s v="SYN-124"/>
        <s v="SYN-125"/>
        <s v="SYN-126"/>
        <s v="SYN-127"/>
        <s v="SYN-128"/>
        <s v="SYN-129"/>
        <s v="SYN-130"/>
        <s v="SYN-131"/>
        <s v="SYN-132"/>
        <s v="SYN-133"/>
        <s v="SYN-134"/>
        <s v="SYN-135"/>
        <s v="SYN-136"/>
        <s v="SYN-137"/>
        <s v="SYN-138"/>
        <s v="SYN-139"/>
        <s v="SYN-140"/>
        <s v="SYN-141"/>
        <s v="SYN-142"/>
        <s v="SYN-143"/>
        <s v="SYN-144"/>
        <s v="SYN-145"/>
        <s v="SYN-146"/>
        <s v="SYN-147"/>
        <s v="SYN-148"/>
        <s v="SYN-149"/>
        <s v="SYN-150"/>
        <s v="SYN-151"/>
        <s v="SYN-152"/>
        <s v="SYN-153"/>
        <s v="SYN-154"/>
        <s v="SYN-155"/>
        <s v="SYN-156"/>
        <s v="SYN-157"/>
        <s v="SYN-158"/>
        <s v="SYN-159"/>
        <s v="SYN-160"/>
      </sharedItems>
    </cacheField>
    <cacheField name="Script Name" uniqueList="1" sqlType="0" hierarchy="0" level="0" databaseField="1">
      <sharedItems count="160" containsDate="0" containsNumber="0" containsString="1">
        <s v="Synthetic Script 001"/>
        <s v="Synthetic Script 002"/>
        <s v="Synthetic Script 003"/>
        <s v="Synthetic Script 004"/>
        <s v="Synthetic Script 005"/>
        <s v="Synthetic Script 006"/>
        <s v="Synthetic Script 007"/>
        <s v="Synthetic Script 008"/>
        <s v="Synthetic Script 009"/>
        <s v="Synthetic Script 010"/>
        <s v="Synthetic Script 011"/>
        <s v="Synthetic Script 012"/>
        <s v="Synthetic Script 013"/>
        <s v="Synthetic Script 014"/>
        <s v="Synthetic Script 015"/>
        <s v="Synthetic Script 016"/>
        <s v="Synthetic Script 017"/>
        <s v="Synthetic Script 018"/>
        <s v="Synthetic Script 019"/>
        <s v="Synthetic Script 020"/>
        <s v="Synthetic Script 021"/>
        <s v="Synthetic Script 022"/>
        <s v="Synthetic Script 023"/>
        <s v="Synthetic Script 024"/>
        <s v="Synthetic Script 025"/>
        <s v="Synthetic Script 026"/>
        <s v="Synthetic Script 027"/>
        <s v="Synthetic Script 028"/>
        <s v="Synthetic Script 029"/>
        <s v="Synthetic Script 030"/>
        <s v="Synthetic Script 031"/>
        <s v="Synthetic Script 032"/>
        <s v="Synthetic Script 033"/>
        <s v="Synthetic Script 034"/>
        <s v="Synthetic Script 035"/>
        <s v="Synthetic Script 036"/>
        <s v="Synthetic Script 037"/>
        <s v="Synthetic Script 038"/>
        <s v="Synthetic Script 039"/>
        <s v="Synthetic Script 040"/>
        <s v="Synthetic Script 041"/>
        <s v="Synthetic Script 042"/>
        <s v="Synthetic Script 043"/>
        <s v="Synthetic Script 044"/>
        <s v="Synthetic Script 045"/>
        <s v="Synthetic Script 046"/>
        <s v="Synthetic Script 047"/>
        <s v="Synthetic Script 048"/>
        <s v="Synthetic Script 049"/>
        <s v="Synthetic Script 050"/>
        <s v="Synthetic Script 051"/>
        <s v="Synthetic Script 052"/>
        <s v="Synthetic Script 053"/>
        <s v="Synthetic Script 054"/>
        <s v="Synthetic Script 055"/>
        <s v="Synthetic Script 056"/>
        <s v="Synthetic Script 057"/>
        <s v="Synthetic Script 058"/>
        <s v="Synthetic Script 059"/>
        <s v="Synthetic Script 060"/>
        <s v="Synthetic Script 061"/>
        <s v="Synthetic Script 062"/>
        <s v="Synthetic Script 063"/>
        <s v="Synthetic Script 064"/>
        <s v="Synthetic Script 065"/>
        <s v="Synthetic Script 066"/>
        <s v="Synthetic Script 067"/>
        <s v="Synthetic Script 068"/>
        <s v="Synthetic Script 069"/>
        <s v="Synthetic Script 070"/>
        <s v="Synthetic Script 071"/>
        <s v="Synthetic Script 072"/>
        <s v="Synthetic Script 073"/>
        <s v="Synthetic Script 074"/>
        <s v="Synthetic Script 075"/>
        <s v="Synthetic Script 076"/>
        <s v="Synthetic Script 077"/>
        <s v="Synthetic Script 078"/>
        <s v="Synthetic Script 079"/>
        <s v="Synthetic Script 080"/>
        <s v="Synthetic Script 081"/>
        <s v="Synthetic Script 082"/>
        <s v="Synthetic Script 083"/>
        <s v="Synthetic Script 084"/>
        <s v="Synthetic Script 085"/>
        <s v="Synthetic Script 086"/>
        <s v="Synthetic Script 087"/>
        <s v="Synthetic Script 088"/>
        <s v="Synthetic Script 089"/>
        <s v="Synthetic Script 090"/>
        <s v="Synthetic Script 091"/>
        <s v="Synthetic Script 092"/>
        <s v="Synthetic Script 093"/>
        <s v="Synthetic Script 094"/>
        <s v="Synthetic Script 095"/>
        <s v="Synthetic Script 096"/>
        <s v="Synthetic Script 097"/>
        <s v="Synthetic Script 098"/>
        <s v="Synthetic Script 099"/>
        <s v="Synthetic Script 100"/>
        <s v="Synthetic Script 101"/>
        <s v="Synthetic Script 102"/>
        <s v="Synthetic Script 103"/>
        <s v="Synthetic Script 104"/>
        <s v="Synthetic Script 105"/>
        <s v="Synthetic Script 106"/>
        <s v="Synthetic Script 107"/>
        <s v="Synthetic Script 108"/>
        <s v="Synthetic Script 109"/>
        <s v="Synthetic Script 110"/>
        <s v="Synthetic Script 111"/>
        <s v="Synthetic Script 112"/>
        <s v="Synthetic Script 113"/>
        <s v="Synthetic Script 114"/>
        <s v="Synthetic Script 115"/>
        <s v="Synthetic Script 116"/>
        <s v="Synthetic Script 117"/>
        <s v="Synthetic Script 118"/>
        <s v="Synthetic Script 119"/>
        <s v="Synthetic Script 120"/>
        <s v="Synthetic Script 121"/>
        <s v="Synthetic Script 122"/>
        <s v="Synthetic Script 123"/>
        <s v="Synthetic Script 124"/>
        <s v="Synthetic Script 125"/>
        <s v="Synthetic Script 126"/>
        <s v="Synthetic Script 127"/>
        <s v="Synthetic Script 128"/>
        <s v="Synthetic Script 129"/>
        <s v="Synthetic Script 130"/>
        <s v="Synthetic Script 131"/>
        <s v="Synthetic Script 132"/>
        <s v="Synthetic Script 133"/>
        <s v="Synthetic Script 134"/>
        <s v="Synthetic Script 135"/>
        <s v="Synthetic Script 136"/>
        <s v="Synthetic Script 137"/>
        <s v="Synthetic Script 138"/>
        <s v="Synthetic Script 139"/>
        <s v="Synthetic Script 140"/>
        <s v="Synthetic Script 141"/>
        <s v="Synthetic Script 142"/>
        <s v="Synthetic Script 143"/>
        <s v="Synthetic Script 144"/>
        <s v="Synthetic Script 145"/>
        <s v="Synthetic Script 146"/>
        <s v="Synthetic Script 147"/>
        <s v="Synthetic Script 148"/>
        <s v="Synthetic Script 149"/>
        <s v="Synthetic Script 150"/>
        <s v="Synthetic Script 151"/>
        <s v="Synthetic Script 152"/>
        <s v="Synthetic Script 153"/>
        <s v="Synthetic Script 154"/>
        <s v="Synthetic Script 155"/>
        <s v="Synthetic Script 156"/>
        <s v="Synthetic Script 157"/>
        <s v="Synthetic Script 158"/>
        <s v="Synthetic Script 159"/>
        <s v="Synthetic Script 160"/>
      </sharedItems>
    </cacheField>
    <cacheField name="Script Type" uniqueList="1" sqlType="0" hierarchy="0" level="0" databaseField="1">
      <sharedItems count="4" containsDate="0" containsNumber="0" containsString="1">
        <s v="情感"/>
        <s v="推理"/>
        <s v="欢乐"/>
        <s v="机制"/>
      </sharedItems>
    </cacheField>
    <cacheField name="DM" uniqueList="1" sqlType="0" hierarchy="0" level="0" databaseField="1">
      <sharedItems count="4" containsDate="0" containsNumber="1" containsString="0">
        <n v="2"/>
        <n v="1"/>
        <n v="3"/>
        <n v="6"/>
      </sharedItems>
    </cacheField>
    <cacheField name="Players" uniqueList="1" sqlType="0" hierarchy="0" level="0" databaseField="1">
      <sharedItems count="3" containsDate="0" containsNumber="1" containsString="0">
        <n v="6"/>
        <n v="7"/>
        <n v="8"/>
      </sharedItems>
    </cacheField>
    <cacheField name="Price Per Player" uniqueList="1" sqlType="0" hierarchy="0" level="0" databaseField="1">
      <sharedItems count="9" containsDate="0" containsNumber="1" containsString="0">
        <n v="99"/>
        <n v="75"/>
        <n v="118"/>
        <n v="129"/>
        <n v="65"/>
        <n v="109"/>
        <n v="119"/>
        <n v="95"/>
        <n v="138"/>
      </sharedItems>
    </cacheField>
    <cacheField name="Estimated Gross Revenue" uniqueList="1" sqlType="0" hierarchy="0" level="0" databaseField="1">
      <sharedItems count="15" containsDate="0" containsNumber="1" containsString="0">
        <n v="594"/>
        <n v="450"/>
        <n v="708"/>
        <n v="903"/>
        <n v="520"/>
        <n v="654"/>
        <n v="774"/>
        <n v="714"/>
        <n v="665"/>
        <n v="872"/>
        <n v="763"/>
        <n v="760"/>
        <n v="828"/>
        <n v="826"/>
        <n v="1104"/>
      </sharedItems>
    </cacheField>
    <cacheField name="Standard DM Wage" uniqueList="1" sqlType="0" hierarchy="0" level="0" databaseField="1">
      <sharedItems count="12" containsDate="0" containsNumber="1" containsString="0">
        <n v="180"/>
        <n v="118"/>
        <n v="270"/>
        <n v="237"/>
        <n v="137"/>
        <n v="203"/>
        <n v="187"/>
        <n v="175"/>
        <n v="540"/>
        <n v="200"/>
        <n v="172"/>
        <n v="217"/>
      </sharedItems>
    </cacheField>
    <cacheField name="Script Edition" uniqueList="1" sqlType="0" hierarchy="0" level="0" databaseField="1">
      <sharedItems count="3" containsDate="0" containsNumber="0" containsString="1">
        <s v="盒装"/>
        <s v="城限"/>
        <s v="独家"/>
      </sharedItems>
    </cacheField>
    <cacheField name="Estimated Contribution" uniqueList="1" sqlType="0" hierarchy="0" level="0" databaseField="1">
      <sharedItems count="17" containsDate="0" containsNumber="1" containsString="0">
        <n v="414"/>
        <n v="332"/>
        <n v="438"/>
        <n v="666"/>
        <n v="383"/>
        <n v="474"/>
        <n v="571"/>
        <n v="527"/>
        <n v="490"/>
        <n v="528"/>
        <n v="324"/>
        <n v="563"/>
        <n v="560"/>
        <n v="648"/>
        <n v="482"/>
        <n v="609"/>
        <n v="564"/>
      </sharedItems>
    </cacheField>
    <cacheField name="Rating" uniqueList="1" sqlType="0" hierarchy="0" level="0" databaseField="1">
      <sharedItems count="3" containsDate="0" containsNumber="1" containsString="0">
        <n v="7"/>
        <n v="7.7"/>
        <n v="8.4"/>
      </sharedItems>
    </cacheField>
    <cacheField name="Cost Low(RMB)" uniqueList="1" sqlType="0" hierarchy="0" level="0" databaseField="1">
      <sharedItems count="3" containsDate="0" containsNumber="1" containsString="0">
        <n v="0"/>
        <n v="1500"/>
        <n v="2500"/>
      </sharedItems>
    </cacheField>
    <cacheField name="Cost Base(RMB)" uniqueList="1" sqlType="0" hierarchy="0" level="0" databaseField="1">
      <sharedItems count="3" containsDate="0" containsNumber="1" containsString="0">
        <n v="750"/>
        <n v="2000"/>
        <n v="3000"/>
      </sharedItems>
    </cacheField>
    <cacheField name="Cost High(RMB)" uniqueList="1" sqlType="0" hierarchy="0" level="0" databaseField="1">
      <sharedItems count="3" containsDate="0" containsNumber="1" containsString="0">
        <n v="1000"/>
        <n v="2500"/>
        <n v="3500"/>
      </sharedItems>
    </cacheField>
    <cacheField name="Cost Low(USD)" uniqueList="1" sqlType="0" hierarchy="0" level="0" databaseField="1">
      <sharedItems count="3" containsDate="0" containsNumber="1" containsString="0">
        <n v="0"/>
        <n v="208"/>
        <n v="347"/>
      </sharedItems>
    </cacheField>
    <cacheField name="Cost Base(USD)" uniqueList="1" sqlType="0" hierarchy="0" level="0" databaseField="1">
      <sharedItems count="3" containsDate="0" containsNumber="1" containsString="0">
        <n v="104"/>
        <n v="278"/>
        <n v="417"/>
      </sharedItems>
    </cacheField>
    <cacheField name="Cost High(USD)" uniqueList="1" sqlType="0" hierarchy="0" level="0" databaseField="1">
      <sharedItems count="3" containsDate="0" containsNumber="1" containsString="0">
        <n v="139"/>
        <n v="347"/>
        <n v="486"/>
      </sharedItems>
    </cacheField>
    <cacheField name="Observed Session Count" uniqueList="1" sqlType="0" hierarchy="0" level="0" databaseField="1">
      <sharedItems count="8" containsDate="0" containsNumber="1" containsString="0">
        <n v="0"/>
        <n v="1"/>
        <n v="3"/>
        <n v="2"/>
        <n v="4"/>
        <n v="5"/>
        <n v="7"/>
        <n v="10"/>
      </sharedItems>
    </cacheField>
    <cacheField name="Cumulative Estimated Contribution" uniqueList="1" sqlType="0" hierarchy="0" level="0" databaseField="1">
      <sharedItems count="17" containsDate="0" containsNumber="1" containsString="0">
        <n v="0"/>
        <n v="332"/>
        <n v="1314"/>
        <n v="766"/>
        <n v="1896"/>
        <n v="1054"/>
        <n v="1960"/>
        <n v="1056"/>
        <n v="2635"/>
        <n v="324"/>
        <n v="1126"/>
        <n v="3920"/>
        <n v="648"/>
        <n v="1446"/>
        <n v="3320"/>
        <n v="609"/>
        <n v="1692"/>
      </sharedItems>
    </cacheField>
    <cacheField name="Surplus - Low Cost" uniqueList="1" sqlType="0" hierarchy="0" level="0" databaseField="1">
      <sharedItems count="20" containsDate="0" containsNumber="1" containsString="0">
        <n v="0"/>
        <n v="124"/>
        <n v="1314"/>
        <n v="-347"/>
        <n v="558"/>
        <n v="1896"/>
        <n v="-208"/>
        <n v="1054"/>
        <n v="1613"/>
        <n v="332"/>
        <n v="1056"/>
        <n v="2427"/>
        <n v="324"/>
        <n v="779"/>
        <n v="3712"/>
        <n v="648"/>
        <n v="1238"/>
        <n v="3320"/>
        <n v="262"/>
        <n v="1692"/>
      </sharedItems>
    </cacheField>
    <cacheField name="Surplus - Base Cost" uniqueList="1" sqlType="0" hierarchy="0" level="0" databaseField="1">
      <sharedItems count="20" containsDate="0" containsNumber="1" containsString="0">
        <n v="-104"/>
        <n v="54"/>
        <n v="1210"/>
        <n v="-417"/>
        <n v="488"/>
        <n v="1792"/>
        <n v="-278"/>
        <n v="950"/>
        <n v="1543"/>
        <n v="228"/>
        <n v="952"/>
        <n v="2357"/>
        <n v="220"/>
        <n v="709"/>
        <n v="3642"/>
        <n v="544"/>
        <n v="1168"/>
        <n v="3216"/>
        <n v="192"/>
        <n v="1588"/>
      </sharedItems>
    </cacheField>
    <cacheField name="Surplus - High Cost" uniqueList="1" sqlType="0" hierarchy="0" level="0" databaseField="1">
      <sharedItems count="20" containsDate="0" containsNumber="1" containsString="0">
        <n v="-139"/>
        <n v="-15"/>
        <n v="1175"/>
        <n v="-486"/>
        <n v="419"/>
        <n v="1757"/>
        <n v="-347"/>
        <n v="915"/>
        <n v="1474"/>
        <n v="193"/>
        <n v="917"/>
        <n v="2288"/>
        <n v="185"/>
        <n v="640"/>
        <n v="3573"/>
        <n v="509"/>
        <n v="1099"/>
        <n v="3181"/>
        <n v="123"/>
        <n v="1553"/>
      </sharedItems>
    </cacheField>
    <cacheField name="Cost Recovery Status" uniqueList="1" sqlType="0" hierarchy="0" level="0" databaseField="1">
      <sharedItems count="3" containsDate="0" containsNumber="0" containsString="1">
        <s v="Not Opened"/>
        <s v="Recovered - Low &amp; Base"/>
        <s v="Recovered - All Scenarios"/>
      </sharedItems>
    </cacheField>
    <cacheField name="Average Contribution per Session" uniqueList="1" sqlType="0" hierarchy="0" level="0" databaseField="1">
      <sharedItems count="15" containsDate="0" containsNumber="1" containsString="0">
        <n v="0"/>
        <n v="332"/>
        <n v="438"/>
        <n v="383"/>
        <n v="474"/>
        <n v="527"/>
        <n v="490"/>
        <n v="528"/>
        <n v="324"/>
        <n v="563"/>
        <n v="560"/>
        <n v="648"/>
        <n v="482"/>
        <n v="609"/>
        <n v="564"/>
      </sharedItems>
    </cacheField>
    <cacheField name="Open Session Count" uniqueList="1" sqlType="0" hierarchy="0" level="0" databaseField="1">
      <sharedItems count="8" containsDate="0" containsNumber="1" containsString="0">
        <n v="0"/>
        <n v="1"/>
        <n v="3"/>
        <n v="2"/>
        <n v="4"/>
        <n v="5"/>
        <n v="7"/>
        <n v="10"/>
      </sharedItems>
    </cacheField>
    <cacheField name="Avg Contribution(Opened Only)" uniqueList="1" sqlType="0" hierarchy="0" level="0" databaseField="1">
      <sharedItems count="15" containsDate="0" containsNumber="1" containsString="0">
        <m/>
        <n v="332"/>
        <n v="438"/>
        <n v="383"/>
        <n v="474"/>
        <n v="527"/>
        <n v="490"/>
        <n v="528"/>
        <n v="324"/>
        <n v="563"/>
        <n v="560"/>
        <n v="648"/>
        <n v="482"/>
        <n v="609"/>
        <n v="564"/>
      </sharedItems>
    </cacheField>
    <cacheField name="Strategy Segment" uniqueList="1" sqlType="0" hierarchy="0" level="0" databaseField="1">
      <sharedItems count="5" containsDate="0" containsNumber="0" containsString="1">
        <s v="Not Opened"/>
        <s v="Low Frequency / Low Contribution"/>
        <s v="High Frequency / Low Contribution"/>
        <s v="High Frequency / High Contribution"/>
        <s v="Low Frequency / High Contribution"/>
      </sharedItems>
    </cacheField>
  </cacheFields>
</pivotCacheDefinition>
</file>

<file path=xl/pivotCache/pivotCacheRecords1.xml><?xml version="1.0" encoding="utf-8"?>
<pivotCacheRecords xmlns="http://schemas.openxmlformats.org/spreadsheetml/2006/main" count="416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0"/>
    <x v="0"/>
  </r>
  <r>
    <x v="2"/>
    <x v="1"/>
    <x v="2"/>
    <x v="1"/>
    <x v="1"/>
    <x v="1"/>
    <x v="0"/>
    <x v="1"/>
    <x v="1"/>
    <x v="1"/>
    <x v="1"/>
    <x v="1"/>
    <x v="1"/>
    <x v="0"/>
    <x v="0"/>
  </r>
  <r>
    <x v="3"/>
    <x v="1"/>
    <x v="3"/>
    <x v="1"/>
    <x v="1"/>
    <x v="1"/>
    <x v="0"/>
    <x v="1"/>
    <x v="1"/>
    <x v="1"/>
    <x v="1"/>
    <x v="1"/>
    <x v="1"/>
    <x v="0"/>
    <x v="0"/>
  </r>
  <r>
    <x v="4"/>
    <x v="2"/>
    <x v="4"/>
    <x v="2"/>
    <x v="0"/>
    <x v="2"/>
    <x v="1"/>
    <x v="2"/>
    <x v="2"/>
    <x v="2"/>
    <x v="0"/>
    <x v="2"/>
    <x v="0"/>
    <x v="0"/>
    <x v="0"/>
  </r>
  <r>
    <x v="5"/>
    <x v="2"/>
    <x v="5"/>
    <x v="2"/>
    <x v="0"/>
    <x v="2"/>
    <x v="1"/>
    <x v="2"/>
    <x v="2"/>
    <x v="2"/>
    <x v="0"/>
    <x v="2"/>
    <x v="0"/>
    <x v="0"/>
    <x v="0"/>
  </r>
  <r>
    <x v="6"/>
    <x v="3"/>
    <x v="6"/>
    <x v="3"/>
    <x v="1"/>
    <x v="2"/>
    <x v="0"/>
    <x v="3"/>
    <x v="3"/>
    <x v="3"/>
    <x v="1"/>
    <x v="3"/>
    <x v="1"/>
    <x v="0"/>
    <x v="0"/>
  </r>
  <r>
    <x v="7"/>
    <x v="3"/>
    <x v="7"/>
    <x v="3"/>
    <x v="1"/>
    <x v="2"/>
    <x v="0"/>
    <x v="3"/>
    <x v="3"/>
    <x v="3"/>
    <x v="1"/>
    <x v="3"/>
    <x v="1"/>
    <x v="0"/>
    <x v="0"/>
  </r>
  <r>
    <x v="8"/>
    <x v="3"/>
    <x v="8"/>
    <x v="3"/>
    <x v="1"/>
    <x v="2"/>
    <x v="0"/>
    <x v="3"/>
    <x v="3"/>
    <x v="3"/>
    <x v="1"/>
    <x v="3"/>
    <x v="1"/>
    <x v="0"/>
    <x v="0"/>
  </r>
  <r>
    <x v="9"/>
    <x v="3"/>
    <x v="9"/>
    <x v="3"/>
    <x v="1"/>
    <x v="2"/>
    <x v="0"/>
    <x v="3"/>
    <x v="3"/>
    <x v="3"/>
    <x v="1"/>
    <x v="3"/>
    <x v="1"/>
    <x v="0"/>
    <x v="0"/>
  </r>
  <r>
    <x v="10"/>
    <x v="4"/>
    <x v="10"/>
    <x v="4"/>
    <x v="0"/>
    <x v="0"/>
    <x v="0"/>
    <x v="4"/>
    <x v="4"/>
    <x v="4"/>
    <x v="1"/>
    <x v="4"/>
    <x v="0"/>
    <x v="0"/>
    <x v="0"/>
  </r>
  <r>
    <x v="11"/>
    <x v="4"/>
    <x v="11"/>
    <x v="4"/>
    <x v="0"/>
    <x v="0"/>
    <x v="0"/>
    <x v="4"/>
    <x v="4"/>
    <x v="4"/>
    <x v="1"/>
    <x v="4"/>
    <x v="0"/>
    <x v="0"/>
    <x v="0"/>
  </r>
  <r>
    <x v="12"/>
    <x v="5"/>
    <x v="12"/>
    <x v="5"/>
    <x v="2"/>
    <x v="1"/>
    <x v="2"/>
    <x v="5"/>
    <x v="5"/>
    <x v="5"/>
    <x v="2"/>
    <x v="5"/>
    <x v="1"/>
    <x v="0"/>
    <x v="0"/>
  </r>
  <r>
    <x v="13"/>
    <x v="5"/>
    <x v="13"/>
    <x v="5"/>
    <x v="2"/>
    <x v="1"/>
    <x v="2"/>
    <x v="5"/>
    <x v="5"/>
    <x v="5"/>
    <x v="2"/>
    <x v="5"/>
    <x v="1"/>
    <x v="0"/>
    <x v="0"/>
  </r>
  <r>
    <x v="14"/>
    <x v="5"/>
    <x v="14"/>
    <x v="5"/>
    <x v="2"/>
    <x v="1"/>
    <x v="2"/>
    <x v="5"/>
    <x v="5"/>
    <x v="5"/>
    <x v="2"/>
    <x v="5"/>
    <x v="1"/>
    <x v="0"/>
    <x v="0"/>
  </r>
  <r>
    <x v="15"/>
    <x v="5"/>
    <x v="15"/>
    <x v="5"/>
    <x v="2"/>
    <x v="1"/>
    <x v="2"/>
    <x v="5"/>
    <x v="5"/>
    <x v="5"/>
    <x v="2"/>
    <x v="5"/>
    <x v="1"/>
    <x v="0"/>
    <x v="0"/>
  </r>
  <r>
    <x v="16"/>
    <x v="6"/>
    <x v="15"/>
    <x v="6"/>
    <x v="1"/>
    <x v="3"/>
    <x v="1"/>
    <x v="3"/>
    <x v="6"/>
    <x v="6"/>
    <x v="1"/>
    <x v="0"/>
    <x v="2"/>
    <x v="0"/>
    <x v="0"/>
  </r>
  <r>
    <x v="17"/>
    <x v="7"/>
    <x v="16"/>
    <x v="7"/>
    <x v="1"/>
    <x v="2"/>
    <x v="0"/>
    <x v="1"/>
    <x v="1"/>
    <x v="3"/>
    <x v="1"/>
    <x v="6"/>
    <x v="0"/>
    <x v="0"/>
    <x v="0"/>
  </r>
  <r>
    <x v="18"/>
    <x v="7"/>
    <x v="17"/>
    <x v="7"/>
    <x v="1"/>
    <x v="2"/>
    <x v="0"/>
    <x v="1"/>
    <x v="1"/>
    <x v="3"/>
    <x v="1"/>
    <x v="6"/>
    <x v="0"/>
    <x v="0"/>
    <x v="0"/>
  </r>
  <r>
    <x v="19"/>
    <x v="8"/>
    <x v="18"/>
    <x v="8"/>
    <x v="0"/>
    <x v="0"/>
    <x v="0"/>
    <x v="4"/>
    <x v="4"/>
    <x v="4"/>
    <x v="0"/>
    <x v="4"/>
    <x v="1"/>
    <x v="0"/>
    <x v="0"/>
  </r>
  <r>
    <x v="20"/>
    <x v="8"/>
    <x v="19"/>
    <x v="8"/>
    <x v="0"/>
    <x v="0"/>
    <x v="0"/>
    <x v="4"/>
    <x v="4"/>
    <x v="4"/>
    <x v="0"/>
    <x v="4"/>
    <x v="1"/>
    <x v="0"/>
    <x v="0"/>
  </r>
  <r>
    <x v="21"/>
    <x v="8"/>
    <x v="20"/>
    <x v="8"/>
    <x v="0"/>
    <x v="0"/>
    <x v="0"/>
    <x v="4"/>
    <x v="4"/>
    <x v="4"/>
    <x v="0"/>
    <x v="4"/>
    <x v="1"/>
    <x v="0"/>
    <x v="0"/>
  </r>
  <r>
    <x v="22"/>
    <x v="8"/>
    <x v="21"/>
    <x v="8"/>
    <x v="0"/>
    <x v="0"/>
    <x v="0"/>
    <x v="4"/>
    <x v="4"/>
    <x v="4"/>
    <x v="0"/>
    <x v="4"/>
    <x v="1"/>
    <x v="0"/>
    <x v="0"/>
  </r>
  <r>
    <x v="23"/>
    <x v="8"/>
    <x v="22"/>
    <x v="8"/>
    <x v="0"/>
    <x v="0"/>
    <x v="0"/>
    <x v="4"/>
    <x v="4"/>
    <x v="4"/>
    <x v="0"/>
    <x v="4"/>
    <x v="1"/>
    <x v="0"/>
    <x v="0"/>
  </r>
  <r>
    <x v="24"/>
    <x v="9"/>
    <x v="23"/>
    <x v="9"/>
    <x v="1"/>
    <x v="1"/>
    <x v="0"/>
    <x v="6"/>
    <x v="7"/>
    <x v="1"/>
    <x v="1"/>
    <x v="7"/>
    <x v="2"/>
    <x v="0"/>
    <x v="0"/>
  </r>
  <r>
    <x v="25"/>
    <x v="10"/>
    <x v="24"/>
    <x v="10"/>
    <x v="2"/>
    <x v="1"/>
    <x v="2"/>
    <x v="3"/>
    <x v="8"/>
    <x v="7"/>
    <x v="2"/>
    <x v="8"/>
    <x v="0"/>
    <x v="0"/>
    <x v="0"/>
  </r>
  <r>
    <x v="26"/>
    <x v="10"/>
    <x v="25"/>
    <x v="10"/>
    <x v="2"/>
    <x v="1"/>
    <x v="2"/>
    <x v="3"/>
    <x v="8"/>
    <x v="7"/>
    <x v="2"/>
    <x v="8"/>
    <x v="0"/>
    <x v="0"/>
    <x v="0"/>
  </r>
  <r>
    <x v="27"/>
    <x v="11"/>
    <x v="26"/>
    <x v="11"/>
    <x v="0"/>
    <x v="2"/>
    <x v="1"/>
    <x v="5"/>
    <x v="9"/>
    <x v="7"/>
    <x v="0"/>
    <x v="9"/>
    <x v="1"/>
    <x v="0"/>
    <x v="0"/>
  </r>
  <r>
    <x v="28"/>
    <x v="11"/>
    <x v="27"/>
    <x v="11"/>
    <x v="0"/>
    <x v="2"/>
    <x v="1"/>
    <x v="5"/>
    <x v="9"/>
    <x v="7"/>
    <x v="0"/>
    <x v="9"/>
    <x v="1"/>
    <x v="0"/>
    <x v="0"/>
  </r>
  <r>
    <x v="29"/>
    <x v="11"/>
    <x v="28"/>
    <x v="11"/>
    <x v="0"/>
    <x v="2"/>
    <x v="1"/>
    <x v="5"/>
    <x v="9"/>
    <x v="7"/>
    <x v="0"/>
    <x v="9"/>
    <x v="1"/>
    <x v="0"/>
    <x v="0"/>
  </r>
  <r>
    <x v="30"/>
    <x v="11"/>
    <x v="29"/>
    <x v="11"/>
    <x v="0"/>
    <x v="2"/>
    <x v="1"/>
    <x v="5"/>
    <x v="9"/>
    <x v="7"/>
    <x v="0"/>
    <x v="9"/>
    <x v="1"/>
    <x v="0"/>
    <x v="0"/>
  </r>
  <r>
    <x v="31"/>
    <x v="11"/>
    <x v="30"/>
    <x v="11"/>
    <x v="0"/>
    <x v="2"/>
    <x v="1"/>
    <x v="5"/>
    <x v="9"/>
    <x v="7"/>
    <x v="0"/>
    <x v="9"/>
    <x v="1"/>
    <x v="1"/>
    <x v="1"/>
  </r>
  <r>
    <x v="32"/>
    <x v="11"/>
    <x v="31"/>
    <x v="11"/>
    <x v="0"/>
    <x v="2"/>
    <x v="1"/>
    <x v="5"/>
    <x v="9"/>
    <x v="7"/>
    <x v="0"/>
    <x v="9"/>
    <x v="1"/>
    <x v="1"/>
    <x v="1"/>
  </r>
  <r>
    <x v="33"/>
    <x v="11"/>
    <x v="32"/>
    <x v="11"/>
    <x v="0"/>
    <x v="2"/>
    <x v="1"/>
    <x v="5"/>
    <x v="9"/>
    <x v="7"/>
    <x v="0"/>
    <x v="9"/>
    <x v="1"/>
    <x v="1"/>
    <x v="1"/>
  </r>
  <r>
    <x v="34"/>
    <x v="12"/>
    <x v="33"/>
    <x v="12"/>
    <x v="1"/>
    <x v="2"/>
    <x v="0"/>
    <x v="7"/>
    <x v="10"/>
    <x v="3"/>
    <x v="1"/>
    <x v="10"/>
    <x v="2"/>
    <x v="1"/>
    <x v="1"/>
  </r>
  <r>
    <x v="35"/>
    <x v="13"/>
    <x v="34"/>
    <x v="13"/>
    <x v="3"/>
    <x v="0"/>
    <x v="0"/>
    <x v="3"/>
    <x v="3"/>
    <x v="8"/>
    <x v="0"/>
    <x v="11"/>
    <x v="0"/>
    <x v="1"/>
    <x v="1"/>
  </r>
  <r>
    <x v="36"/>
    <x v="13"/>
    <x v="35"/>
    <x v="13"/>
    <x v="3"/>
    <x v="0"/>
    <x v="0"/>
    <x v="3"/>
    <x v="3"/>
    <x v="8"/>
    <x v="0"/>
    <x v="11"/>
    <x v="0"/>
    <x v="1"/>
    <x v="1"/>
  </r>
  <r>
    <x v="37"/>
    <x v="13"/>
    <x v="36"/>
    <x v="13"/>
    <x v="3"/>
    <x v="0"/>
    <x v="0"/>
    <x v="3"/>
    <x v="3"/>
    <x v="8"/>
    <x v="0"/>
    <x v="11"/>
    <x v="0"/>
    <x v="1"/>
    <x v="1"/>
  </r>
  <r>
    <x v="38"/>
    <x v="14"/>
    <x v="37"/>
    <x v="14"/>
    <x v="0"/>
    <x v="0"/>
    <x v="0"/>
    <x v="0"/>
    <x v="0"/>
    <x v="0"/>
    <x v="1"/>
    <x v="0"/>
    <x v="1"/>
    <x v="1"/>
    <x v="1"/>
  </r>
  <r>
    <x v="39"/>
    <x v="14"/>
    <x v="38"/>
    <x v="14"/>
    <x v="0"/>
    <x v="0"/>
    <x v="0"/>
    <x v="0"/>
    <x v="0"/>
    <x v="0"/>
    <x v="1"/>
    <x v="0"/>
    <x v="1"/>
    <x v="1"/>
    <x v="1"/>
  </r>
  <r>
    <x v="40"/>
    <x v="14"/>
    <x v="39"/>
    <x v="14"/>
    <x v="0"/>
    <x v="0"/>
    <x v="0"/>
    <x v="0"/>
    <x v="0"/>
    <x v="0"/>
    <x v="1"/>
    <x v="0"/>
    <x v="1"/>
    <x v="1"/>
    <x v="1"/>
  </r>
  <r>
    <x v="41"/>
    <x v="14"/>
    <x v="40"/>
    <x v="14"/>
    <x v="0"/>
    <x v="0"/>
    <x v="0"/>
    <x v="0"/>
    <x v="0"/>
    <x v="0"/>
    <x v="1"/>
    <x v="0"/>
    <x v="1"/>
    <x v="1"/>
    <x v="1"/>
  </r>
  <r>
    <x v="42"/>
    <x v="14"/>
    <x v="41"/>
    <x v="14"/>
    <x v="0"/>
    <x v="0"/>
    <x v="0"/>
    <x v="0"/>
    <x v="0"/>
    <x v="0"/>
    <x v="1"/>
    <x v="0"/>
    <x v="1"/>
    <x v="1"/>
    <x v="1"/>
  </r>
  <r>
    <x v="43"/>
    <x v="14"/>
    <x v="42"/>
    <x v="14"/>
    <x v="0"/>
    <x v="0"/>
    <x v="0"/>
    <x v="0"/>
    <x v="0"/>
    <x v="0"/>
    <x v="1"/>
    <x v="0"/>
    <x v="1"/>
    <x v="1"/>
    <x v="1"/>
  </r>
  <r>
    <x v="44"/>
    <x v="14"/>
    <x v="43"/>
    <x v="14"/>
    <x v="0"/>
    <x v="0"/>
    <x v="0"/>
    <x v="0"/>
    <x v="0"/>
    <x v="0"/>
    <x v="1"/>
    <x v="0"/>
    <x v="1"/>
    <x v="1"/>
    <x v="1"/>
  </r>
  <r>
    <x v="45"/>
    <x v="14"/>
    <x v="44"/>
    <x v="14"/>
    <x v="0"/>
    <x v="0"/>
    <x v="0"/>
    <x v="0"/>
    <x v="0"/>
    <x v="0"/>
    <x v="1"/>
    <x v="0"/>
    <x v="1"/>
    <x v="1"/>
    <x v="1"/>
  </r>
  <r>
    <x v="46"/>
    <x v="14"/>
    <x v="45"/>
    <x v="14"/>
    <x v="0"/>
    <x v="0"/>
    <x v="0"/>
    <x v="0"/>
    <x v="0"/>
    <x v="0"/>
    <x v="1"/>
    <x v="0"/>
    <x v="1"/>
    <x v="1"/>
    <x v="1"/>
  </r>
  <r>
    <x v="47"/>
    <x v="14"/>
    <x v="46"/>
    <x v="14"/>
    <x v="0"/>
    <x v="0"/>
    <x v="0"/>
    <x v="0"/>
    <x v="0"/>
    <x v="0"/>
    <x v="1"/>
    <x v="0"/>
    <x v="1"/>
    <x v="1"/>
    <x v="1"/>
  </r>
  <r>
    <x v="48"/>
    <x v="15"/>
    <x v="46"/>
    <x v="15"/>
    <x v="2"/>
    <x v="1"/>
    <x v="2"/>
    <x v="1"/>
    <x v="11"/>
    <x v="9"/>
    <x v="2"/>
    <x v="12"/>
    <x v="2"/>
    <x v="1"/>
    <x v="1"/>
  </r>
  <r>
    <x v="49"/>
    <x v="16"/>
    <x v="47"/>
    <x v="16"/>
    <x v="1"/>
    <x v="3"/>
    <x v="1"/>
    <x v="7"/>
    <x v="12"/>
    <x v="6"/>
    <x v="1"/>
    <x v="13"/>
    <x v="0"/>
    <x v="1"/>
    <x v="1"/>
  </r>
  <r>
    <x v="50"/>
    <x v="16"/>
    <x v="48"/>
    <x v="16"/>
    <x v="1"/>
    <x v="3"/>
    <x v="1"/>
    <x v="7"/>
    <x v="12"/>
    <x v="6"/>
    <x v="1"/>
    <x v="13"/>
    <x v="0"/>
    <x v="1"/>
    <x v="1"/>
  </r>
  <r>
    <x v="51"/>
    <x v="16"/>
    <x v="49"/>
    <x v="16"/>
    <x v="1"/>
    <x v="3"/>
    <x v="1"/>
    <x v="7"/>
    <x v="12"/>
    <x v="6"/>
    <x v="1"/>
    <x v="13"/>
    <x v="0"/>
    <x v="1"/>
    <x v="1"/>
  </r>
  <r>
    <x v="52"/>
    <x v="17"/>
    <x v="50"/>
    <x v="17"/>
    <x v="0"/>
    <x v="0"/>
    <x v="0"/>
    <x v="0"/>
    <x v="0"/>
    <x v="0"/>
    <x v="0"/>
    <x v="0"/>
    <x v="2"/>
    <x v="1"/>
    <x v="1"/>
  </r>
  <r>
    <x v="53"/>
    <x v="18"/>
    <x v="51"/>
    <x v="18"/>
    <x v="1"/>
    <x v="1"/>
    <x v="0"/>
    <x v="1"/>
    <x v="1"/>
    <x v="1"/>
    <x v="1"/>
    <x v="1"/>
    <x v="0"/>
    <x v="1"/>
    <x v="1"/>
  </r>
  <r>
    <x v="54"/>
    <x v="18"/>
    <x v="52"/>
    <x v="18"/>
    <x v="1"/>
    <x v="1"/>
    <x v="0"/>
    <x v="1"/>
    <x v="1"/>
    <x v="1"/>
    <x v="1"/>
    <x v="1"/>
    <x v="0"/>
    <x v="1"/>
    <x v="1"/>
  </r>
  <r>
    <x v="55"/>
    <x v="18"/>
    <x v="53"/>
    <x v="18"/>
    <x v="1"/>
    <x v="1"/>
    <x v="0"/>
    <x v="1"/>
    <x v="1"/>
    <x v="1"/>
    <x v="1"/>
    <x v="1"/>
    <x v="0"/>
    <x v="1"/>
    <x v="1"/>
  </r>
  <r>
    <x v="56"/>
    <x v="19"/>
    <x v="54"/>
    <x v="19"/>
    <x v="0"/>
    <x v="2"/>
    <x v="1"/>
    <x v="2"/>
    <x v="2"/>
    <x v="2"/>
    <x v="0"/>
    <x v="2"/>
    <x v="2"/>
    <x v="1"/>
    <x v="1"/>
  </r>
  <r>
    <x v="57"/>
    <x v="19"/>
    <x v="55"/>
    <x v="19"/>
    <x v="0"/>
    <x v="2"/>
    <x v="1"/>
    <x v="2"/>
    <x v="2"/>
    <x v="2"/>
    <x v="0"/>
    <x v="2"/>
    <x v="2"/>
    <x v="1"/>
    <x v="1"/>
  </r>
  <r>
    <x v="58"/>
    <x v="20"/>
    <x v="56"/>
    <x v="20"/>
    <x v="1"/>
    <x v="2"/>
    <x v="0"/>
    <x v="3"/>
    <x v="3"/>
    <x v="3"/>
    <x v="1"/>
    <x v="3"/>
    <x v="0"/>
    <x v="1"/>
    <x v="1"/>
  </r>
  <r>
    <x v="59"/>
    <x v="20"/>
    <x v="57"/>
    <x v="20"/>
    <x v="1"/>
    <x v="2"/>
    <x v="0"/>
    <x v="3"/>
    <x v="3"/>
    <x v="3"/>
    <x v="1"/>
    <x v="3"/>
    <x v="0"/>
    <x v="1"/>
    <x v="1"/>
  </r>
  <r>
    <x v="60"/>
    <x v="20"/>
    <x v="58"/>
    <x v="20"/>
    <x v="1"/>
    <x v="2"/>
    <x v="0"/>
    <x v="3"/>
    <x v="3"/>
    <x v="3"/>
    <x v="1"/>
    <x v="3"/>
    <x v="0"/>
    <x v="1"/>
    <x v="1"/>
  </r>
  <r>
    <x v="61"/>
    <x v="20"/>
    <x v="59"/>
    <x v="20"/>
    <x v="1"/>
    <x v="2"/>
    <x v="0"/>
    <x v="3"/>
    <x v="3"/>
    <x v="3"/>
    <x v="1"/>
    <x v="3"/>
    <x v="0"/>
    <x v="1"/>
    <x v="1"/>
  </r>
  <r>
    <x v="62"/>
    <x v="21"/>
    <x v="60"/>
    <x v="21"/>
    <x v="0"/>
    <x v="0"/>
    <x v="0"/>
    <x v="4"/>
    <x v="4"/>
    <x v="4"/>
    <x v="1"/>
    <x v="4"/>
    <x v="2"/>
    <x v="1"/>
    <x v="1"/>
  </r>
  <r>
    <x v="63"/>
    <x v="21"/>
    <x v="61"/>
    <x v="21"/>
    <x v="0"/>
    <x v="0"/>
    <x v="0"/>
    <x v="4"/>
    <x v="4"/>
    <x v="4"/>
    <x v="1"/>
    <x v="4"/>
    <x v="2"/>
    <x v="2"/>
    <x v="2"/>
  </r>
  <r>
    <x v="64"/>
    <x v="22"/>
    <x v="62"/>
    <x v="22"/>
    <x v="2"/>
    <x v="1"/>
    <x v="2"/>
    <x v="5"/>
    <x v="5"/>
    <x v="5"/>
    <x v="2"/>
    <x v="5"/>
    <x v="0"/>
    <x v="2"/>
    <x v="2"/>
  </r>
  <r>
    <x v="65"/>
    <x v="22"/>
    <x v="63"/>
    <x v="22"/>
    <x v="2"/>
    <x v="1"/>
    <x v="2"/>
    <x v="5"/>
    <x v="5"/>
    <x v="5"/>
    <x v="2"/>
    <x v="5"/>
    <x v="0"/>
    <x v="2"/>
    <x v="2"/>
  </r>
  <r>
    <x v="66"/>
    <x v="22"/>
    <x v="64"/>
    <x v="22"/>
    <x v="2"/>
    <x v="1"/>
    <x v="2"/>
    <x v="5"/>
    <x v="5"/>
    <x v="5"/>
    <x v="2"/>
    <x v="5"/>
    <x v="0"/>
    <x v="2"/>
    <x v="2"/>
  </r>
  <r>
    <x v="67"/>
    <x v="22"/>
    <x v="65"/>
    <x v="22"/>
    <x v="2"/>
    <x v="1"/>
    <x v="2"/>
    <x v="5"/>
    <x v="5"/>
    <x v="5"/>
    <x v="2"/>
    <x v="5"/>
    <x v="0"/>
    <x v="2"/>
    <x v="2"/>
  </r>
  <r>
    <x v="68"/>
    <x v="23"/>
    <x v="66"/>
    <x v="23"/>
    <x v="1"/>
    <x v="3"/>
    <x v="1"/>
    <x v="3"/>
    <x v="6"/>
    <x v="6"/>
    <x v="1"/>
    <x v="0"/>
    <x v="1"/>
    <x v="2"/>
    <x v="2"/>
  </r>
  <r>
    <x v="69"/>
    <x v="24"/>
    <x v="67"/>
    <x v="24"/>
    <x v="1"/>
    <x v="2"/>
    <x v="0"/>
    <x v="1"/>
    <x v="1"/>
    <x v="3"/>
    <x v="1"/>
    <x v="6"/>
    <x v="2"/>
    <x v="2"/>
    <x v="2"/>
  </r>
  <r>
    <x v="70"/>
    <x v="24"/>
    <x v="68"/>
    <x v="24"/>
    <x v="1"/>
    <x v="2"/>
    <x v="0"/>
    <x v="1"/>
    <x v="1"/>
    <x v="3"/>
    <x v="1"/>
    <x v="6"/>
    <x v="2"/>
    <x v="2"/>
    <x v="2"/>
  </r>
  <r>
    <x v="71"/>
    <x v="25"/>
    <x v="69"/>
    <x v="25"/>
    <x v="0"/>
    <x v="0"/>
    <x v="0"/>
    <x v="4"/>
    <x v="4"/>
    <x v="4"/>
    <x v="0"/>
    <x v="4"/>
    <x v="0"/>
    <x v="2"/>
    <x v="2"/>
  </r>
  <r>
    <x v="72"/>
    <x v="25"/>
    <x v="70"/>
    <x v="25"/>
    <x v="0"/>
    <x v="0"/>
    <x v="0"/>
    <x v="4"/>
    <x v="4"/>
    <x v="4"/>
    <x v="0"/>
    <x v="4"/>
    <x v="0"/>
    <x v="2"/>
    <x v="2"/>
  </r>
  <r>
    <x v="73"/>
    <x v="25"/>
    <x v="71"/>
    <x v="25"/>
    <x v="0"/>
    <x v="0"/>
    <x v="0"/>
    <x v="4"/>
    <x v="4"/>
    <x v="4"/>
    <x v="0"/>
    <x v="4"/>
    <x v="0"/>
    <x v="2"/>
    <x v="2"/>
  </r>
  <r>
    <x v="74"/>
    <x v="25"/>
    <x v="72"/>
    <x v="25"/>
    <x v="0"/>
    <x v="0"/>
    <x v="0"/>
    <x v="4"/>
    <x v="4"/>
    <x v="4"/>
    <x v="0"/>
    <x v="4"/>
    <x v="0"/>
    <x v="2"/>
    <x v="2"/>
  </r>
  <r>
    <x v="75"/>
    <x v="25"/>
    <x v="73"/>
    <x v="25"/>
    <x v="0"/>
    <x v="0"/>
    <x v="0"/>
    <x v="4"/>
    <x v="4"/>
    <x v="4"/>
    <x v="0"/>
    <x v="4"/>
    <x v="0"/>
    <x v="2"/>
    <x v="2"/>
  </r>
  <r>
    <x v="76"/>
    <x v="26"/>
    <x v="74"/>
    <x v="26"/>
    <x v="1"/>
    <x v="1"/>
    <x v="0"/>
    <x v="6"/>
    <x v="7"/>
    <x v="1"/>
    <x v="1"/>
    <x v="7"/>
    <x v="1"/>
    <x v="2"/>
    <x v="2"/>
  </r>
  <r>
    <x v="77"/>
    <x v="27"/>
    <x v="75"/>
    <x v="27"/>
    <x v="2"/>
    <x v="1"/>
    <x v="2"/>
    <x v="3"/>
    <x v="8"/>
    <x v="7"/>
    <x v="2"/>
    <x v="8"/>
    <x v="2"/>
    <x v="2"/>
    <x v="2"/>
  </r>
  <r>
    <x v="78"/>
    <x v="27"/>
    <x v="76"/>
    <x v="27"/>
    <x v="2"/>
    <x v="1"/>
    <x v="2"/>
    <x v="3"/>
    <x v="8"/>
    <x v="7"/>
    <x v="2"/>
    <x v="8"/>
    <x v="2"/>
    <x v="2"/>
    <x v="2"/>
  </r>
  <r>
    <x v="79"/>
    <x v="28"/>
    <x v="77"/>
    <x v="28"/>
    <x v="0"/>
    <x v="2"/>
    <x v="1"/>
    <x v="5"/>
    <x v="9"/>
    <x v="7"/>
    <x v="0"/>
    <x v="9"/>
    <x v="0"/>
    <x v="2"/>
    <x v="2"/>
  </r>
  <r>
    <x v="80"/>
    <x v="28"/>
    <x v="77"/>
    <x v="28"/>
    <x v="0"/>
    <x v="2"/>
    <x v="1"/>
    <x v="5"/>
    <x v="9"/>
    <x v="7"/>
    <x v="0"/>
    <x v="9"/>
    <x v="0"/>
    <x v="2"/>
    <x v="2"/>
  </r>
  <r>
    <x v="81"/>
    <x v="28"/>
    <x v="78"/>
    <x v="28"/>
    <x v="0"/>
    <x v="2"/>
    <x v="1"/>
    <x v="5"/>
    <x v="9"/>
    <x v="7"/>
    <x v="0"/>
    <x v="9"/>
    <x v="0"/>
    <x v="2"/>
    <x v="2"/>
  </r>
  <r>
    <x v="82"/>
    <x v="28"/>
    <x v="79"/>
    <x v="28"/>
    <x v="0"/>
    <x v="2"/>
    <x v="1"/>
    <x v="5"/>
    <x v="9"/>
    <x v="7"/>
    <x v="0"/>
    <x v="9"/>
    <x v="0"/>
    <x v="2"/>
    <x v="2"/>
  </r>
  <r>
    <x v="83"/>
    <x v="28"/>
    <x v="80"/>
    <x v="28"/>
    <x v="0"/>
    <x v="2"/>
    <x v="1"/>
    <x v="5"/>
    <x v="9"/>
    <x v="7"/>
    <x v="0"/>
    <x v="9"/>
    <x v="0"/>
    <x v="2"/>
    <x v="2"/>
  </r>
  <r>
    <x v="84"/>
    <x v="28"/>
    <x v="81"/>
    <x v="28"/>
    <x v="0"/>
    <x v="2"/>
    <x v="1"/>
    <x v="5"/>
    <x v="9"/>
    <x v="7"/>
    <x v="0"/>
    <x v="9"/>
    <x v="0"/>
    <x v="2"/>
    <x v="2"/>
  </r>
  <r>
    <x v="85"/>
    <x v="28"/>
    <x v="82"/>
    <x v="28"/>
    <x v="0"/>
    <x v="2"/>
    <x v="1"/>
    <x v="5"/>
    <x v="9"/>
    <x v="7"/>
    <x v="0"/>
    <x v="9"/>
    <x v="0"/>
    <x v="2"/>
    <x v="2"/>
  </r>
  <r>
    <x v="86"/>
    <x v="29"/>
    <x v="83"/>
    <x v="29"/>
    <x v="1"/>
    <x v="2"/>
    <x v="0"/>
    <x v="7"/>
    <x v="10"/>
    <x v="3"/>
    <x v="1"/>
    <x v="10"/>
    <x v="1"/>
    <x v="2"/>
    <x v="2"/>
  </r>
  <r>
    <x v="87"/>
    <x v="30"/>
    <x v="84"/>
    <x v="30"/>
    <x v="3"/>
    <x v="0"/>
    <x v="0"/>
    <x v="3"/>
    <x v="3"/>
    <x v="8"/>
    <x v="0"/>
    <x v="11"/>
    <x v="2"/>
    <x v="2"/>
    <x v="2"/>
  </r>
  <r>
    <x v="88"/>
    <x v="30"/>
    <x v="85"/>
    <x v="30"/>
    <x v="3"/>
    <x v="0"/>
    <x v="0"/>
    <x v="3"/>
    <x v="3"/>
    <x v="8"/>
    <x v="0"/>
    <x v="11"/>
    <x v="2"/>
    <x v="2"/>
    <x v="2"/>
  </r>
  <r>
    <x v="89"/>
    <x v="30"/>
    <x v="86"/>
    <x v="30"/>
    <x v="3"/>
    <x v="0"/>
    <x v="0"/>
    <x v="3"/>
    <x v="3"/>
    <x v="8"/>
    <x v="0"/>
    <x v="11"/>
    <x v="2"/>
    <x v="2"/>
    <x v="2"/>
  </r>
  <r>
    <x v="90"/>
    <x v="31"/>
    <x v="87"/>
    <x v="31"/>
    <x v="0"/>
    <x v="0"/>
    <x v="0"/>
    <x v="0"/>
    <x v="0"/>
    <x v="0"/>
    <x v="1"/>
    <x v="0"/>
    <x v="0"/>
    <x v="2"/>
    <x v="2"/>
  </r>
  <r>
    <x v="91"/>
    <x v="31"/>
    <x v="88"/>
    <x v="31"/>
    <x v="0"/>
    <x v="0"/>
    <x v="0"/>
    <x v="0"/>
    <x v="0"/>
    <x v="0"/>
    <x v="1"/>
    <x v="0"/>
    <x v="0"/>
    <x v="2"/>
    <x v="2"/>
  </r>
  <r>
    <x v="92"/>
    <x v="31"/>
    <x v="89"/>
    <x v="31"/>
    <x v="0"/>
    <x v="0"/>
    <x v="0"/>
    <x v="0"/>
    <x v="0"/>
    <x v="0"/>
    <x v="1"/>
    <x v="0"/>
    <x v="0"/>
    <x v="2"/>
    <x v="2"/>
  </r>
  <r>
    <x v="93"/>
    <x v="31"/>
    <x v="90"/>
    <x v="31"/>
    <x v="0"/>
    <x v="0"/>
    <x v="0"/>
    <x v="0"/>
    <x v="0"/>
    <x v="0"/>
    <x v="1"/>
    <x v="0"/>
    <x v="0"/>
    <x v="2"/>
    <x v="2"/>
  </r>
  <r>
    <x v="94"/>
    <x v="31"/>
    <x v="91"/>
    <x v="31"/>
    <x v="0"/>
    <x v="0"/>
    <x v="0"/>
    <x v="0"/>
    <x v="0"/>
    <x v="0"/>
    <x v="1"/>
    <x v="0"/>
    <x v="0"/>
    <x v="3"/>
    <x v="3"/>
  </r>
  <r>
    <x v="95"/>
    <x v="31"/>
    <x v="92"/>
    <x v="31"/>
    <x v="0"/>
    <x v="0"/>
    <x v="0"/>
    <x v="0"/>
    <x v="0"/>
    <x v="0"/>
    <x v="1"/>
    <x v="0"/>
    <x v="0"/>
    <x v="3"/>
    <x v="3"/>
  </r>
  <r>
    <x v="96"/>
    <x v="31"/>
    <x v="93"/>
    <x v="31"/>
    <x v="0"/>
    <x v="0"/>
    <x v="0"/>
    <x v="0"/>
    <x v="0"/>
    <x v="0"/>
    <x v="1"/>
    <x v="0"/>
    <x v="0"/>
    <x v="3"/>
    <x v="3"/>
  </r>
  <r>
    <x v="97"/>
    <x v="31"/>
    <x v="94"/>
    <x v="31"/>
    <x v="0"/>
    <x v="0"/>
    <x v="0"/>
    <x v="0"/>
    <x v="0"/>
    <x v="0"/>
    <x v="1"/>
    <x v="0"/>
    <x v="0"/>
    <x v="3"/>
    <x v="3"/>
  </r>
  <r>
    <x v="98"/>
    <x v="31"/>
    <x v="95"/>
    <x v="31"/>
    <x v="0"/>
    <x v="0"/>
    <x v="0"/>
    <x v="0"/>
    <x v="0"/>
    <x v="0"/>
    <x v="1"/>
    <x v="0"/>
    <x v="0"/>
    <x v="3"/>
    <x v="3"/>
  </r>
  <r>
    <x v="99"/>
    <x v="31"/>
    <x v="96"/>
    <x v="31"/>
    <x v="0"/>
    <x v="0"/>
    <x v="0"/>
    <x v="0"/>
    <x v="0"/>
    <x v="0"/>
    <x v="1"/>
    <x v="0"/>
    <x v="0"/>
    <x v="3"/>
    <x v="3"/>
  </r>
  <r>
    <x v="100"/>
    <x v="32"/>
    <x v="97"/>
    <x v="32"/>
    <x v="2"/>
    <x v="1"/>
    <x v="2"/>
    <x v="1"/>
    <x v="11"/>
    <x v="9"/>
    <x v="2"/>
    <x v="12"/>
    <x v="1"/>
    <x v="3"/>
    <x v="3"/>
  </r>
  <r>
    <x v="101"/>
    <x v="33"/>
    <x v="98"/>
    <x v="33"/>
    <x v="1"/>
    <x v="3"/>
    <x v="1"/>
    <x v="7"/>
    <x v="12"/>
    <x v="6"/>
    <x v="1"/>
    <x v="13"/>
    <x v="2"/>
    <x v="3"/>
    <x v="3"/>
  </r>
  <r>
    <x v="102"/>
    <x v="33"/>
    <x v="99"/>
    <x v="33"/>
    <x v="1"/>
    <x v="3"/>
    <x v="1"/>
    <x v="7"/>
    <x v="12"/>
    <x v="6"/>
    <x v="1"/>
    <x v="13"/>
    <x v="2"/>
    <x v="3"/>
    <x v="3"/>
  </r>
  <r>
    <x v="103"/>
    <x v="33"/>
    <x v="100"/>
    <x v="33"/>
    <x v="1"/>
    <x v="3"/>
    <x v="1"/>
    <x v="7"/>
    <x v="12"/>
    <x v="6"/>
    <x v="1"/>
    <x v="13"/>
    <x v="2"/>
    <x v="3"/>
    <x v="3"/>
  </r>
  <r>
    <x v="104"/>
    <x v="34"/>
    <x v="101"/>
    <x v="34"/>
    <x v="0"/>
    <x v="0"/>
    <x v="0"/>
    <x v="0"/>
    <x v="0"/>
    <x v="0"/>
    <x v="0"/>
    <x v="0"/>
    <x v="1"/>
    <x v="3"/>
    <x v="3"/>
  </r>
  <r>
    <x v="105"/>
    <x v="35"/>
    <x v="102"/>
    <x v="35"/>
    <x v="1"/>
    <x v="1"/>
    <x v="0"/>
    <x v="1"/>
    <x v="1"/>
    <x v="1"/>
    <x v="1"/>
    <x v="1"/>
    <x v="2"/>
    <x v="3"/>
    <x v="3"/>
  </r>
  <r>
    <x v="106"/>
    <x v="35"/>
    <x v="103"/>
    <x v="35"/>
    <x v="1"/>
    <x v="1"/>
    <x v="0"/>
    <x v="1"/>
    <x v="1"/>
    <x v="1"/>
    <x v="1"/>
    <x v="1"/>
    <x v="2"/>
    <x v="3"/>
    <x v="3"/>
  </r>
  <r>
    <x v="107"/>
    <x v="35"/>
    <x v="104"/>
    <x v="35"/>
    <x v="1"/>
    <x v="1"/>
    <x v="0"/>
    <x v="1"/>
    <x v="1"/>
    <x v="1"/>
    <x v="1"/>
    <x v="1"/>
    <x v="2"/>
    <x v="3"/>
    <x v="3"/>
  </r>
  <r>
    <x v="108"/>
    <x v="36"/>
    <x v="105"/>
    <x v="36"/>
    <x v="0"/>
    <x v="2"/>
    <x v="1"/>
    <x v="2"/>
    <x v="2"/>
    <x v="2"/>
    <x v="0"/>
    <x v="2"/>
    <x v="1"/>
    <x v="3"/>
    <x v="3"/>
  </r>
  <r>
    <x v="109"/>
    <x v="36"/>
    <x v="106"/>
    <x v="36"/>
    <x v="0"/>
    <x v="2"/>
    <x v="1"/>
    <x v="2"/>
    <x v="2"/>
    <x v="2"/>
    <x v="0"/>
    <x v="2"/>
    <x v="1"/>
    <x v="3"/>
    <x v="3"/>
  </r>
  <r>
    <x v="110"/>
    <x v="37"/>
    <x v="107"/>
    <x v="37"/>
    <x v="1"/>
    <x v="2"/>
    <x v="0"/>
    <x v="3"/>
    <x v="3"/>
    <x v="3"/>
    <x v="1"/>
    <x v="3"/>
    <x v="2"/>
    <x v="3"/>
    <x v="3"/>
  </r>
  <r>
    <x v="111"/>
    <x v="37"/>
    <x v="108"/>
    <x v="37"/>
    <x v="1"/>
    <x v="2"/>
    <x v="0"/>
    <x v="3"/>
    <x v="3"/>
    <x v="3"/>
    <x v="1"/>
    <x v="3"/>
    <x v="2"/>
    <x v="3"/>
    <x v="3"/>
  </r>
  <r>
    <x v="112"/>
    <x v="37"/>
    <x v="108"/>
    <x v="37"/>
    <x v="1"/>
    <x v="2"/>
    <x v="0"/>
    <x v="3"/>
    <x v="3"/>
    <x v="3"/>
    <x v="1"/>
    <x v="3"/>
    <x v="2"/>
    <x v="3"/>
    <x v="3"/>
  </r>
  <r>
    <x v="113"/>
    <x v="37"/>
    <x v="109"/>
    <x v="37"/>
    <x v="1"/>
    <x v="2"/>
    <x v="0"/>
    <x v="3"/>
    <x v="3"/>
    <x v="3"/>
    <x v="1"/>
    <x v="3"/>
    <x v="2"/>
    <x v="3"/>
    <x v="3"/>
  </r>
  <r>
    <x v="114"/>
    <x v="38"/>
    <x v="110"/>
    <x v="38"/>
    <x v="0"/>
    <x v="0"/>
    <x v="0"/>
    <x v="4"/>
    <x v="4"/>
    <x v="4"/>
    <x v="1"/>
    <x v="4"/>
    <x v="1"/>
    <x v="3"/>
    <x v="3"/>
  </r>
  <r>
    <x v="115"/>
    <x v="38"/>
    <x v="111"/>
    <x v="38"/>
    <x v="0"/>
    <x v="0"/>
    <x v="0"/>
    <x v="4"/>
    <x v="4"/>
    <x v="4"/>
    <x v="1"/>
    <x v="4"/>
    <x v="1"/>
    <x v="3"/>
    <x v="3"/>
  </r>
  <r>
    <x v="116"/>
    <x v="39"/>
    <x v="112"/>
    <x v="39"/>
    <x v="2"/>
    <x v="1"/>
    <x v="2"/>
    <x v="5"/>
    <x v="5"/>
    <x v="5"/>
    <x v="2"/>
    <x v="5"/>
    <x v="2"/>
    <x v="3"/>
    <x v="3"/>
  </r>
  <r>
    <x v="117"/>
    <x v="39"/>
    <x v="113"/>
    <x v="39"/>
    <x v="2"/>
    <x v="1"/>
    <x v="2"/>
    <x v="5"/>
    <x v="5"/>
    <x v="5"/>
    <x v="2"/>
    <x v="5"/>
    <x v="2"/>
    <x v="3"/>
    <x v="3"/>
  </r>
  <r>
    <x v="118"/>
    <x v="39"/>
    <x v="114"/>
    <x v="39"/>
    <x v="2"/>
    <x v="1"/>
    <x v="2"/>
    <x v="5"/>
    <x v="5"/>
    <x v="5"/>
    <x v="2"/>
    <x v="5"/>
    <x v="2"/>
    <x v="3"/>
    <x v="3"/>
  </r>
  <r>
    <x v="119"/>
    <x v="39"/>
    <x v="115"/>
    <x v="39"/>
    <x v="2"/>
    <x v="1"/>
    <x v="2"/>
    <x v="5"/>
    <x v="5"/>
    <x v="5"/>
    <x v="2"/>
    <x v="5"/>
    <x v="2"/>
    <x v="3"/>
    <x v="3"/>
  </r>
  <r>
    <x v="120"/>
    <x v="40"/>
    <x v="116"/>
    <x v="40"/>
    <x v="1"/>
    <x v="3"/>
    <x v="1"/>
    <x v="3"/>
    <x v="6"/>
    <x v="6"/>
    <x v="1"/>
    <x v="0"/>
    <x v="0"/>
    <x v="3"/>
    <x v="3"/>
  </r>
  <r>
    <x v="121"/>
    <x v="41"/>
    <x v="117"/>
    <x v="41"/>
    <x v="1"/>
    <x v="2"/>
    <x v="0"/>
    <x v="1"/>
    <x v="1"/>
    <x v="3"/>
    <x v="1"/>
    <x v="6"/>
    <x v="1"/>
    <x v="3"/>
    <x v="3"/>
  </r>
  <r>
    <x v="122"/>
    <x v="41"/>
    <x v="118"/>
    <x v="41"/>
    <x v="1"/>
    <x v="2"/>
    <x v="0"/>
    <x v="1"/>
    <x v="1"/>
    <x v="3"/>
    <x v="1"/>
    <x v="6"/>
    <x v="1"/>
    <x v="3"/>
    <x v="3"/>
  </r>
  <r>
    <x v="123"/>
    <x v="42"/>
    <x v="119"/>
    <x v="42"/>
    <x v="0"/>
    <x v="0"/>
    <x v="0"/>
    <x v="4"/>
    <x v="4"/>
    <x v="4"/>
    <x v="0"/>
    <x v="4"/>
    <x v="2"/>
    <x v="3"/>
    <x v="3"/>
  </r>
  <r>
    <x v="124"/>
    <x v="42"/>
    <x v="120"/>
    <x v="42"/>
    <x v="0"/>
    <x v="0"/>
    <x v="0"/>
    <x v="4"/>
    <x v="4"/>
    <x v="4"/>
    <x v="0"/>
    <x v="4"/>
    <x v="2"/>
    <x v="3"/>
    <x v="3"/>
  </r>
  <r>
    <x v="125"/>
    <x v="42"/>
    <x v="121"/>
    <x v="42"/>
    <x v="0"/>
    <x v="0"/>
    <x v="0"/>
    <x v="4"/>
    <x v="4"/>
    <x v="4"/>
    <x v="0"/>
    <x v="4"/>
    <x v="2"/>
    <x v="3"/>
    <x v="3"/>
  </r>
  <r>
    <x v="126"/>
    <x v="42"/>
    <x v="122"/>
    <x v="42"/>
    <x v="0"/>
    <x v="0"/>
    <x v="0"/>
    <x v="4"/>
    <x v="4"/>
    <x v="4"/>
    <x v="0"/>
    <x v="4"/>
    <x v="2"/>
    <x v="4"/>
    <x v="4"/>
  </r>
  <r>
    <x v="127"/>
    <x v="42"/>
    <x v="123"/>
    <x v="42"/>
    <x v="0"/>
    <x v="0"/>
    <x v="0"/>
    <x v="4"/>
    <x v="4"/>
    <x v="4"/>
    <x v="0"/>
    <x v="4"/>
    <x v="2"/>
    <x v="4"/>
    <x v="4"/>
  </r>
  <r>
    <x v="128"/>
    <x v="43"/>
    <x v="124"/>
    <x v="43"/>
    <x v="1"/>
    <x v="1"/>
    <x v="0"/>
    <x v="6"/>
    <x v="7"/>
    <x v="1"/>
    <x v="1"/>
    <x v="7"/>
    <x v="0"/>
    <x v="4"/>
    <x v="4"/>
  </r>
  <r>
    <x v="129"/>
    <x v="44"/>
    <x v="125"/>
    <x v="44"/>
    <x v="2"/>
    <x v="1"/>
    <x v="2"/>
    <x v="3"/>
    <x v="8"/>
    <x v="7"/>
    <x v="2"/>
    <x v="8"/>
    <x v="1"/>
    <x v="4"/>
    <x v="4"/>
  </r>
  <r>
    <x v="130"/>
    <x v="44"/>
    <x v="126"/>
    <x v="44"/>
    <x v="2"/>
    <x v="1"/>
    <x v="2"/>
    <x v="3"/>
    <x v="8"/>
    <x v="7"/>
    <x v="2"/>
    <x v="8"/>
    <x v="1"/>
    <x v="4"/>
    <x v="4"/>
  </r>
  <r>
    <x v="131"/>
    <x v="45"/>
    <x v="127"/>
    <x v="45"/>
    <x v="0"/>
    <x v="2"/>
    <x v="1"/>
    <x v="5"/>
    <x v="9"/>
    <x v="7"/>
    <x v="0"/>
    <x v="9"/>
    <x v="2"/>
    <x v="4"/>
    <x v="4"/>
  </r>
  <r>
    <x v="132"/>
    <x v="45"/>
    <x v="128"/>
    <x v="45"/>
    <x v="0"/>
    <x v="2"/>
    <x v="1"/>
    <x v="5"/>
    <x v="9"/>
    <x v="7"/>
    <x v="0"/>
    <x v="9"/>
    <x v="2"/>
    <x v="4"/>
    <x v="4"/>
  </r>
  <r>
    <x v="133"/>
    <x v="45"/>
    <x v="129"/>
    <x v="45"/>
    <x v="0"/>
    <x v="2"/>
    <x v="1"/>
    <x v="5"/>
    <x v="9"/>
    <x v="7"/>
    <x v="0"/>
    <x v="9"/>
    <x v="2"/>
    <x v="4"/>
    <x v="4"/>
  </r>
  <r>
    <x v="134"/>
    <x v="45"/>
    <x v="130"/>
    <x v="45"/>
    <x v="0"/>
    <x v="2"/>
    <x v="1"/>
    <x v="5"/>
    <x v="9"/>
    <x v="7"/>
    <x v="0"/>
    <x v="9"/>
    <x v="2"/>
    <x v="4"/>
    <x v="4"/>
  </r>
  <r>
    <x v="135"/>
    <x v="45"/>
    <x v="131"/>
    <x v="45"/>
    <x v="0"/>
    <x v="2"/>
    <x v="1"/>
    <x v="5"/>
    <x v="9"/>
    <x v="7"/>
    <x v="0"/>
    <x v="9"/>
    <x v="2"/>
    <x v="4"/>
    <x v="4"/>
  </r>
  <r>
    <x v="136"/>
    <x v="45"/>
    <x v="132"/>
    <x v="45"/>
    <x v="0"/>
    <x v="2"/>
    <x v="1"/>
    <x v="5"/>
    <x v="9"/>
    <x v="7"/>
    <x v="0"/>
    <x v="9"/>
    <x v="2"/>
    <x v="4"/>
    <x v="4"/>
  </r>
  <r>
    <x v="137"/>
    <x v="45"/>
    <x v="133"/>
    <x v="45"/>
    <x v="0"/>
    <x v="2"/>
    <x v="1"/>
    <x v="5"/>
    <x v="9"/>
    <x v="7"/>
    <x v="0"/>
    <x v="9"/>
    <x v="2"/>
    <x v="4"/>
    <x v="4"/>
  </r>
  <r>
    <x v="138"/>
    <x v="46"/>
    <x v="134"/>
    <x v="46"/>
    <x v="1"/>
    <x v="2"/>
    <x v="0"/>
    <x v="7"/>
    <x v="10"/>
    <x v="3"/>
    <x v="1"/>
    <x v="10"/>
    <x v="0"/>
    <x v="4"/>
    <x v="4"/>
  </r>
  <r>
    <x v="139"/>
    <x v="47"/>
    <x v="135"/>
    <x v="47"/>
    <x v="3"/>
    <x v="0"/>
    <x v="0"/>
    <x v="3"/>
    <x v="3"/>
    <x v="8"/>
    <x v="0"/>
    <x v="11"/>
    <x v="1"/>
    <x v="4"/>
    <x v="4"/>
  </r>
  <r>
    <x v="140"/>
    <x v="47"/>
    <x v="136"/>
    <x v="47"/>
    <x v="3"/>
    <x v="0"/>
    <x v="0"/>
    <x v="3"/>
    <x v="3"/>
    <x v="8"/>
    <x v="0"/>
    <x v="11"/>
    <x v="1"/>
    <x v="4"/>
    <x v="4"/>
  </r>
  <r>
    <x v="141"/>
    <x v="47"/>
    <x v="137"/>
    <x v="47"/>
    <x v="3"/>
    <x v="0"/>
    <x v="0"/>
    <x v="3"/>
    <x v="3"/>
    <x v="8"/>
    <x v="0"/>
    <x v="11"/>
    <x v="1"/>
    <x v="4"/>
    <x v="4"/>
  </r>
  <r>
    <x v="142"/>
    <x v="48"/>
    <x v="138"/>
    <x v="48"/>
    <x v="0"/>
    <x v="0"/>
    <x v="0"/>
    <x v="0"/>
    <x v="0"/>
    <x v="0"/>
    <x v="1"/>
    <x v="0"/>
    <x v="2"/>
    <x v="4"/>
    <x v="4"/>
  </r>
  <r>
    <x v="143"/>
    <x v="48"/>
    <x v="139"/>
    <x v="48"/>
    <x v="0"/>
    <x v="0"/>
    <x v="0"/>
    <x v="0"/>
    <x v="0"/>
    <x v="0"/>
    <x v="1"/>
    <x v="0"/>
    <x v="2"/>
    <x v="4"/>
    <x v="4"/>
  </r>
  <r>
    <x v="144"/>
    <x v="48"/>
    <x v="139"/>
    <x v="48"/>
    <x v="0"/>
    <x v="0"/>
    <x v="0"/>
    <x v="0"/>
    <x v="0"/>
    <x v="0"/>
    <x v="1"/>
    <x v="0"/>
    <x v="2"/>
    <x v="4"/>
    <x v="4"/>
  </r>
  <r>
    <x v="145"/>
    <x v="48"/>
    <x v="140"/>
    <x v="48"/>
    <x v="0"/>
    <x v="0"/>
    <x v="0"/>
    <x v="0"/>
    <x v="0"/>
    <x v="0"/>
    <x v="1"/>
    <x v="0"/>
    <x v="2"/>
    <x v="4"/>
    <x v="4"/>
  </r>
  <r>
    <x v="146"/>
    <x v="48"/>
    <x v="141"/>
    <x v="48"/>
    <x v="0"/>
    <x v="0"/>
    <x v="0"/>
    <x v="0"/>
    <x v="0"/>
    <x v="0"/>
    <x v="1"/>
    <x v="0"/>
    <x v="2"/>
    <x v="4"/>
    <x v="4"/>
  </r>
  <r>
    <x v="147"/>
    <x v="48"/>
    <x v="142"/>
    <x v="48"/>
    <x v="0"/>
    <x v="0"/>
    <x v="0"/>
    <x v="0"/>
    <x v="0"/>
    <x v="0"/>
    <x v="1"/>
    <x v="0"/>
    <x v="2"/>
    <x v="4"/>
    <x v="4"/>
  </r>
  <r>
    <x v="148"/>
    <x v="48"/>
    <x v="143"/>
    <x v="48"/>
    <x v="0"/>
    <x v="0"/>
    <x v="0"/>
    <x v="0"/>
    <x v="0"/>
    <x v="0"/>
    <x v="1"/>
    <x v="0"/>
    <x v="2"/>
    <x v="4"/>
    <x v="4"/>
  </r>
  <r>
    <x v="149"/>
    <x v="48"/>
    <x v="144"/>
    <x v="48"/>
    <x v="0"/>
    <x v="0"/>
    <x v="0"/>
    <x v="0"/>
    <x v="0"/>
    <x v="0"/>
    <x v="1"/>
    <x v="0"/>
    <x v="2"/>
    <x v="4"/>
    <x v="4"/>
  </r>
  <r>
    <x v="150"/>
    <x v="48"/>
    <x v="145"/>
    <x v="48"/>
    <x v="0"/>
    <x v="0"/>
    <x v="0"/>
    <x v="0"/>
    <x v="0"/>
    <x v="0"/>
    <x v="1"/>
    <x v="0"/>
    <x v="2"/>
    <x v="4"/>
    <x v="4"/>
  </r>
  <r>
    <x v="151"/>
    <x v="48"/>
    <x v="146"/>
    <x v="48"/>
    <x v="0"/>
    <x v="0"/>
    <x v="0"/>
    <x v="0"/>
    <x v="0"/>
    <x v="0"/>
    <x v="1"/>
    <x v="0"/>
    <x v="2"/>
    <x v="4"/>
    <x v="4"/>
  </r>
  <r>
    <x v="152"/>
    <x v="49"/>
    <x v="147"/>
    <x v="49"/>
    <x v="2"/>
    <x v="1"/>
    <x v="2"/>
    <x v="1"/>
    <x v="11"/>
    <x v="9"/>
    <x v="2"/>
    <x v="12"/>
    <x v="0"/>
    <x v="4"/>
    <x v="4"/>
  </r>
  <r>
    <x v="153"/>
    <x v="50"/>
    <x v="148"/>
    <x v="50"/>
    <x v="1"/>
    <x v="3"/>
    <x v="1"/>
    <x v="7"/>
    <x v="12"/>
    <x v="6"/>
    <x v="1"/>
    <x v="13"/>
    <x v="1"/>
    <x v="4"/>
    <x v="4"/>
  </r>
  <r>
    <x v="154"/>
    <x v="50"/>
    <x v="149"/>
    <x v="50"/>
    <x v="1"/>
    <x v="3"/>
    <x v="1"/>
    <x v="7"/>
    <x v="12"/>
    <x v="6"/>
    <x v="1"/>
    <x v="13"/>
    <x v="1"/>
    <x v="4"/>
    <x v="4"/>
  </r>
  <r>
    <x v="155"/>
    <x v="50"/>
    <x v="150"/>
    <x v="50"/>
    <x v="1"/>
    <x v="3"/>
    <x v="1"/>
    <x v="7"/>
    <x v="12"/>
    <x v="6"/>
    <x v="1"/>
    <x v="13"/>
    <x v="1"/>
    <x v="4"/>
    <x v="4"/>
  </r>
  <r>
    <x v="156"/>
    <x v="51"/>
    <x v="151"/>
    <x v="51"/>
    <x v="0"/>
    <x v="0"/>
    <x v="0"/>
    <x v="0"/>
    <x v="0"/>
    <x v="0"/>
    <x v="0"/>
    <x v="0"/>
    <x v="0"/>
    <x v="4"/>
    <x v="4"/>
  </r>
  <r>
    <x v="157"/>
    <x v="52"/>
    <x v="152"/>
    <x v="52"/>
    <x v="1"/>
    <x v="1"/>
    <x v="0"/>
    <x v="1"/>
    <x v="1"/>
    <x v="1"/>
    <x v="1"/>
    <x v="1"/>
    <x v="1"/>
    <x v="4"/>
    <x v="4"/>
  </r>
  <r>
    <x v="158"/>
    <x v="52"/>
    <x v="153"/>
    <x v="52"/>
    <x v="1"/>
    <x v="1"/>
    <x v="0"/>
    <x v="1"/>
    <x v="1"/>
    <x v="1"/>
    <x v="1"/>
    <x v="1"/>
    <x v="1"/>
    <x v="5"/>
    <x v="5"/>
  </r>
  <r>
    <x v="159"/>
    <x v="52"/>
    <x v="154"/>
    <x v="52"/>
    <x v="1"/>
    <x v="1"/>
    <x v="0"/>
    <x v="1"/>
    <x v="1"/>
    <x v="1"/>
    <x v="1"/>
    <x v="1"/>
    <x v="1"/>
    <x v="5"/>
    <x v="5"/>
  </r>
  <r>
    <x v="160"/>
    <x v="53"/>
    <x v="155"/>
    <x v="53"/>
    <x v="0"/>
    <x v="2"/>
    <x v="1"/>
    <x v="2"/>
    <x v="2"/>
    <x v="2"/>
    <x v="0"/>
    <x v="2"/>
    <x v="0"/>
    <x v="5"/>
    <x v="5"/>
  </r>
  <r>
    <x v="161"/>
    <x v="53"/>
    <x v="156"/>
    <x v="53"/>
    <x v="0"/>
    <x v="2"/>
    <x v="1"/>
    <x v="2"/>
    <x v="2"/>
    <x v="2"/>
    <x v="0"/>
    <x v="2"/>
    <x v="0"/>
    <x v="5"/>
    <x v="5"/>
  </r>
  <r>
    <x v="162"/>
    <x v="54"/>
    <x v="157"/>
    <x v="54"/>
    <x v="1"/>
    <x v="2"/>
    <x v="0"/>
    <x v="3"/>
    <x v="3"/>
    <x v="3"/>
    <x v="1"/>
    <x v="3"/>
    <x v="1"/>
    <x v="5"/>
    <x v="5"/>
  </r>
  <r>
    <x v="163"/>
    <x v="54"/>
    <x v="158"/>
    <x v="54"/>
    <x v="1"/>
    <x v="2"/>
    <x v="0"/>
    <x v="3"/>
    <x v="3"/>
    <x v="3"/>
    <x v="1"/>
    <x v="3"/>
    <x v="1"/>
    <x v="5"/>
    <x v="5"/>
  </r>
  <r>
    <x v="164"/>
    <x v="54"/>
    <x v="159"/>
    <x v="54"/>
    <x v="1"/>
    <x v="2"/>
    <x v="0"/>
    <x v="3"/>
    <x v="3"/>
    <x v="3"/>
    <x v="1"/>
    <x v="3"/>
    <x v="1"/>
    <x v="5"/>
    <x v="5"/>
  </r>
  <r>
    <x v="165"/>
    <x v="54"/>
    <x v="160"/>
    <x v="54"/>
    <x v="1"/>
    <x v="2"/>
    <x v="0"/>
    <x v="3"/>
    <x v="3"/>
    <x v="3"/>
    <x v="1"/>
    <x v="3"/>
    <x v="1"/>
    <x v="5"/>
    <x v="5"/>
  </r>
  <r>
    <x v="166"/>
    <x v="55"/>
    <x v="161"/>
    <x v="55"/>
    <x v="0"/>
    <x v="0"/>
    <x v="0"/>
    <x v="4"/>
    <x v="4"/>
    <x v="4"/>
    <x v="1"/>
    <x v="4"/>
    <x v="0"/>
    <x v="5"/>
    <x v="5"/>
  </r>
  <r>
    <x v="167"/>
    <x v="55"/>
    <x v="162"/>
    <x v="55"/>
    <x v="0"/>
    <x v="0"/>
    <x v="0"/>
    <x v="4"/>
    <x v="4"/>
    <x v="4"/>
    <x v="1"/>
    <x v="4"/>
    <x v="0"/>
    <x v="5"/>
    <x v="5"/>
  </r>
  <r>
    <x v="168"/>
    <x v="56"/>
    <x v="163"/>
    <x v="56"/>
    <x v="2"/>
    <x v="1"/>
    <x v="2"/>
    <x v="5"/>
    <x v="5"/>
    <x v="5"/>
    <x v="2"/>
    <x v="5"/>
    <x v="1"/>
    <x v="5"/>
    <x v="5"/>
  </r>
  <r>
    <x v="169"/>
    <x v="56"/>
    <x v="164"/>
    <x v="56"/>
    <x v="2"/>
    <x v="1"/>
    <x v="2"/>
    <x v="5"/>
    <x v="5"/>
    <x v="5"/>
    <x v="2"/>
    <x v="5"/>
    <x v="1"/>
    <x v="5"/>
    <x v="5"/>
  </r>
  <r>
    <x v="170"/>
    <x v="56"/>
    <x v="165"/>
    <x v="56"/>
    <x v="2"/>
    <x v="1"/>
    <x v="2"/>
    <x v="5"/>
    <x v="5"/>
    <x v="5"/>
    <x v="2"/>
    <x v="5"/>
    <x v="1"/>
    <x v="5"/>
    <x v="5"/>
  </r>
  <r>
    <x v="171"/>
    <x v="56"/>
    <x v="166"/>
    <x v="56"/>
    <x v="2"/>
    <x v="1"/>
    <x v="2"/>
    <x v="5"/>
    <x v="5"/>
    <x v="5"/>
    <x v="2"/>
    <x v="5"/>
    <x v="1"/>
    <x v="5"/>
    <x v="5"/>
  </r>
  <r>
    <x v="172"/>
    <x v="57"/>
    <x v="167"/>
    <x v="57"/>
    <x v="1"/>
    <x v="3"/>
    <x v="1"/>
    <x v="3"/>
    <x v="6"/>
    <x v="6"/>
    <x v="1"/>
    <x v="0"/>
    <x v="2"/>
    <x v="5"/>
    <x v="5"/>
  </r>
  <r>
    <x v="173"/>
    <x v="58"/>
    <x v="168"/>
    <x v="58"/>
    <x v="1"/>
    <x v="2"/>
    <x v="0"/>
    <x v="1"/>
    <x v="1"/>
    <x v="3"/>
    <x v="1"/>
    <x v="6"/>
    <x v="0"/>
    <x v="5"/>
    <x v="5"/>
  </r>
  <r>
    <x v="174"/>
    <x v="58"/>
    <x v="169"/>
    <x v="58"/>
    <x v="1"/>
    <x v="2"/>
    <x v="0"/>
    <x v="1"/>
    <x v="1"/>
    <x v="3"/>
    <x v="1"/>
    <x v="6"/>
    <x v="0"/>
    <x v="5"/>
    <x v="5"/>
  </r>
  <r>
    <x v="175"/>
    <x v="59"/>
    <x v="170"/>
    <x v="59"/>
    <x v="0"/>
    <x v="0"/>
    <x v="0"/>
    <x v="4"/>
    <x v="4"/>
    <x v="4"/>
    <x v="0"/>
    <x v="4"/>
    <x v="1"/>
    <x v="5"/>
    <x v="5"/>
  </r>
  <r>
    <x v="176"/>
    <x v="59"/>
    <x v="170"/>
    <x v="59"/>
    <x v="0"/>
    <x v="0"/>
    <x v="0"/>
    <x v="4"/>
    <x v="4"/>
    <x v="4"/>
    <x v="0"/>
    <x v="4"/>
    <x v="1"/>
    <x v="5"/>
    <x v="5"/>
  </r>
  <r>
    <x v="177"/>
    <x v="59"/>
    <x v="171"/>
    <x v="59"/>
    <x v="0"/>
    <x v="0"/>
    <x v="0"/>
    <x v="4"/>
    <x v="4"/>
    <x v="4"/>
    <x v="0"/>
    <x v="4"/>
    <x v="1"/>
    <x v="5"/>
    <x v="5"/>
  </r>
  <r>
    <x v="178"/>
    <x v="59"/>
    <x v="172"/>
    <x v="59"/>
    <x v="0"/>
    <x v="0"/>
    <x v="0"/>
    <x v="4"/>
    <x v="4"/>
    <x v="4"/>
    <x v="0"/>
    <x v="4"/>
    <x v="1"/>
    <x v="5"/>
    <x v="5"/>
  </r>
  <r>
    <x v="179"/>
    <x v="59"/>
    <x v="173"/>
    <x v="59"/>
    <x v="0"/>
    <x v="0"/>
    <x v="0"/>
    <x v="4"/>
    <x v="4"/>
    <x v="4"/>
    <x v="0"/>
    <x v="4"/>
    <x v="1"/>
    <x v="5"/>
    <x v="5"/>
  </r>
  <r>
    <x v="180"/>
    <x v="60"/>
    <x v="174"/>
    <x v="60"/>
    <x v="1"/>
    <x v="1"/>
    <x v="0"/>
    <x v="6"/>
    <x v="7"/>
    <x v="1"/>
    <x v="1"/>
    <x v="7"/>
    <x v="2"/>
    <x v="5"/>
    <x v="5"/>
  </r>
  <r>
    <x v="181"/>
    <x v="61"/>
    <x v="175"/>
    <x v="61"/>
    <x v="2"/>
    <x v="1"/>
    <x v="2"/>
    <x v="3"/>
    <x v="8"/>
    <x v="7"/>
    <x v="2"/>
    <x v="8"/>
    <x v="0"/>
    <x v="5"/>
    <x v="5"/>
  </r>
  <r>
    <x v="182"/>
    <x v="61"/>
    <x v="176"/>
    <x v="61"/>
    <x v="2"/>
    <x v="1"/>
    <x v="2"/>
    <x v="3"/>
    <x v="8"/>
    <x v="7"/>
    <x v="2"/>
    <x v="8"/>
    <x v="0"/>
    <x v="5"/>
    <x v="5"/>
  </r>
  <r>
    <x v="183"/>
    <x v="62"/>
    <x v="177"/>
    <x v="62"/>
    <x v="0"/>
    <x v="2"/>
    <x v="1"/>
    <x v="5"/>
    <x v="9"/>
    <x v="7"/>
    <x v="0"/>
    <x v="9"/>
    <x v="1"/>
    <x v="5"/>
    <x v="5"/>
  </r>
  <r>
    <x v="184"/>
    <x v="62"/>
    <x v="178"/>
    <x v="62"/>
    <x v="0"/>
    <x v="2"/>
    <x v="1"/>
    <x v="5"/>
    <x v="9"/>
    <x v="7"/>
    <x v="0"/>
    <x v="9"/>
    <x v="1"/>
    <x v="5"/>
    <x v="5"/>
  </r>
  <r>
    <x v="185"/>
    <x v="62"/>
    <x v="179"/>
    <x v="62"/>
    <x v="0"/>
    <x v="2"/>
    <x v="1"/>
    <x v="5"/>
    <x v="9"/>
    <x v="7"/>
    <x v="0"/>
    <x v="9"/>
    <x v="1"/>
    <x v="5"/>
    <x v="5"/>
  </r>
  <r>
    <x v="186"/>
    <x v="62"/>
    <x v="180"/>
    <x v="62"/>
    <x v="0"/>
    <x v="2"/>
    <x v="1"/>
    <x v="5"/>
    <x v="9"/>
    <x v="7"/>
    <x v="0"/>
    <x v="9"/>
    <x v="1"/>
    <x v="5"/>
    <x v="5"/>
  </r>
  <r>
    <x v="187"/>
    <x v="62"/>
    <x v="181"/>
    <x v="62"/>
    <x v="0"/>
    <x v="2"/>
    <x v="1"/>
    <x v="5"/>
    <x v="9"/>
    <x v="7"/>
    <x v="0"/>
    <x v="9"/>
    <x v="1"/>
    <x v="6"/>
    <x v="6"/>
  </r>
  <r>
    <x v="188"/>
    <x v="62"/>
    <x v="182"/>
    <x v="62"/>
    <x v="0"/>
    <x v="2"/>
    <x v="1"/>
    <x v="5"/>
    <x v="9"/>
    <x v="7"/>
    <x v="0"/>
    <x v="9"/>
    <x v="1"/>
    <x v="6"/>
    <x v="6"/>
  </r>
  <r>
    <x v="189"/>
    <x v="62"/>
    <x v="183"/>
    <x v="62"/>
    <x v="0"/>
    <x v="2"/>
    <x v="1"/>
    <x v="5"/>
    <x v="9"/>
    <x v="7"/>
    <x v="0"/>
    <x v="9"/>
    <x v="1"/>
    <x v="6"/>
    <x v="6"/>
  </r>
  <r>
    <x v="190"/>
    <x v="63"/>
    <x v="184"/>
    <x v="63"/>
    <x v="1"/>
    <x v="2"/>
    <x v="0"/>
    <x v="7"/>
    <x v="10"/>
    <x v="3"/>
    <x v="1"/>
    <x v="10"/>
    <x v="2"/>
    <x v="6"/>
    <x v="6"/>
  </r>
  <r>
    <x v="191"/>
    <x v="64"/>
    <x v="185"/>
    <x v="64"/>
    <x v="3"/>
    <x v="0"/>
    <x v="0"/>
    <x v="3"/>
    <x v="3"/>
    <x v="8"/>
    <x v="0"/>
    <x v="11"/>
    <x v="0"/>
    <x v="6"/>
    <x v="6"/>
  </r>
  <r>
    <x v="192"/>
    <x v="64"/>
    <x v="186"/>
    <x v="64"/>
    <x v="3"/>
    <x v="0"/>
    <x v="0"/>
    <x v="3"/>
    <x v="3"/>
    <x v="8"/>
    <x v="0"/>
    <x v="11"/>
    <x v="0"/>
    <x v="6"/>
    <x v="6"/>
  </r>
  <r>
    <x v="193"/>
    <x v="64"/>
    <x v="187"/>
    <x v="64"/>
    <x v="3"/>
    <x v="0"/>
    <x v="0"/>
    <x v="3"/>
    <x v="3"/>
    <x v="8"/>
    <x v="0"/>
    <x v="11"/>
    <x v="0"/>
    <x v="6"/>
    <x v="6"/>
  </r>
  <r>
    <x v="194"/>
    <x v="65"/>
    <x v="188"/>
    <x v="65"/>
    <x v="0"/>
    <x v="0"/>
    <x v="0"/>
    <x v="0"/>
    <x v="0"/>
    <x v="0"/>
    <x v="1"/>
    <x v="0"/>
    <x v="1"/>
    <x v="6"/>
    <x v="6"/>
  </r>
  <r>
    <x v="195"/>
    <x v="65"/>
    <x v="189"/>
    <x v="65"/>
    <x v="0"/>
    <x v="0"/>
    <x v="0"/>
    <x v="0"/>
    <x v="0"/>
    <x v="0"/>
    <x v="1"/>
    <x v="0"/>
    <x v="1"/>
    <x v="6"/>
    <x v="6"/>
  </r>
  <r>
    <x v="196"/>
    <x v="65"/>
    <x v="190"/>
    <x v="65"/>
    <x v="0"/>
    <x v="0"/>
    <x v="0"/>
    <x v="0"/>
    <x v="0"/>
    <x v="0"/>
    <x v="1"/>
    <x v="0"/>
    <x v="1"/>
    <x v="6"/>
    <x v="6"/>
  </r>
  <r>
    <x v="197"/>
    <x v="65"/>
    <x v="191"/>
    <x v="65"/>
    <x v="0"/>
    <x v="0"/>
    <x v="0"/>
    <x v="0"/>
    <x v="0"/>
    <x v="0"/>
    <x v="1"/>
    <x v="0"/>
    <x v="1"/>
    <x v="6"/>
    <x v="6"/>
  </r>
  <r>
    <x v="198"/>
    <x v="65"/>
    <x v="192"/>
    <x v="65"/>
    <x v="0"/>
    <x v="0"/>
    <x v="0"/>
    <x v="0"/>
    <x v="0"/>
    <x v="0"/>
    <x v="1"/>
    <x v="0"/>
    <x v="1"/>
    <x v="6"/>
    <x v="6"/>
  </r>
  <r>
    <x v="199"/>
    <x v="65"/>
    <x v="193"/>
    <x v="65"/>
    <x v="0"/>
    <x v="0"/>
    <x v="0"/>
    <x v="0"/>
    <x v="0"/>
    <x v="0"/>
    <x v="1"/>
    <x v="0"/>
    <x v="1"/>
    <x v="6"/>
    <x v="6"/>
  </r>
  <r>
    <x v="200"/>
    <x v="65"/>
    <x v="194"/>
    <x v="65"/>
    <x v="0"/>
    <x v="0"/>
    <x v="0"/>
    <x v="0"/>
    <x v="0"/>
    <x v="0"/>
    <x v="1"/>
    <x v="0"/>
    <x v="1"/>
    <x v="6"/>
    <x v="6"/>
  </r>
  <r>
    <x v="201"/>
    <x v="65"/>
    <x v="195"/>
    <x v="65"/>
    <x v="0"/>
    <x v="0"/>
    <x v="0"/>
    <x v="0"/>
    <x v="0"/>
    <x v="0"/>
    <x v="1"/>
    <x v="0"/>
    <x v="1"/>
    <x v="6"/>
    <x v="6"/>
  </r>
  <r>
    <x v="202"/>
    <x v="65"/>
    <x v="196"/>
    <x v="65"/>
    <x v="0"/>
    <x v="0"/>
    <x v="0"/>
    <x v="0"/>
    <x v="0"/>
    <x v="0"/>
    <x v="1"/>
    <x v="0"/>
    <x v="1"/>
    <x v="6"/>
    <x v="6"/>
  </r>
  <r>
    <x v="203"/>
    <x v="65"/>
    <x v="197"/>
    <x v="65"/>
    <x v="0"/>
    <x v="0"/>
    <x v="0"/>
    <x v="0"/>
    <x v="0"/>
    <x v="0"/>
    <x v="1"/>
    <x v="0"/>
    <x v="1"/>
    <x v="6"/>
    <x v="6"/>
  </r>
  <r>
    <x v="204"/>
    <x v="66"/>
    <x v="198"/>
    <x v="66"/>
    <x v="2"/>
    <x v="1"/>
    <x v="2"/>
    <x v="1"/>
    <x v="11"/>
    <x v="9"/>
    <x v="2"/>
    <x v="12"/>
    <x v="2"/>
    <x v="6"/>
    <x v="6"/>
  </r>
  <r>
    <x v="205"/>
    <x v="67"/>
    <x v="199"/>
    <x v="67"/>
    <x v="1"/>
    <x v="3"/>
    <x v="1"/>
    <x v="7"/>
    <x v="12"/>
    <x v="6"/>
    <x v="1"/>
    <x v="13"/>
    <x v="0"/>
    <x v="6"/>
    <x v="6"/>
  </r>
  <r>
    <x v="206"/>
    <x v="67"/>
    <x v="200"/>
    <x v="67"/>
    <x v="1"/>
    <x v="3"/>
    <x v="1"/>
    <x v="7"/>
    <x v="12"/>
    <x v="6"/>
    <x v="1"/>
    <x v="13"/>
    <x v="0"/>
    <x v="6"/>
    <x v="6"/>
  </r>
  <r>
    <x v="207"/>
    <x v="67"/>
    <x v="201"/>
    <x v="67"/>
    <x v="1"/>
    <x v="3"/>
    <x v="1"/>
    <x v="7"/>
    <x v="12"/>
    <x v="6"/>
    <x v="1"/>
    <x v="13"/>
    <x v="0"/>
    <x v="6"/>
    <x v="6"/>
  </r>
  <r>
    <x v="208"/>
    <x v="68"/>
    <x v="201"/>
    <x v="68"/>
    <x v="0"/>
    <x v="0"/>
    <x v="0"/>
    <x v="0"/>
    <x v="0"/>
    <x v="0"/>
    <x v="0"/>
    <x v="0"/>
    <x v="2"/>
    <x v="6"/>
    <x v="6"/>
  </r>
  <r>
    <x v="209"/>
    <x v="69"/>
    <x v="202"/>
    <x v="69"/>
    <x v="1"/>
    <x v="1"/>
    <x v="0"/>
    <x v="1"/>
    <x v="1"/>
    <x v="1"/>
    <x v="1"/>
    <x v="1"/>
    <x v="0"/>
    <x v="6"/>
    <x v="6"/>
  </r>
  <r>
    <x v="210"/>
    <x v="69"/>
    <x v="203"/>
    <x v="69"/>
    <x v="1"/>
    <x v="1"/>
    <x v="0"/>
    <x v="1"/>
    <x v="1"/>
    <x v="1"/>
    <x v="1"/>
    <x v="1"/>
    <x v="0"/>
    <x v="6"/>
    <x v="6"/>
  </r>
  <r>
    <x v="211"/>
    <x v="69"/>
    <x v="204"/>
    <x v="69"/>
    <x v="1"/>
    <x v="1"/>
    <x v="0"/>
    <x v="1"/>
    <x v="1"/>
    <x v="1"/>
    <x v="1"/>
    <x v="1"/>
    <x v="0"/>
    <x v="6"/>
    <x v="6"/>
  </r>
  <r>
    <x v="212"/>
    <x v="70"/>
    <x v="205"/>
    <x v="70"/>
    <x v="0"/>
    <x v="2"/>
    <x v="1"/>
    <x v="2"/>
    <x v="2"/>
    <x v="2"/>
    <x v="0"/>
    <x v="2"/>
    <x v="2"/>
    <x v="6"/>
    <x v="6"/>
  </r>
  <r>
    <x v="213"/>
    <x v="70"/>
    <x v="206"/>
    <x v="70"/>
    <x v="0"/>
    <x v="2"/>
    <x v="1"/>
    <x v="2"/>
    <x v="2"/>
    <x v="2"/>
    <x v="0"/>
    <x v="2"/>
    <x v="2"/>
    <x v="6"/>
    <x v="6"/>
  </r>
  <r>
    <x v="214"/>
    <x v="71"/>
    <x v="207"/>
    <x v="71"/>
    <x v="1"/>
    <x v="2"/>
    <x v="0"/>
    <x v="3"/>
    <x v="3"/>
    <x v="3"/>
    <x v="1"/>
    <x v="3"/>
    <x v="0"/>
    <x v="6"/>
    <x v="6"/>
  </r>
  <r>
    <x v="215"/>
    <x v="71"/>
    <x v="208"/>
    <x v="71"/>
    <x v="1"/>
    <x v="2"/>
    <x v="0"/>
    <x v="3"/>
    <x v="3"/>
    <x v="3"/>
    <x v="1"/>
    <x v="3"/>
    <x v="0"/>
    <x v="6"/>
    <x v="6"/>
  </r>
  <r>
    <x v="216"/>
    <x v="71"/>
    <x v="209"/>
    <x v="71"/>
    <x v="1"/>
    <x v="2"/>
    <x v="0"/>
    <x v="3"/>
    <x v="3"/>
    <x v="3"/>
    <x v="1"/>
    <x v="3"/>
    <x v="0"/>
    <x v="6"/>
    <x v="6"/>
  </r>
  <r>
    <x v="217"/>
    <x v="71"/>
    <x v="210"/>
    <x v="71"/>
    <x v="1"/>
    <x v="2"/>
    <x v="0"/>
    <x v="3"/>
    <x v="3"/>
    <x v="3"/>
    <x v="1"/>
    <x v="3"/>
    <x v="0"/>
    <x v="6"/>
    <x v="6"/>
  </r>
  <r>
    <x v="218"/>
    <x v="72"/>
    <x v="211"/>
    <x v="72"/>
    <x v="0"/>
    <x v="0"/>
    <x v="0"/>
    <x v="4"/>
    <x v="4"/>
    <x v="4"/>
    <x v="1"/>
    <x v="4"/>
    <x v="2"/>
    <x v="6"/>
    <x v="6"/>
  </r>
  <r>
    <x v="219"/>
    <x v="72"/>
    <x v="212"/>
    <x v="72"/>
    <x v="0"/>
    <x v="0"/>
    <x v="0"/>
    <x v="4"/>
    <x v="4"/>
    <x v="4"/>
    <x v="1"/>
    <x v="4"/>
    <x v="2"/>
    <x v="7"/>
    <x v="7"/>
  </r>
  <r>
    <x v="220"/>
    <x v="73"/>
    <x v="213"/>
    <x v="73"/>
    <x v="2"/>
    <x v="1"/>
    <x v="2"/>
    <x v="5"/>
    <x v="5"/>
    <x v="5"/>
    <x v="2"/>
    <x v="5"/>
    <x v="0"/>
    <x v="7"/>
    <x v="7"/>
  </r>
  <r>
    <x v="221"/>
    <x v="73"/>
    <x v="214"/>
    <x v="73"/>
    <x v="2"/>
    <x v="1"/>
    <x v="2"/>
    <x v="5"/>
    <x v="5"/>
    <x v="5"/>
    <x v="2"/>
    <x v="5"/>
    <x v="0"/>
    <x v="7"/>
    <x v="7"/>
  </r>
  <r>
    <x v="222"/>
    <x v="73"/>
    <x v="215"/>
    <x v="73"/>
    <x v="2"/>
    <x v="1"/>
    <x v="2"/>
    <x v="5"/>
    <x v="5"/>
    <x v="5"/>
    <x v="2"/>
    <x v="5"/>
    <x v="0"/>
    <x v="7"/>
    <x v="7"/>
  </r>
  <r>
    <x v="223"/>
    <x v="73"/>
    <x v="216"/>
    <x v="73"/>
    <x v="2"/>
    <x v="1"/>
    <x v="2"/>
    <x v="5"/>
    <x v="5"/>
    <x v="5"/>
    <x v="2"/>
    <x v="5"/>
    <x v="0"/>
    <x v="7"/>
    <x v="7"/>
  </r>
  <r>
    <x v="224"/>
    <x v="74"/>
    <x v="217"/>
    <x v="74"/>
    <x v="1"/>
    <x v="3"/>
    <x v="1"/>
    <x v="3"/>
    <x v="6"/>
    <x v="6"/>
    <x v="1"/>
    <x v="0"/>
    <x v="1"/>
    <x v="7"/>
    <x v="7"/>
  </r>
  <r>
    <x v="225"/>
    <x v="75"/>
    <x v="218"/>
    <x v="75"/>
    <x v="1"/>
    <x v="2"/>
    <x v="0"/>
    <x v="1"/>
    <x v="1"/>
    <x v="3"/>
    <x v="1"/>
    <x v="6"/>
    <x v="2"/>
    <x v="7"/>
    <x v="7"/>
  </r>
  <r>
    <x v="226"/>
    <x v="75"/>
    <x v="219"/>
    <x v="75"/>
    <x v="1"/>
    <x v="2"/>
    <x v="0"/>
    <x v="1"/>
    <x v="1"/>
    <x v="3"/>
    <x v="1"/>
    <x v="6"/>
    <x v="2"/>
    <x v="7"/>
    <x v="7"/>
  </r>
  <r>
    <x v="227"/>
    <x v="76"/>
    <x v="220"/>
    <x v="76"/>
    <x v="0"/>
    <x v="0"/>
    <x v="0"/>
    <x v="4"/>
    <x v="4"/>
    <x v="4"/>
    <x v="0"/>
    <x v="4"/>
    <x v="0"/>
    <x v="7"/>
    <x v="7"/>
  </r>
  <r>
    <x v="228"/>
    <x v="76"/>
    <x v="221"/>
    <x v="76"/>
    <x v="0"/>
    <x v="0"/>
    <x v="0"/>
    <x v="4"/>
    <x v="4"/>
    <x v="4"/>
    <x v="0"/>
    <x v="4"/>
    <x v="0"/>
    <x v="7"/>
    <x v="7"/>
  </r>
  <r>
    <x v="229"/>
    <x v="76"/>
    <x v="222"/>
    <x v="76"/>
    <x v="0"/>
    <x v="0"/>
    <x v="0"/>
    <x v="4"/>
    <x v="4"/>
    <x v="4"/>
    <x v="0"/>
    <x v="4"/>
    <x v="0"/>
    <x v="7"/>
    <x v="7"/>
  </r>
  <r>
    <x v="230"/>
    <x v="76"/>
    <x v="223"/>
    <x v="76"/>
    <x v="0"/>
    <x v="0"/>
    <x v="0"/>
    <x v="4"/>
    <x v="4"/>
    <x v="4"/>
    <x v="0"/>
    <x v="4"/>
    <x v="0"/>
    <x v="7"/>
    <x v="7"/>
  </r>
  <r>
    <x v="231"/>
    <x v="76"/>
    <x v="224"/>
    <x v="76"/>
    <x v="0"/>
    <x v="0"/>
    <x v="0"/>
    <x v="4"/>
    <x v="4"/>
    <x v="4"/>
    <x v="0"/>
    <x v="4"/>
    <x v="0"/>
    <x v="7"/>
    <x v="7"/>
  </r>
  <r>
    <x v="232"/>
    <x v="77"/>
    <x v="225"/>
    <x v="77"/>
    <x v="1"/>
    <x v="1"/>
    <x v="0"/>
    <x v="6"/>
    <x v="7"/>
    <x v="1"/>
    <x v="1"/>
    <x v="7"/>
    <x v="1"/>
    <x v="7"/>
    <x v="7"/>
  </r>
  <r>
    <x v="233"/>
    <x v="78"/>
    <x v="226"/>
    <x v="78"/>
    <x v="2"/>
    <x v="1"/>
    <x v="2"/>
    <x v="3"/>
    <x v="8"/>
    <x v="7"/>
    <x v="2"/>
    <x v="8"/>
    <x v="2"/>
    <x v="7"/>
    <x v="7"/>
  </r>
  <r>
    <x v="234"/>
    <x v="78"/>
    <x v="227"/>
    <x v="78"/>
    <x v="2"/>
    <x v="1"/>
    <x v="2"/>
    <x v="3"/>
    <x v="8"/>
    <x v="7"/>
    <x v="2"/>
    <x v="8"/>
    <x v="2"/>
    <x v="7"/>
    <x v="7"/>
  </r>
  <r>
    <x v="235"/>
    <x v="79"/>
    <x v="228"/>
    <x v="79"/>
    <x v="0"/>
    <x v="2"/>
    <x v="1"/>
    <x v="5"/>
    <x v="9"/>
    <x v="7"/>
    <x v="0"/>
    <x v="9"/>
    <x v="0"/>
    <x v="7"/>
    <x v="7"/>
  </r>
  <r>
    <x v="236"/>
    <x v="79"/>
    <x v="229"/>
    <x v="79"/>
    <x v="0"/>
    <x v="2"/>
    <x v="1"/>
    <x v="5"/>
    <x v="9"/>
    <x v="7"/>
    <x v="0"/>
    <x v="9"/>
    <x v="0"/>
    <x v="7"/>
    <x v="7"/>
  </r>
  <r>
    <x v="237"/>
    <x v="79"/>
    <x v="230"/>
    <x v="79"/>
    <x v="0"/>
    <x v="2"/>
    <x v="1"/>
    <x v="5"/>
    <x v="9"/>
    <x v="7"/>
    <x v="0"/>
    <x v="9"/>
    <x v="0"/>
    <x v="7"/>
    <x v="7"/>
  </r>
  <r>
    <x v="238"/>
    <x v="79"/>
    <x v="231"/>
    <x v="79"/>
    <x v="0"/>
    <x v="2"/>
    <x v="1"/>
    <x v="5"/>
    <x v="9"/>
    <x v="7"/>
    <x v="0"/>
    <x v="9"/>
    <x v="0"/>
    <x v="7"/>
    <x v="7"/>
  </r>
  <r>
    <x v="239"/>
    <x v="79"/>
    <x v="232"/>
    <x v="79"/>
    <x v="0"/>
    <x v="2"/>
    <x v="1"/>
    <x v="5"/>
    <x v="9"/>
    <x v="7"/>
    <x v="0"/>
    <x v="9"/>
    <x v="0"/>
    <x v="7"/>
    <x v="7"/>
  </r>
  <r>
    <x v="240"/>
    <x v="79"/>
    <x v="232"/>
    <x v="79"/>
    <x v="0"/>
    <x v="2"/>
    <x v="1"/>
    <x v="5"/>
    <x v="9"/>
    <x v="7"/>
    <x v="0"/>
    <x v="9"/>
    <x v="0"/>
    <x v="7"/>
    <x v="7"/>
  </r>
  <r>
    <x v="241"/>
    <x v="79"/>
    <x v="233"/>
    <x v="79"/>
    <x v="0"/>
    <x v="2"/>
    <x v="1"/>
    <x v="5"/>
    <x v="9"/>
    <x v="7"/>
    <x v="0"/>
    <x v="9"/>
    <x v="0"/>
    <x v="7"/>
    <x v="7"/>
  </r>
  <r>
    <x v="242"/>
    <x v="80"/>
    <x v="234"/>
    <x v="80"/>
    <x v="1"/>
    <x v="2"/>
    <x v="0"/>
    <x v="7"/>
    <x v="10"/>
    <x v="3"/>
    <x v="1"/>
    <x v="10"/>
    <x v="1"/>
    <x v="7"/>
    <x v="7"/>
  </r>
  <r>
    <x v="243"/>
    <x v="81"/>
    <x v="235"/>
    <x v="81"/>
    <x v="3"/>
    <x v="0"/>
    <x v="0"/>
    <x v="3"/>
    <x v="3"/>
    <x v="8"/>
    <x v="0"/>
    <x v="11"/>
    <x v="2"/>
    <x v="7"/>
    <x v="7"/>
  </r>
  <r>
    <x v="244"/>
    <x v="81"/>
    <x v="236"/>
    <x v="81"/>
    <x v="3"/>
    <x v="0"/>
    <x v="0"/>
    <x v="3"/>
    <x v="3"/>
    <x v="8"/>
    <x v="0"/>
    <x v="11"/>
    <x v="2"/>
    <x v="7"/>
    <x v="7"/>
  </r>
  <r>
    <x v="245"/>
    <x v="81"/>
    <x v="237"/>
    <x v="81"/>
    <x v="3"/>
    <x v="0"/>
    <x v="0"/>
    <x v="3"/>
    <x v="3"/>
    <x v="8"/>
    <x v="0"/>
    <x v="11"/>
    <x v="2"/>
    <x v="7"/>
    <x v="7"/>
  </r>
  <r>
    <x v="246"/>
    <x v="82"/>
    <x v="238"/>
    <x v="82"/>
    <x v="0"/>
    <x v="0"/>
    <x v="0"/>
    <x v="0"/>
    <x v="0"/>
    <x v="0"/>
    <x v="1"/>
    <x v="0"/>
    <x v="0"/>
    <x v="7"/>
    <x v="7"/>
  </r>
  <r>
    <x v="247"/>
    <x v="82"/>
    <x v="239"/>
    <x v="82"/>
    <x v="0"/>
    <x v="0"/>
    <x v="0"/>
    <x v="0"/>
    <x v="0"/>
    <x v="0"/>
    <x v="1"/>
    <x v="0"/>
    <x v="0"/>
    <x v="7"/>
    <x v="7"/>
  </r>
  <r>
    <x v="248"/>
    <x v="82"/>
    <x v="240"/>
    <x v="82"/>
    <x v="0"/>
    <x v="0"/>
    <x v="0"/>
    <x v="0"/>
    <x v="0"/>
    <x v="0"/>
    <x v="1"/>
    <x v="0"/>
    <x v="0"/>
    <x v="7"/>
    <x v="7"/>
  </r>
  <r>
    <x v="249"/>
    <x v="82"/>
    <x v="241"/>
    <x v="82"/>
    <x v="0"/>
    <x v="0"/>
    <x v="0"/>
    <x v="0"/>
    <x v="0"/>
    <x v="0"/>
    <x v="1"/>
    <x v="0"/>
    <x v="0"/>
    <x v="7"/>
    <x v="7"/>
  </r>
  <r>
    <x v="250"/>
    <x v="82"/>
    <x v="242"/>
    <x v="82"/>
    <x v="0"/>
    <x v="0"/>
    <x v="0"/>
    <x v="0"/>
    <x v="0"/>
    <x v="0"/>
    <x v="1"/>
    <x v="0"/>
    <x v="0"/>
    <x v="8"/>
    <x v="8"/>
  </r>
  <r>
    <x v="251"/>
    <x v="82"/>
    <x v="243"/>
    <x v="82"/>
    <x v="0"/>
    <x v="0"/>
    <x v="0"/>
    <x v="0"/>
    <x v="0"/>
    <x v="0"/>
    <x v="1"/>
    <x v="0"/>
    <x v="0"/>
    <x v="8"/>
    <x v="8"/>
  </r>
  <r>
    <x v="252"/>
    <x v="82"/>
    <x v="244"/>
    <x v="82"/>
    <x v="0"/>
    <x v="0"/>
    <x v="0"/>
    <x v="0"/>
    <x v="0"/>
    <x v="0"/>
    <x v="1"/>
    <x v="0"/>
    <x v="0"/>
    <x v="8"/>
    <x v="8"/>
  </r>
  <r>
    <x v="253"/>
    <x v="82"/>
    <x v="245"/>
    <x v="82"/>
    <x v="0"/>
    <x v="0"/>
    <x v="0"/>
    <x v="0"/>
    <x v="0"/>
    <x v="0"/>
    <x v="1"/>
    <x v="0"/>
    <x v="0"/>
    <x v="8"/>
    <x v="8"/>
  </r>
  <r>
    <x v="254"/>
    <x v="82"/>
    <x v="246"/>
    <x v="82"/>
    <x v="0"/>
    <x v="0"/>
    <x v="0"/>
    <x v="0"/>
    <x v="0"/>
    <x v="0"/>
    <x v="1"/>
    <x v="0"/>
    <x v="0"/>
    <x v="8"/>
    <x v="8"/>
  </r>
  <r>
    <x v="255"/>
    <x v="82"/>
    <x v="247"/>
    <x v="82"/>
    <x v="0"/>
    <x v="0"/>
    <x v="0"/>
    <x v="0"/>
    <x v="0"/>
    <x v="0"/>
    <x v="1"/>
    <x v="0"/>
    <x v="0"/>
    <x v="8"/>
    <x v="8"/>
  </r>
  <r>
    <x v="256"/>
    <x v="83"/>
    <x v="248"/>
    <x v="83"/>
    <x v="2"/>
    <x v="1"/>
    <x v="2"/>
    <x v="1"/>
    <x v="11"/>
    <x v="9"/>
    <x v="2"/>
    <x v="12"/>
    <x v="1"/>
    <x v="8"/>
    <x v="8"/>
  </r>
  <r>
    <x v="257"/>
    <x v="84"/>
    <x v="249"/>
    <x v="84"/>
    <x v="1"/>
    <x v="3"/>
    <x v="1"/>
    <x v="7"/>
    <x v="12"/>
    <x v="6"/>
    <x v="1"/>
    <x v="13"/>
    <x v="2"/>
    <x v="8"/>
    <x v="8"/>
  </r>
  <r>
    <x v="258"/>
    <x v="84"/>
    <x v="250"/>
    <x v="84"/>
    <x v="1"/>
    <x v="3"/>
    <x v="1"/>
    <x v="7"/>
    <x v="12"/>
    <x v="6"/>
    <x v="1"/>
    <x v="13"/>
    <x v="2"/>
    <x v="8"/>
    <x v="8"/>
  </r>
  <r>
    <x v="259"/>
    <x v="84"/>
    <x v="251"/>
    <x v="84"/>
    <x v="1"/>
    <x v="3"/>
    <x v="1"/>
    <x v="7"/>
    <x v="12"/>
    <x v="6"/>
    <x v="1"/>
    <x v="13"/>
    <x v="2"/>
    <x v="8"/>
    <x v="8"/>
  </r>
  <r>
    <x v="260"/>
    <x v="85"/>
    <x v="252"/>
    <x v="85"/>
    <x v="0"/>
    <x v="0"/>
    <x v="0"/>
    <x v="0"/>
    <x v="0"/>
    <x v="0"/>
    <x v="0"/>
    <x v="0"/>
    <x v="1"/>
    <x v="8"/>
    <x v="8"/>
  </r>
  <r>
    <x v="261"/>
    <x v="86"/>
    <x v="253"/>
    <x v="86"/>
    <x v="1"/>
    <x v="1"/>
    <x v="0"/>
    <x v="1"/>
    <x v="1"/>
    <x v="1"/>
    <x v="1"/>
    <x v="1"/>
    <x v="2"/>
    <x v="8"/>
    <x v="8"/>
  </r>
  <r>
    <x v="262"/>
    <x v="86"/>
    <x v="254"/>
    <x v="86"/>
    <x v="1"/>
    <x v="1"/>
    <x v="0"/>
    <x v="1"/>
    <x v="1"/>
    <x v="1"/>
    <x v="1"/>
    <x v="1"/>
    <x v="2"/>
    <x v="8"/>
    <x v="8"/>
  </r>
  <r>
    <x v="263"/>
    <x v="86"/>
    <x v="255"/>
    <x v="86"/>
    <x v="1"/>
    <x v="1"/>
    <x v="0"/>
    <x v="1"/>
    <x v="1"/>
    <x v="1"/>
    <x v="1"/>
    <x v="1"/>
    <x v="2"/>
    <x v="8"/>
    <x v="8"/>
  </r>
  <r>
    <x v="264"/>
    <x v="87"/>
    <x v="256"/>
    <x v="87"/>
    <x v="0"/>
    <x v="2"/>
    <x v="1"/>
    <x v="2"/>
    <x v="2"/>
    <x v="2"/>
    <x v="0"/>
    <x v="2"/>
    <x v="1"/>
    <x v="8"/>
    <x v="8"/>
  </r>
  <r>
    <x v="265"/>
    <x v="87"/>
    <x v="257"/>
    <x v="87"/>
    <x v="0"/>
    <x v="2"/>
    <x v="1"/>
    <x v="2"/>
    <x v="2"/>
    <x v="2"/>
    <x v="0"/>
    <x v="2"/>
    <x v="1"/>
    <x v="8"/>
    <x v="8"/>
  </r>
  <r>
    <x v="266"/>
    <x v="88"/>
    <x v="258"/>
    <x v="88"/>
    <x v="1"/>
    <x v="2"/>
    <x v="0"/>
    <x v="3"/>
    <x v="3"/>
    <x v="3"/>
    <x v="1"/>
    <x v="3"/>
    <x v="2"/>
    <x v="8"/>
    <x v="8"/>
  </r>
  <r>
    <x v="267"/>
    <x v="88"/>
    <x v="259"/>
    <x v="88"/>
    <x v="1"/>
    <x v="2"/>
    <x v="0"/>
    <x v="3"/>
    <x v="3"/>
    <x v="3"/>
    <x v="1"/>
    <x v="3"/>
    <x v="2"/>
    <x v="8"/>
    <x v="8"/>
  </r>
  <r>
    <x v="268"/>
    <x v="88"/>
    <x v="260"/>
    <x v="88"/>
    <x v="1"/>
    <x v="2"/>
    <x v="0"/>
    <x v="3"/>
    <x v="3"/>
    <x v="3"/>
    <x v="1"/>
    <x v="3"/>
    <x v="2"/>
    <x v="8"/>
    <x v="8"/>
  </r>
  <r>
    <x v="269"/>
    <x v="88"/>
    <x v="261"/>
    <x v="88"/>
    <x v="1"/>
    <x v="2"/>
    <x v="0"/>
    <x v="3"/>
    <x v="3"/>
    <x v="3"/>
    <x v="1"/>
    <x v="3"/>
    <x v="2"/>
    <x v="8"/>
    <x v="8"/>
  </r>
  <r>
    <x v="270"/>
    <x v="89"/>
    <x v="262"/>
    <x v="89"/>
    <x v="0"/>
    <x v="0"/>
    <x v="0"/>
    <x v="4"/>
    <x v="4"/>
    <x v="4"/>
    <x v="1"/>
    <x v="4"/>
    <x v="1"/>
    <x v="8"/>
    <x v="8"/>
  </r>
  <r>
    <x v="271"/>
    <x v="89"/>
    <x v="263"/>
    <x v="89"/>
    <x v="0"/>
    <x v="0"/>
    <x v="0"/>
    <x v="4"/>
    <x v="4"/>
    <x v="4"/>
    <x v="1"/>
    <x v="4"/>
    <x v="1"/>
    <x v="8"/>
    <x v="8"/>
  </r>
  <r>
    <x v="272"/>
    <x v="90"/>
    <x v="263"/>
    <x v="90"/>
    <x v="2"/>
    <x v="1"/>
    <x v="2"/>
    <x v="5"/>
    <x v="5"/>
    <x v="5"/>
    <x v="2"/>
    <x v="5"/>
    <x v="2"/>
    <x v="8"/>
    <x v="8"/>
  </r>
  <r>
    <x v="273"/>
    <x v="90"/>
    <x v="264"/>
    <x v="90"/>
    <x v="2"/>
    <x v="1"/>
    <x v="2"/>
    <x v="5"/>
    <x v="5"/>
    <x v="5"/>
    <x v="2"/>
    <x v="5"/>
    <x v="2"/>
    <x v="8"/>
    <x v="8"/>
  </r>
  <r>
    <x v="274"/>
    <x v="90"/>
    <x v="265"/>
    <x v="90"/>
    <x v="2"/>
    <x v="1"/>
    <x v="2"/>
    <x v="5"/>
    <x v="5"/>
    <x v="5"/>
    <x v="2"/>
    <x v="5"/>
    <x v="2"/>
    <x v="8"/>
    <x v="8"/>
  </r>
  <r>
    <x v="275"/>
    <x v="90"/>
    <x v="266"/>
    <x v="90"/>
    <x v="2"/>
    <x v="1"/>
    <x v="2"/>
    <x v="5"/>
    <x v="5"/>
    <x v="5"/>
    <x v="2"/>
    <x v="5"/>
    <x v="2"/>
    <x v="8"/>
    <x v="8"/>
  </r>
  <r>
    <x v="276"/>
    <x v="91"/>
    <x v="267"/>
    <x v="91"/>
    <x v="1"/>
    <x v="3"/>
    <x v="1"/>
    <x v="3"/>
    <x v="6"/>
    <x v="6"/>
    <x v="1"/>
    <x v="0"/>
    <x v="0"/>
    <x v="8"/>
    <x v="8"/>
  </r>
  <r>
    <x v="277"/>
    <x v="92"/>
    <x v="268"/>
    <x v="92"/>
    <x v="1"/>
    <x v="2"/>
    <x v="0"/>
    <x v="1"/>
    <x v="1"/>
    <x v="3"/>
    <x v="1"/>
    <x v="6"/>
    <x v="1"/>
    <x v="8"/>
    <x v="8"/>
  </r>
  <r>
    <x v="278"/>
    <x v="92"/>
    <x v="269"/>
    <x v="92"/>
    <x v="1"/>
    <x v="2"/>
    <x v="0"/>
    <x v="1"/>
    <x v="1"/>
    <x v="3"/>
    <x v="1"/>
    <x v="6"/>
    <x v="1"/>
    <x v="8"/>
    <x v="8"/>
  </r>
  <r>
    <x v="279"/>
    <x v="93"/>
    <x v="270"/>
    <x v="93"/>
    <x v="0"/>
    <x v="0"/>
    <x v="0"/>
    <x v="4"/>
    <x v="4"/>
    <x v="4"/>
    <x v="0"/>
    <x v="4"/>
    <x v="2"/>
    <x v="8"/>
    <x v="8"/>
  </r>
  <r>
    <x v="280"/>
    <x v="93"/>
    <x v="271"/>
    <x v="93"/>
    <x v="0"/>
    <x v="0"/>
    <x v="0"/>
    <x v="4"/>
    <x v="4"/>
    <x v="4"/>
    <x v="0"/>
    <x v="4"/>
    <x v="2"/>
    <x v="8"/>
    <x v="8"/>
  </r>
  <r>
    <x v="281"/>
    <x v="93"/>
    <x v="272"/>
    <x v="93"/>
    <x v="0"/>
    <x v="0"/>
    <x v="0"/>
    <x v="4"/>
    <x v="4"/>
    <x v="4"/>
    <x v="0"/>
    <x v="4"/>
    <x v="2"/>
    <x v="8"/>
    <x v="8"/>
  </r>
  <r>
    <x v="282"/>
    <x v="93"/>
    <x v="273"/>
    <x v="93"/>
    <x v="0"/>
    <x v="0"/>
    <x v="0"/>
    <x v="4"/>
    <x v="4"/>
    <x v="4"/>
    <x v="0"/>
    <x v="4"/>
    <x v="2"/>
    <x v="9"/>
    <x v="9"/>
  </r>
  <r>
    <x v="283"/>
    <x v="93"/>
    <x v="274"/>
    <x v="93"/>
    <x v="0"/>
    <x v="0"/>
    <x v="0"/>
    <x v="4"/>
    <x v="4"/>
    <x v="4"/>
    <x v="0"/>
    <x v="4"/>
    <x v="2"/>
    <x v="9"/>
    <x v="9"/>
  </r>
  <r>
    <x v="284"/>
    <x v="94"/>
    <x v="275"/>
    <x v="94"/>
    <x v="1"/>
    <x v="1"/>
    <x v="0"/>
    <x v="6"/>
    <x v="7"/>
    <x v="1"/>
    <x v="1"/>
    <x v="7"/>
    <x v="0"/>
    <x v="9"/>
    <x v="9"/>
  </r>
  <r>
    <x v="285"/>
    <x v="95"/>
    <x v="276"/>
    <x v="95"/>
    <x v="2"/>
    <x v="1"/>
    <x v="2"/>
    <x v="3"/>
    <x v="8"/>
    <x v="7"/>
    <x v="2"/>
    <x v="8"/>
    <x v="1"/>
    <x v="9"/>
    <x v="9"/>
  </r>
  <r>
    <x v="286"/>
    <x v="95"/>
    <x v="277"/>
    <x v="95"/>
    <x v="2"/>
    <x v="1"/>
    <x v="2"/>
    <x v="3"/>
    <x v="8"/>
    <x v="7"/>
    <x v="2"/>
    <x v="8"/>
    <x v="1"/>
    <x v="9"/>
    <x v="9"/>
  </r>
  <r>
    <x v="287"/>
    <x v="96"/>
    <x v="278"/>
    <x v="96"/>
    <x v="0"/>
    <x v="2"/>
    <x v="1"/>
    <x v="5"/>
    <x v="9"/>
    <x v="7"/>
    <x v="0"/>
    <x v="9"/>
    <x v="2"/>
    <x v="9"/>
    <x v="9"/>
  </r>
  <r>
    <x v="288"/>
    <x v="96"/>
    <x v="279"/>
    <x v="96"/>
    <x v="0"/>
    <x v="2"/>
    <x v="1"/>
    <x v="5"/>
    <x v="9"/>
    <x v="7"/>
    <x v="0"/>
    <x v="9"/>
    <x v="2"/>
    <x v="9"/>
    <x v="9"/>
  </r>
  <r>
    <x v="289"/>
    <x v="96"/>
    <x v="280"/>
    <x v="96"/>
    <x v="0"/>
    <x v="2"/>
    <x v="1"/>
    <x v="5"/>
    <x v="9"/>
    <x v="7"/>
    <x v="0"/>
    <x v="9"/>
    <x v="2"/>
    <x v="9"/>
    <x v="9"/>
  </r>
  <r>
    <x v="290"/>
    <x v="96"/>
    <x v="281"/>
    <x v="96"/>
    <x v="0"/>
    <x v="2"/>
    <x v="1"/>
    <x v="5"/>
    <x v="9"/>
    <x v="7"/>
    <x v="0"/>
    <x v="9"/>
    <x v="2"/>
    <x v="9"/>
    <x v="9"/>
  </r>
  <r>
    <x v="291"/>
    <x v="96"/>
    <x v="282"/>
    <x v="96"/>
    <x v="0"/>
    <x v="2"/>
    <x v="1"/>
    <x v="5"/>
    <x v="9"/>
    <x v="7"/>
    <x v="0"/>
    <x v="9"/>
    <x v="2"/>
    <x v="9"/>
    <x v="9"/>
  </r>
  <r>
    <x v="292"/>
    <x v="96"/>
    <x v="283"/>
    <x v="96"/>
    <x v="0"/>
    <x v="2"/>
    <x v="1"/>
    <x v="5"/>
    <x v="9"/>
    <x v="7"/>
    <x v="0"/>
    <x v="9"/>
    <x v="2"/>
    <x v="9"/>
    <x v="9"/>
  </r>
  <r>
    <x v="293"/>
    <x v="96"/>
    <x v="284"/>
    <x v="96"/>
    <x v="0"/>
    <x v="2"/>
    <x v="1"/>
    <x v="5"/>
    <x v="9"/>
    <x v="7"/>
    <x v="0"/>
    <x v="9"/>
    <x v="2"/>
    <x v="9"/>
    <x v="9"/>
  </r>
  <r>
    <x v="294"/>
    <x v="97"/>
    <x v="285"/>
    <x v="97"/>
    <x v="1"/>
    <x v="2"/>
    <x v="0"/>
    <x v="7"/>
    <x v="10"/>
    <x v="3"/>
    <x v="1"/>
    <x v="10"/>
    <x v="0"/>
    <x v="9"/>
    <x v="9"/>
  </r>
  <r>
    <x v="295"/>
    <x v="98"/>
    <x v="286"/>
    <x v="98"/>
    <x v="3"/>
    <x v="0"/>
    <x v="0"/>
    <x v="3"/>
    <x v="3"/>
    <x v="8"/>
    <x v="0"/>
    <x v="11"/>
    <x v="1"/>
    <x v="9"/>
    <x v="9"/>
  </r>
  <r>
    <x v="296"/>
    <x v="98"/>
    <x v="287"/>
    <x v="98"/>
    <x v="3"/>
    <x v="0"/>
    <x v="0"/>
    <x v="3"/>
    <x v="3"/>
    <x v="8"/>
    <x v="0"/>
    <x v="11"/>
    <x v="1"/>
    <x v="9"/>
    <x v="9"/>
  </r>
  <r>
    <x v="297"/>
    <x v="98"/>
    <x v="288"/>
    <x v="98"/>
    <x v="3"/>
    <x v="0"/>
    <x v="0"/>
    <x v="3"/>
    <x v="3"/>
    <x v="8"/>
    <x v="0"/>
    <x v="11"/>
    <x v="1"/>
    <x v="9"/>
    <x v="9"/>
  </r>
  <r>
    <x v="298"/>
    <x v="99"/>
    <x v="289"/>
    <x v="99"/>
    <x v="0"/>
    <x v="0"/>
    <x v="0"/>
    <x v="0"/>
    <x v="0"/>
    <x v="0"/>
    <x v="1"/>
    <x v="0"/>
    <x v="2"/>
    <x v="9"/>
    <x v="9"/>
  </r>
  <r>
    <x v="299"/>
    <x v="99"/>
    <x v="290"/>
    <x v="99"/>
    <x v="0"/>
    <x v="0"/>
    <x v="0"/>
    <x v="0"/>
    <x v="0"/>
    <x v="0"/>
    <x v="1"/>
    <x v="0"/>
    <x v="2"/>
    <x v="9"/>
    <x v="9"/>
  </r>
  <r>
    <x v="300"/>
    <x v="99"/>
    <x v="291"/>
    <x v="99"/>
    <x v="0"/>
    <x v="0"/>
    <x v="0"/>
    <x v="0"/>
    <x v="0"/>
    <x v="0"/>
    <x v="1"/>
    <x v="0"/>
    <x v="2"/>
    <x v="9"/>
    <x v="9"/>
  </r>
  <r>
    <x v="301"/>
    <x v="99"/>
    <x v="292"/>
    <x v="99"/>
    <x v="0"/>
    <x v="0"/>
    <x v="0"/>
    <x v="0"/>
    <x v="0"/>
    <x v="0"/>
    <x v="1"/>
    <x v="0"/>
    <x v="2"/>
    <x v="9"/>
    <x v="9"/>
  </r>
  <r>
    <x v="302"/>
    <x v="99"/>
    <x v="293"/>
    <x v="99"/>
    <x v="0"/>
    <x v="0"/>
    <x v="0"/>
    <x v="0"/>
    <x v="0"/>
    <x v="0"/>
    <x v="1"/>
    <x v="0"/>
    <x v="2"/>
    <x v="9"/>
    <x v="9"/>
  </r>
  <r>
    <x v="303"/>
    <x v="99"/>
    <x v="294"/>
    <x v="99"/>
    <x v="0"/>
    <x v="0"/>
    <x v="0"/>
    <x v="0"/>
    <x v="0"/>
    <x v="0"/>
    <x v="1"/>
    <x v="0"/>
    <x v="2"/>
    <x v="9"/>
    <x v="9"/>
  </r>
  <r>
    <x v="304"/>
    <x v="99"/>
    <x v="294"/>
    <x v="99"/>
    <x v="0"/>
    <x v="0"/>
    <x v="0"/>
    <x v="0"/>
    <x v="0"/>
    <x v="0"/>
    <x v="1"/>
    <x v="0"/>
    <x v="2"/>
    <x v="9"/>
    <x v="9"/>
  </r>
  <r>
    <x v="305"/>
    <x v="99"/>
    <x v="295"/>
    <x v="99"/>
    <x v="0"/>
    <x v="0"/>
    <x v="0"/>
    <x v="0"/>
    <x v="0"/>
    <x v="0"/>
    <x v="1"/>
    <x v="0"/>
    <x v="2"/>
    <x v="9"/>
    <x v="9"/>
  </r>
  <r>
    <x v="306"/>
    <x v="99"/>
    <x v="296"/>
    <x v="99"/>
    <x v="0"/>
    <x v="0"/>
    <x v="0"/>
    <x v="0"/>
    <x v="0"/>
    <x v="0"/>
    <x v="1"/>
    <x v="0"/>
    <x v="2"/>
    <x v="9"/>
    <x v="9"/>
  </r>
  <r>
    <x v="307"/>
    <x v="99"/>
    <x v="297"/>
    <x v="99"/>
    <x v="0"/>
    <x v="0"/>
    <x v="0"/>
    <x v="0"/>
    <x v="0"/>
    <x v="0"/>
    <x v="1"/>
    <x v="0"/>
    <x v="2"/>
    <x v="9"/>
    <x v="9"/>
  </r>
  <r>
    <x v="308"/>
    <x v="100"/>
    <x v="298"/>
    <x v="100"/>
    <x v="2"/>
    <x v="1"/>
    <x v="2"/>
    <x v="1"/>
    <x v="11"/>
    <x v="9"/>
    <x v="2"/>
    <x v="12"/>
    <x v="0"/>
    <x v="9"/>
    <x v="9"/>
  </r>
  <r>
    <x v="309"/>
    <x v="101"/>
    <x v="299"/>
    <x v="101"/>
    <x v="1"/>
    <x v="3"/>
    <x v="1"/>
    <x v="7"/>
    <x v="12"/>
    <x v="6"/>
    <x v="1"/>
    <x v="13"/>
    <x v="1"/>
    <x v="9"/>
    <x v="9"/>
  </r>
  <r>
    <x v="310"/>
    <x v="101"/>
    <x v="300"/>
    <x v="101"/>
    <x v="1"/>
    <x v="3"/>
    <x v="1"/>
    <x v="7"/>
    <x v="12"/>
    <x v="6"/>
    <x v="1"/>
    <x v="13"/>
    <x v="1"/>
    <x v="9"/>
    <x v="9"/>
  </r>
  <r>
    <x v="311"/>
    <x v="101"/>
    <x v="301"/>
    <x v="101"/>
    <x v="1"/>
    <x v="3"/>
    <x v="1"/>
    <x v="7"/>
    <x v="12"/>
    <x v="6"/>
    <x v="1"/>
    <x v="13"/>
    <x v="1"/>
    <x v="9"/>
    <x v="9"/>
  </r>
  <r>
    <x v="312"/>
    <x v="102"/>
    <x v="302"/>
    <x v="102"/>
    <x v="0"/>
    <x v="0"/>
    <x v="0"/>
    <x v="0"/>
    <x v="0"/>
    <x v="0"/>
    <x v="0"/>
    <x v="0"/>
    <x v="0"/>
    <x v="9"/>
    <x v="9"/>
  </r>
  <r>
    <x v="313"/>
    <x v="103"/>
    <x v="303"/>
    <x v="103"/>
    <x v="1"/>
    <x v="1"/>
    <x v="0"/>
    <x v="1"/>
    <x v="1"/>
    <x v="1"/>
    <x v="1"/>
    <x v="1"/>
    <x v="1"/>
    <x v="10"/>
    <x v="10"/>
  </r>
  <r>
    <x v="314"/>
    <x v="103"/>
    <x v="304"/>
    <x v="103"/>
    <x v="1"/>
    <x v="1"/>
    <x v="0"/>
    <x v="1"/>
    <x v="1"/>
    <x v="1"/>
    <x v="1"/>
    <x v="1"/>
    <x v="1"/>
    <x v="10"/>
    <x v="10"/>
  </r>
  <r>
    <x v="315"/>
    <x v="103"/>
    <x v="305"/>
    <x v="103"/>
    <x v="1"/>
    <x v="1"/>
    <x v="0"/>
    <x v="1"/>
    <x v="1"/>
    <x v="1"/>
    <x v="1"/>
    <x v="1"/>
    <x v="1"/>
    <x v="10"/>
    <x v="10"/>
  </r>
  <r>
    <x v="316"/>
    <x v="104"/>
    <x v="306"/>
    <x v="104"/>
    <x v="0"/>
    <x v="2"/>
    <x v="1"/>
    <x v="2"/>
    <x v="2"/>
    <x v="2"/>
    <x v="0"/>
    <x v="2"/>
    <x v="0"/>
    <x v="10"/>
    <x v="10"/>
  </r>
  <r>
    <x v="317"/>
    <x v="104"/>
    <x v="307"/>
    <x v="104"/>
    <x v="0"/>
    <x v="2"/>
    <x v="1"/>
    <x v="2"/>
    <x v="2"/>
    <x v="2"/>
    <x v="0"/>
    <x v="2"/>
    <x v="0"/>
    <x v="10"/>
    <x v="10"/>
  </r>
  <r>
    <x v="318"/>
    <x v="105"/>
    <x v="308"/>
    <x v="105"/>
    <x v="1"/>
    <x v="2"/>
    <x v="0"/>
    <x v="3"/>
    <x v="3"/>
    <x v="3"/>
    <x v="1"/>
    <x v="3"/>
    <x v="1"/>
    <x v="10"/>
    <x v="10"/>
  </r>
  <r>
    <x v="319"/>
    <x v="105"/>
    <x v="309"/>
    <x v="105"/>
    <x v="1"/>
    <x v="2"/>
    <x v="0"/>
    <x v="3"/>
    <x v="3"/>
    <x v="3"/>
    <x v="1"/>
    <x v="3"/>
    <x v="1"/>
    <x v="10"/>
    <x v="10"/>
  </r>
  <r>
    <x v="320"/>
    <x v="105"/>
    <x v="310"/>
    <x v="105"/>
    <x v="1"/>
    <x v="2"/>
    <x v="0"/>
    <x v="3"/>
    <x v="3"/>
    <x v="3"/>
    <x v="1"/>
    <x v="3"/>
    <x v="1"/>
    <x v="10"/>
    <x v="10"/>
  </r>
  <r>
    <x v="321"/>
    <x v="105"/>
    <x v="311"/>
    <x v="105"/>
    <x v="1"/>
    <x v="2"/>
    <x v="0"/>
    <x v="3"/>
    <x v="3"/>
    <x v="3"/>
    <x v="1"/>
    <x v="3"/>
    <x v="1"/>
    <x v="10"/>
    <x v="10"/>
  </r>
  <r>
    <x v="322"/>
    <x v="106"/>
    <x v="312"/>
    <x v="106"/>
    <x v="0"/>
    <x v="0"/>
    <x v="0"/>
    <x v="4"/>
    <x v="4"/>
    <x v="4"/>
    <x v="1"/>
    <x v="4"/>
    <x v="0"/>
    <x v="10"/>
    <x v="10"/>
  </r>
  <r>
    <x v="323"/>
    <x v="106"/>
    <x v="313"/>
    <x v="106"/>
    <x v="0"/>
    <x v="0"/>
    <x v="0"/>
    <x v="4"/>
    <x v="4"/>
    <x v="4"/>
    <x v="1"/>
    <x v="4"/>
    <x v="0"/>
    <x v="10"/>
    <x v="10"/>
  </r>
  <r>
    <x v="324"/>
    <x v="107"/>
    <x v="314"/>
    <x v="107"/>
    <x v="2"/>
    <x v="1"/>
    <x v="2"/>
    <x v="5"/>
    <x v="5"/>
    <x v="5"/>
    <x v="2"/>
    <x v="5"/>
    <x v="1"/>
    <x v="10"/>
    <x v="10"/>
  </r>
  <r>
    <x v="325"/>
    <x v="107"/>
    <x v="315"/>
    <x v="107"/>
    <x v="2"/>
    <x v="1"/>
    <x v="2"/>
    <x v="5"/>
    <x v="5"/>
    <x v="5"/>
    <x v="2"/>
    <x v="5"/>
    <x v="1"/>
    <x v="10"/>
    <x v="10"/>
  </r>
  <r>
    <x v="326"/>
    <x v="107"/>
    <x v="316"/>
    <x v="107"/>
    <x v="2"/>
    <x v="1"/>
    <x v="2"/>
    <x v="5"/>
    <x v="5"/>
    <x v="5"/>
    <x v="2"/>
    <x v="5"/>
    <x v="1"/>
    <x v="10"/>
    <x v="10"/>
  </r>
  <r>
    <x v="327"/>
    <x v="107"/>
    <x v="317"/>
    <x v="107"/>
    <x v="2"/>
    <x v="1"/>
    <x v="2"/>
    <x v="5"/>
    <x v="5"/>
    <x v="5"/>
    <x v="2"/>
    <x v="5"/>
    <x v="1"/>
    <x v="10"/>
    <x v="10"/>
  </r>
  <r>
    <x v="328"/>
    <x v="108"/>
    <x v="318"/>
    <x v="108"/>
    <x v="1"/>
    <x v="3"/>
    <x v="1"/>
    <x v="3"/>
    <x v="6"/>
    <x v="6"/>
    <x v="1"/>
    <x v="0"/>
    <x v="2"/>
    <x v="10"/>
    <x v="10"/>
  </r>
  <r>
    <x v="329"/>
    <x v="109"/>
    <x v="319"/>
    <x v="109"/>
    <x v="1"/>
    <x v="2"/>
    <x v="0"/>
    <x v="1"/>
    <x v="1"/>
    <x v="3"/>
    <x v="1"/>
    <x v="6"/>
    <x v="0"/>
    <x v="10"/>
    <x v="10"/>
  </r>
  <r>
    <x v="330"/>
    <x v="109"/>
    <x v="320"/>
    <x v="109"/>
    <x v="1"/>
    <x v="2"/>
    <x v="0"/>
    <x v="1"/>
    <x v="1"/>
    <x v="3"/>
    <x v="1"/>
    <x v="6"/>
    <x v="0"/>
    <x v="10"/>
    <x v="10"/>
  </r>
  <r>
    <x v="331"/>
    <x v="110"/>
    <x v="321"/>
    <x v="110"/>
    <x v="0"/>
    <x v="0"/>
    <x v="0"/>
    <x v="4"/>
    <x v="4"/>
    <x v="4"/>
    <x v="0"/>
    <x v="4"/>
    <x v="1"/>
    <x v="10"/>
    <x v="10"/>
  </r>
  <r>
    <x v="332"/>
    <x v="110"/>
    <x v="322"/>
    <x v="110"/>
    <x v="0"/>
    <x v="0"/>
    <x v="0"/>
    <x v="4"/>
    <x v="4"/>
    <x v="4"/>
    <x v="0"/>
    <x v="4"/>
    <x v="1"/>
    <x v="10"/>
    <x v="10"/>
  </r>
  <r>
    <x v="333"/>
    <x v="110"/>
    <x v="323"/>
    <x v="110"/>
    <x v="0"/>
    <x v="0"/>
    <x v="0"/>
    <x v="4"/>
    <x v="4"/>
    <x v="4"/>
    <x v="0"/>
    <x v="4"/>
    <x v="1"/>
    <x v="10"/>
    <x v="10"/>
  </r>
  <r>
    <x v="334"/>
    <x v="110"/>
    <x v="324"/>
    <x v="110"/>
    <x v="0"/>
    <x v="0"/>
    <x v="0"/>
    <x v="4"/>
    <x v="4"/>
    <x v="4"/>
    <x v="0"/>
    <x v="4"/>
    <x v="1"/>
    <x v="10"/>
    <x v="10"/>
  </r>
  <r>
    <x v="335"/>
    <x v="110"/>
    <x v="325"/>
    <x v="110"/>
    <x v="0"/>
    <x v="0"/>
    <x v="0"/>
    <x v="4"/>
    <x v="4"/>
    <x v="4"/>
    <x v="0"/>
    <x v="4"/>
    <x v="1"/>
    <x v="10"/>
    <x v="10"/>
  </r>
  <r>
    <x v="336"/>
    <x v="111"/>
    <x v="325"/>
    <x v="111"/>
    <x v="1"/>
    <x v="1"/>
    <x v="0"/>
    <x v="6"/>
    <x v="7"/>
    <x v="1"/>
    <x v="1"/>
    <x v="7"/>
    <x v="2"/>
    <x v="10"/>
    <x v="10"/>
  </r>
  <r>
    <x v="337"/>
    <x v="112"/>
    <x v="326"/>
    <x v="112"/>
    <x v="2"/>
    <x v="1"/>
    <x v="2"/>
    <x v="3"/>
    <x v="8"/>
    <x v="7"/>
    <x v="2"/>
    <x v="8"/>
    <x v="0"/>
    <x v="10"/>
    <x v="10"/>
  </r>
  <r>
    <x v="338"/>
    <x v="112"/>
    <x v="327"/>
    <x v="112"/>
    <x v="2"/>
    <x v="1"/>
    <x v="2"/>
    <x v="3"/>
    <x v="8"/>
    <x v="7"/>
    <x v="2"/>
    <x v="8"/>
    <x v="0"/>
    <x v="10"/>
    <x v="10"/>
  </r>
  <r>
    <x v="339"/>
    <x v="113"/>
    <x v="328"/>
    <x v="113"/>
    <x v="0"/>
    <x v="2"/>
    <x v="1"/>
    <x v="5"/>
    <x v="9"/>
    <x v="7"/>
    <x v="0"/>
    <x v="9"/>
    <x v="1"/>
    <x v="10"/>
    <x v="10"/>
  </r>
  <r>
    <x v="340"/>
    <x v="113"/>
    <x v="329"/>
    <x v="113"/>
    <x v="0"/>
    <x v="2"/>
    <x v="1"/>
    <x v="5"/>
    <x v="9"/>
    <x v="7"/>
    <x v="0"/>
    <x v="9"/>
    <x v="1"/>
    <x v="10"/>
    <x v="10"/>
  </r>
  <r>
    <x v="341"/>
    <x v="113"/>
    <x v="330"/>
    <x v="113"/>
    <x v="0"/>
    <x v="2"/>
    <x v="1"/>
    <x v="5"/>
    <x v="9"/>
    <x v="7"/>
    <x v="0"/>
    <x v="9"/>
    <x v="1"/>
    <x v="10"/>
    <x v="10"/>
  </r>
  <r>
    <x v="342"/>
    <x v="113"/>
    <x v="331"/>
    <x v="113"/>
    <x v="0"/>
    <x v="2"/>
    <x v="1"/>
    <x v="5"/>
    <x v="9"/>
    <x v="7"/>
    <x v="0"/>
    <x v="9"/>
    <x v="1"/>
    <x v="10"/>
    <x v="10"/>
  </r>
  <r>
    <x v="343"/>
    <x v="113"/>
    <x v="332"/>
    <x v="113"/>
    <x v="0"/>
    <x v="2"/>
    <x v="1"/>
    <x v="5"/>
    <x v="9"/>
    <x v="7"/>
    <x v="0"/>
    <x v="9"/>
    <x v="1"/>
    <x v="10"/>
    <x v="10"/>
  </r>
  <r>
    <x v="344"/>
    <x v="113"/>
    <x v="333"/>
    <x v="113"/>
    <x v="0"/>
    <x v="2"/>
    <x v="1"/>
    <x v="5"/>
    <x v="9"/>
    <x v="7"/>
    <x v="0"/>
    <x v="9"/>
    <x v="1"/>
    <x v="10"/>
    <x v="10"/>
  </r>
  <r>
    <x v="345"/>
    <x v="113"/>
    <x v="334"/>
    <x v="113"/>
    <x v="0"/>
    <x v="2"/>
    <x v="1"/>
    <x v="5"/>
    <x v="9"/>
    <x v="7"/>
    <x v="0"/>
    <x v="9"/>
    <x v="1"/>
    <x v="11"/>
    <x v="11"/>
  </r>
  <r>
    <x v="346"/>
    <x v="114"/>
    <x v="335"/>
    <x v="114"/>
    <x v="1"/>
    <x v="2"/>
    <x v="0"/>
    <x v="7"/>
    <x v="10"/>
    <x v="3"/>
    <x v="1"/>
    <x v="10"/>
    <x v="2"/>
    <x v="11"/>
    <x v="11"/>
  </r>
  <r>
    <x v="347"/>
    <x v="115"/>
    <x v="336"/>
    <x v="115"/>
    <x v="3"/>
    <x v="0"/>
    <x v="0"/>
    <x v="3"/>
    <x v="3"/>
    <x v="8"/>
    <x v="0"/>
    <x v="11"/>
    <x v="0"/>
    <x v="11"/>
    <x v="11"/>
  </r>
  <r>
    <x v="348"/>
    <x v="115"/>
    <x v="337"/>
    <x v="115"/>
    <x v="3"/>
    <x v="0"/>
    <x v="0"/>
    <x v="3"/>
    <x v="3"/>
    <x v="8"/>
    <x v="0"/>
    <x v="11"/>
    <x v="0"/>
    <x v="11"/>
    <x v="11"/>
  </r>
  <r>
    <x v="349"/>
    <x v="115"/>
    <x v="338"/>
    <x v="115"/>
    <x v="3"/>
    <x v="0"/>
    <x v="0"/>
    <x v="3"/>
    <x v="3"/>
    <x v="8"/>
    <x v="0"/>
    <x v="11"/>
    <x v="0"/>
    <x v="11"/>
    <x v="11"/>
  </r>
  <r>
    <x v="350"/>
    <x v="116"/>
    <x v="339"/>
    <x v="116"/>
    <x v="0"/>
    <x v="0"/>
    <x v="0"/>
    <x v="0"/>
    <x v="0"/>
    <x v="0"/>
    <x v="1"/>
    <x v="0"/>
    <x v="1"/>
    <x v="11"/>
    <x v="11"/>
  </r>
  <r>
    <x v="351"/>
    <x v="116"/>
    <x v="340"/>
    <x v="116"/>
    <x v="0"/>
    <x v="0"/>
    <x v="0"/>
    <x v="0"/>
    <x v="0"/>
    <x v="0"/>
    <x v="1"/>
    <x v="0"/>
    <x v="1"/>
    <x v="11"/>
    <x v="11"/>
  </r>
  <r>
    <x v="352"/>
    <x v="116"/>
    <x v="341"/>
    <x v="116"/>
    <x v="0"/>
    <x v="0"/>
    <x v="0"/>
    <x v="0"/>
    <x v="0"/>
    <x v="0"/>
    <x v="1"/>
    <x v="0"/>
    <x v="1"/>
    <x v="11"/>
    <x v="11"/>
  </r>
  <r>
    <x v="353"/>
    <x v="116"/>
    <x v="342"/>
    <x v="116"/>
    <x v="0"/>
    <x v="0"/>
    <x v="0"/>
    <x v="0"/>
    <x v="0"/>
    <x v="0"/>
    <x v="1"/>
    <x v="0"/>
    <x v="1"/>
    <x v="11"/>
    <x v="11"/>
  </r>
  <r>
    <x v="354"/>
    <x v="116"/>
    <x v="343"/>
    <x v="116"/>
    <x v="0"/>
    <x v="0"/>
    <x v="0"/>
    <x v="0"/>
    <x v="0"/>
    <x v="0"/>
    <x v="1"/>
    <x v="0"/>
    <x v="1"/>
    <x v="11"/>
    <x v="11"/>
  </r>
  <r>
    <x v="355"/>
    <x v="116"/>
    <x v="344"/>
    <x v="116"/>
    <x v="0"/>
    <x v="0"/>
    <x v="0"/>
    <x v="0"/>
    <x v="0"/>
    <x v="0"/>
    <x v="1"/>
    <x v="0"/>
    <x v="1"/>
    <x v="11"/>
    <x v="11"/>
  </r>
  <r>
    <x v="356"/>
    <x v="116"/>
    <x v="345"/>
    <x v="116"/>
    <x v="0"/>
    <x v="0"/>
    <x v="0"/>
    <x v="0"/>
    <x v="0"/>
    <x v="0"/>
    <x v="1"/>
    <x v="0"/>
    <x v="1"/>
    <x v="11"/>
    <x v="11"/>
  </r>
  <r>
    <x v="357"/>
    <x v="116"/>
    <x v="346"/>
    <x v="116"/>
    <x v="0"/>
    <x v="0"/>
    <x v="0"/>
    <x v="0"/>
    <x v="0"/>
    <x v="0"/>
    <x v="1"/>
    <x v="0"/>
    <x v="1"/>
    <x v="11"/>
    <x v="11"/>
  </r>
  <r>
    <x v="358"/>
    <x v="116"/>
    <x v="347"/>
    <x v="116"/>
    <x v="0"/>
    <x v="0"/>
    <x v="0"/>
    <x v="0"/>
    <x v="0"/>
    <x v="0"/>
    <x v="1"/>
    <x v="0"/>
    <x v="1"/>
    <x v="11"/>
    <x v="11"/>
  </r>
  <r>
    <x v="359"/>
    <x v="116"/>
    <x v="348"/>
    <x v="116"/>
    <x v="0"/>
    <x v="0"/>
    <x v="0"/>
    <x v="0"/>
    <x v="0"/>
    <x v="0"/>
    <x v="1"/>
    <x v="0"/>
    <x v="1"/>
    <x v="11"/>
    <x v="11"/>
  </r>
  <r>
    <x v="360"/>
    <x v="117"/>
    <x v="349"/>
    <x v="117"/>
    <x v="2"/>
    <x v="1"/>
    <x v="2"/>
    <x v="1"/>
    <x v="11"/>
    <x v="9"/>
    <x v="2"/>
    <x v="12"/>
    <x v="2"/>
    <x v="11"/>
    <x v="11"/>
  </r>
  <r>
    <x v="361"/>
    <x v="118"/>
    <x v="350"/>
    <x v="118"/>
    <x v="1"/>
    <x v="3"/>
    <x v="1"/>
    <x v="7"/>
    <x v="12"/>
    <x v="6"/>
    <x v="1"/>
    <x v="13"/>
    <x v="0"/>
    <x v="11"/>
    <x v="11"/>
  </r>
  <r>
    <x v="362"/>
    <x v="118"/>
    <x v="351"/>
    <x v="118"/>
    <x v="1"/>
    <x v="3"/>
    <x v="1"/>
    <x v="7"/>
    <x v="12"/>
    <x v="6"/>
    <x v="1"/>
    <x v="13"/>
    <x v="0"/>
    <x v="11"/>
    <x v="11"/>
  </r>
  <r>
    <x v="363"/>
    <x v="118"/>
    <x v="352"/>
    <x v="118"/>
    <x v="1"/>
    <x v="3"/>
    <x v="1"/>
    <x v="7"/>
    <x v="12"/>
    <x v="6"/>
    <x v="1"/>
    <x v="13"/>
    <x v="0"/>
    <x v="11"/>
    <x v="11"/>
  </r>
  <r>
    <x v="364"/>
    <x v="119"/>
    <x v="353"/>
    <x v="119"/>
    <x v="0"/>
    <x v="0"/>
    <x v="0"/>
    <x v="0"/>
    <x v="0"/>
    <x v="0"/>
    <x v="0"/>
    <x v="0"/>
    <x v="2"/>
    <x v="11"/>
    <x v="11"/>
  </r>
  <r>
    <x v="365"/>
    <x v="120"/>
    <x v="354"/>
    <x v="120"/>
    <x v="1"/>
    <x v="1"/>
    <x v="0"/>
    <x v="1"/>
    <x v="1"/>
    <x v="1"/>
    <x v="1"/>
    <x v="1"/>
    <x v="0"/>
    <x v="11"/>
    <x v="11"/>
  </r>
  <r>
    <x v="366"/>
    <x v="120"/>
    <x v="355"/>
    <x v="120"/>
    <x v="1"/>
    <x v="1"/>
    <x v="0"/>
    <x v="1"/>
    <x v="1"/>
    <x v="1"/>
    <x v="1"/>
    <x v="1"/>
    <x v="0"/>
    <x v="11"/>
    <x v="11"/>
  </r>
  <r>
    <x v="367"/>
    <x v="120"/>
    <x v="356"/>
    <x v="120"/>
    <x v="1"/>
    <x v="1"/>
    <x v="0"/>
    <x v="1"/>
    <x v="1"/>
    <x v="1"/>
    <x v="1"/>
    <x v="1"/>
    <x v="0"/>
    <x v="11"/>
    <x v="11"/>
  </r>
  <r>
    <x v="368"/>
    <x v="121"/>
    <x v="356"/>
    <x v="121"/>
    <x v="0"/>
    <x v="2"/>
    <x v="1"/>
    <x v="2"/>
    <x v="2"/>
    <x v="2"/>
    <x v="0"/>
    <x v="2"/>
    <x v="2"/>
    <x v="11"/>
    <x v="11"/>
  </r>
  <r>
    <x v="369"/>
    <x v="121"/>
    <x v="357"/>
    <x v="121"/>
    <x v="0"/>
    <x v="2"/>
    <x v="1"/>
    <x v="2"/>
    <x v="2"/>
    <x v="2"/>
    <x v="0"/>
    <x v="2"/>
    <x v="2"/>
    <x v="11"/>
    <x v="11"/>
  </r>
  <r>
    <x v="370"/>
    <x v="122"/>
    <x v="358"/>
    <x v="122"/>
    <x v="1"/>
    <x v="2"/>
    <x v="0"/>
    <x v="3"/>
    <x v="3"/>
    <x v="3"/>
    <x v="1"/>
    <x v="3"/>
    <x v="0"/>
    <x v="11"/>
    <x v="11"/>
  </r>
  <r>
    <x v="371"/>
    <x v="122"/>
    <x v="359"/>
    <x v="122"/>
    <x v="1"/>
    <x v="2"/>
    <x v="0"/>
    <x v="3"/>
    <x v="3"/>
    <x v="3"/>
    <x v="1"/>
    <x v="3"/>
    <x v="0"/>
    <x v="11"/>
    <x v="11"/>
  </r>
  <r>
    <x v="372"/>
    <x v="122"/>
    <x v="360"/>
    <x v="122"/>
    <x v="1"/>
    <x v="2"/>
    <x v="0"/>
    <x v="3"/>
    <x v="3"/>
    <x v="3"/>
    <x v="1"/>
    <x v="3"/>
    <x v="0"/>
    <x v="11"/>
    <x v="11"/>
  </r>
  <r>
    <x v="373"/>
    <x v="122"/>
    <x v="361"/>
    <x v="122"/>
    <x v="1"/>
    <x v="2"/>
    <x v="0"/>
    <x v="3"/>
    <x v="3"/>
    <x v="3"/>
    <x v="1"/>
    <x v="3"/>
    <x v="0"/>
    <x v="11"/>
    <x v="11"/>
  </r>
  <r>
    <x v="374"/>
    <x v="123"/>
    <x v="362"/>
    <x v="123"/>
    <x v="0"/>
    <x v="0"/>
    <x v="0"/>
    <x v="4"/>
    <x v="4"/>
    <x v="4"/>
    <x v="1"/>
    <x v="4"/>
    <x v="2"/>
    <x v="11"/>
    <x v="11"/>
  </r>
  <r>
    <x v="375"/>
    <x v="123"/>
    <x v="363"/>
    <x v="123"/>
    <x v="0"/>
    <x v="0"/>
    <x v="0"/>
    <x v="4"/>
    <x v="4"/>
    <x v="4"/>
    <x v="1"/>
    <x v="4"/>
    <x v="2"/>
    <x v="11"/>
    <x v="11"/>
  </r>
  <r>
    <x v="376"/>
    <x v="124"/>
    <x v="364"/>
    <x v="124"/>
    <x v="2"/>
    <x v="1"/>
    <x v="2"/>
    <x v="5"/>
    <x v="5"/>
    <x v="5"/>
    <x v="2"/>
    <x v="5"/>
    <x v="0"/>
    <x v="11"/>
    <x v="11"/>
  </r>
  <r>
    <x v="377"/>
    <x v="124"/>
    <x v="365"/>
    <x v="124"/>
    <x v="2"/>
    <x v="1"/>
    <x v="2"/>
    <x v="5"/>
    <x v="5"/>
    <x v="5"/>
    <x v="2"/>
    <x v="5"/>
    <x v="0"/>
    <x v="12"/>
    <x v="12"/>
  </r>
  <r>
    <x v="378"/>
    <x v="124"/>
    <x v="366"/>
    <x v="124"/>
    <x v="2"/>
    <x v="1"/>
    <x v="2"/>
    <x v="5"/>
    <x v="5"/>
    <x v="5"/>
    <x v="2"/>
    <x v="5"/>
    <x v="0"/>
    <x v="12"/>
    <x v="12"/>
  </r>
  <r>
    <x v="379"/>
    <x v="124"/>
    <x v="367"/>
    <x v="124"/>
    <x v="2"/>
    <x v="1"/>
    <x v="2"/>
    <x v="5"/>
    <x v="5"/>
    <x v="5"/>
    <x v="2"/>
    <x v="5"/>
    <x v="0"/>
    <x v="12"/>
    <x v="12"/>
  </r>
  <r>
    <x v="380"/>
    <x v="125"/>
    <x v="368"/>
    <x v="125"/>
    <x v="1"/>
    <x v="3"/>
    <x v="1"/>
    <x v="3"/>
    <x v="6"/>
    <x v="6"/>
    <x v="1"/>
    <x v="0"/>
    <x v="1"/>
    <x v="12"/>
    <x v="12"/>
  </r>
  <r>
    <x v="381"/>
    <x v="126"/>
    <x v="369"/>
    <x v="126"/>
    <x v="1"/>
    <x v="2"/>
    <x v="0"/>
    <x v="1"/>
    <x v="1"/>
    <x v="3"/>
    <x v="1"/>
    <x v="6"/>
    <x v="2"/>
    <x v="12"/>
    <x v="12"/>
  </r>
  <r>
    <x v="382"/>
    <x v="126"/>
    <x v="370"/>
    <x v="126"/>
    <x v="1"/>
    <x v="2"/>
    <x v="0"/>
    <x v="1"/>
    <x v="1"/>
    <x v="3"/>
    <x v="1"/>
    <x v="6"/>
    <x v="2"/>
    <x v="12"/>
    <x v="12"/>
  </r>
  <r>
    <x v="383"/>
    <x v="127"/>
    <x v="371"/>
    <x v="127"/>
    <x v="0"/>
    <x v="0"/>
    <x v="0"/>
    <x v="4"/>
    <x v="4"/>
    <x v="4"/>
    <x v="0"/>
    <x v="4"/>
    <x v="0"/>
    <x v="12"/>
    <x v="12"/>
  </r>
  <r>
    <x v="384"/>
    <x v="127"/>
    <x v="372"/>
    <x v="127"/>
    <x v="0"/>
    <x v="0"/>
    <x v="0"/>
    <x v="4"/>
    <x v="4"/>
    <x v="4"/>
    <x v="0"/>
    <x v="4"/>
    <x v="0"/>
    <x v="12"/>
    <x v="12"/>
  </r>
  <r>
    <x v="385"/>
    <x v="127"/>
    <x v="373"/>
    <x v="127"/>
    <x v="0"/>
    <x v="0"/>
    <x v="0"/>
    <x v="4"/>
    <x v="4"/>
    <x v="4"/>
    <x v="0"/>
    <x v="4"/>
    <x v="0"/>
    <x v="12"/>
    <x v="12"/>
  </r>
  <r>
    <x v="386"/>
    <x v="127"/>
    <x v="374"/>
    <x v="127"/>
    <x v="0"/>
    <x v="0"/>
    <x v="0"/>
    <x v="4"/>
    <x v="4"/>
    <x v="4"/>
    <x v="0"/>
    <x v="4"/>
    <x v="0"/>
    <x v="12"/>
    <x v="12"/>
  </r>
  <r>
    <x v="387"/>
    <x v="127"/>
    <x v="375"/>
    <x v="127"/>
    <x v="0"/>
    <x v="0"/>
    <x v="0"/>
    <x v="4"/>
    <x v="4"/>
    <x v="4"/>
    <x v="0"/>
    <x v="4"/>
    <x v="0"/>
    <x v="12"/>
    <x v="12"/>
  </r>
  <r>
    <x v="388"/>
    <x v="128"/>
    <x v="376"/>
    <x v="128"/>
    <x v="1"/>
    <x v="1"/>
    <x v="0"/>
    <x v="6"/>
    <x v="7"/>
    <x v="1"/>
    <x v="1"/>
    <x v="7"/>
    <x v="1"/>
    <x v="12"/>
    <x v="12"/>
  </r>
  <r>
    <x v="389"/>
    <x v="129"/>
    <x v="377"/>
    <x v="129"/>
    <x v="2"/>
    <x v="1"/>
    <x v="2"/>
    <x v="3"/>
    <x v="8"/>
    <x v="7"/>
    <x v="2"/>
    <x v="8"/>
    <x v="2"/>
    <x v="12"/>
    <x v="12"/>
  </r>
  <r>
    <x v="390"/>
    <x v="129"/>
    <x v="378"/>
    <x v="129"/>
    <x v="2"/>
    <x v="1"/>
    <x v="2"/>
    <x v="3"/>
    <x v="8"/>
    <x v="7"/>
    <x v="2"/>
    <x v="8"/>
    <x v="2"/>
    <x v="12"/>
    <x v="12"/>
  </r>
  <r>
    <x v="391"/>
    <x v="130"/>
    <x v="379"/>
    <x v="130"/>
    <x v="0"/>
    <x v="2"/>
    <x v="1"/>
    <x v="5"/>
    <x v="9"/>
    <x v="7"/>
    <x v="0"/>
    <x v="9"/>
    <x v="0"/>
    <x v="12"/>
    <x v="12"/>
  </r>
  <r>
    <x v="392"/>
    <x v="130"/>
    <x v="380"/>
    <x v="130"/>
    <x v="0"/>
    <x v="2"/>
    <x v="1"/>
    <x v="5"/>
    <x v="9"/>
    <x v="7"/>
    <x v="0"/>
    <x v="9"/>
    <x v="0"/>
    <x v="12"/>
    <x v="12"/>
  </r>
  <r>
    <x v="393"/>
    <x v="130"/>
    <x v="381"/>
    <x v="130"/>
    <x v="0"/>
    <x v="2"/>
    <x v="1"/>
    <x v="5"/>
    <x v="9"/>
    <x v="7"/>
    <x v="0"/>
    <x v="9"/>
    <x v="0"/>
    <x v="12"/>
    <x v="12"/>
  </r>
  <r>
    <x v="394"/>
    <x v="130"/>
    <x v="382"/>
    <x v="130"/>
    <x v="0"/>
    <x v="2"/>
    <x v="1"/>
    <x v="5"/>
    <x v="9"/>
    <x v="7"/>
    <x v="0"/>
    <x v="9"/>
    <x v="0"/>
    <x v="12"/>
    <x v="12"/>
  </r>
  <r>
    <x v="395"/>
    <x v="130"/>
    <x v="383"/>
    <x v="130"/>
    <x v="0"/>
    <x v="2"/>
    <x v="1"/>
    <x v="5"/>
    <x v="9"/>
    <x v="7"/>
    <x v="0"/>
    <x v="9"/>
    <x v="0"/>
    <x v="12"/>
    <x v="12"/>
  </r>
  <r>
    <x v="396"/>
    <x v="130"/>
    <x v="384"/>
    <x v="130"/>
    <x v="0"/>
    <x v="2"/>
    <x v="1"/>
    <x v="5"/>
    <x v="9"/>
    <x v="7"/>
    <x v="0"/>
    <x v="9"/>
    <x v="0"/>
    <x v="12"/>
    <x v="12"/>
  </r>
  <r>
    <x v="397"/>
    <x v="130"/>
    <x v="385"/>
    <x v="130"/>
    <x v="0"/>
    <x v="2"/>
    <x v="1"/>
    <x v="5"/>
    <x v="9"/>
    <x v="7"/>
    <x v="0"/>
    <x v="9"/>
    <x v="0"/>
    <x v="12"/>
    <x v="12"/>
  </r>
  <r>
    <x v="398"/>
    <x v="131"/>
    <x v="386"/>
    <x v="131"/>
    <x v="1"/>
    <x v="2"/>
    <x v="0"/>
    <x v="7"/>
    <x v="10"/>
    <x v="3"/>
    <x v="1"/>
    <x v="10"/>
    <x v="1"/>
    <x v="12"/>
    <x v="12"/>
  </r>
  <r>
    <x v="399"/>
    <x v="132"/>
    <x v="387"/>
    <x v="132"/>
    <x v="3"/>
    <x v="0"/>
    <x v="0"/>
    <x v="3"/>
    <x v="3"/>
    <x v="8"/>
    <x v="0"/>
    <x v="11"/>
    <x v="2"/>
    <x v="12"/>
    <x v="12"/>
  </r>
  <r>
    <x v="400"/>
    <x v="132"/>
    <x v="387"/>
    <x v="132"/>
    <x v="3"/>
    <x v="0"/>
    <x v="0"/>
    <x v="3"/>
    <x v="3"/>
    <x v="8"/>
    <x v="0"/>
    <x v="11"/>
    <x v="2"/>
    <x v="12"/>
    <x v="12"/>
  </r>
  <r>
    <x v="401"/>
    <x v="132"/>
    <x v="388"/>
    <x v="132"/>
    <x v="3"/>
    <x v="0"/>
    <x v="0"/>
    <x v="3"/>
    <x v="3"/>
    <x v="8"/>
    <x v="0"/>
    <x v="11"/>
    <x v="2"/>
    <x v="12"/>
    <x v="12"/>
  </r>
  <r>
    <x v="402"/>
    <x v="133"/>
    <x v="389"/>
    <x v="133"/>
    <x v="0"/>
    <x v="0"/>
    <x v="0"/>
    <x v="0"/>
    <x v="0"/>
    <x v="0"/>
    <x v="1"/>
    <x v="0"/>
    <x v="0"/>
    <x v="12"/>
    <x v="12"/>
  </r>
  <r>
    <x v="403"/>
    <x v="133"/>
    <x v="390"/>
    <x v="133"/>
    <x v="0"/>
    <x v="0"/>
    <x v="0"/>
    <x v="0"/>
    <x v="0"/>
    <x v="0"/>
    <x v="1"/>
    <x v="0"/>
    <x v="0"/>
    <x v="12"/>
    <x v="12"/>
  </r>
  <r>
    <x v="404"/>
    <x v="133"/>
    <x v="391"/>
    <x v="133"/>
    <x v="0"/>
    <x v="0"/>
    <x v="0"/>
    <x v="0"/>
    <x v="0"/>
    <x v="0"/>
    <x v="1"/>
    <x v="0"/>
    <x v="0"/>
    <x v="12"/>
    <x v="12"/>
  </r>
  <r>
    <x v="405"/>
    <x v="133"/>
    <x v="392"/>
    <x v="133"/>
    <x v="0"/>
    <x v="0"/>
    <x v="0"/>
    <x v="0"/>
    <x v="0"/>
    <x v="0"/>
    <x v="1"/>
    <x v="0"/>
    <x v="0"/>
    <x v="12"/>
    <x v="12"/>
  </r>
  <r>
    <x v="406"/>
    <x v="133"/>
    <x v="393"/>
    <x v="133"/>
    <x v="0"/>
    <x v="0"/>
    <x v="0"/>
    <x v="0"/>
    <x v="0"/>
    <x v="0"/>
    <x v="1"/>
    <x v="0"/>
    <x v="0"/>
    <x v="12"/>
    <x v="12"/>
  </r>
  <r>
    <x v="407"/>
    <x v="133"/>
    <x v="394"/>
    <x v="133"/>
    <x v="0"/>
    <x v="0"/>
    <x v="0"/>
    <x v="0"/>
    <x v="0"/>
    <x v="0"/>
    <x v="1"/>
    <x v="0"/>
    <x v="0"/>
    <x v="12"/>
    <x v="12"/>
  </r>
  <r>
    <x v="408"/>
    <x v="133"/>
    <x v="395"/>
    <x v="133"/>
    <x v="0"/>
    <x v="0"/>
    <x v="0"/>
    <x v="0"/>
    <x v="0"/>
    <x v="0"/>
    <x v="1"/>
    <x v="0"/>
    <x v="0"/>
    <x v="13"/>
    <x v="13"/>
  </r>
  <r>
    <x v="409"/>
    <x v="133"/>
    <x v="396"/>
    <x v="133"/>
    <x v="0"/>
    <x v="0"/>
    <x v="0"/>
    <x v="0"/>
    <x v="0"/>
    <x v="0"/>
    <x v="1"/>
    <x v="0"/>
    <x v="0"/>
    <x v="13"/>
    <x v="13"/>
  </r>
  <r>
    <x v="410"/>
    <x v="133"/>
    <x v="397"/>
    <x v="133"/>
    <x v="0"/>
    <x v="0"/>
    <x v="0"/>
    <x v="0"/>
    <x v="0"/>
    <x v="0"/>
    <x v="1"/>
    <x v="0"/>
    <x v="0"/>
    <x v="13"/>
    <x v="13"/>
  </r>
  <r>
    <x v="411"/>
    <x v="133"/>
    <x v="398"/>
    <x v="133"/>
    <x v="0"/>
    <x v="0"/>
    <x v="0"/>
    <x v="0"/>
    <x v="0"/>
    <x v="0"/>
    <x v="1"/>
    <x v="0"/>
    <x v="0"/>
    <x v="13"/>
    <x v="13"/>
  </r>
  <r>
    <x v="412"/>
    <x v="134"/>
    <x v="399"/>
    <x v="134"/>
    <x v="2"/>
    <x v="1"/>
    <x v="2"/>
    <x v="1"/>
    <x v="11"/>
    <x v="9"/>
    <x v="2"/>
    <x v="12"/>
    <x v="1"/>
    <x v="13"/>
    <x v="13"/>
  </r>
  <r>
    <x v="413"/>
    <x v="135"/>
    <x v="400"/>
    <x v="135"/>
    <x v="1"/>
    <x v="3"/>
    <x v="1"/>
    <x v="7"/>
    <x v="12"/>
    <x v="6"/>
    <x v="1"/>
    <x v="13"/>
    <x v="2"/>
    <x v="13"/>
    <x v="13"/>
  </r>
  <r>
    <x v="414"/>
    <x v="135"/>
    <x v="401"/>
    <x v="135"/>
    <x v="1"/>
    <x v="3"/>
    <x v="1"/>
    <x v="7"/>
    <x v="12"/>
    <x v="6"/>
    <x v="1"/>
    <x v="13"/>
    <x v="2"/>
    <x v="13"/>
    <x v="13"/>
  </r>
  <r>
    <x v="415"/>
    <x v="135"/>
    <x v="402"/>
    <x v="135"/>
    <x v="1"/>
    <x v="3"/>
    <x v="1"/>
    <x v="7"/>
    <x v="12"/>
    <x v="6"/>
    <x v="1"/>
    <x v="13"/>
    <x v="2"/>
    <x v="13"/>
    <x v="13"/>
  </r>
</pivotCacheRecords>
</file>

<file path=xl/pivotCache/pivotCacheRecords2.xml><?xml version="1.0" encoding="utf-8"?>
<pivotCacheRecords xmlns="http://schemas.openxmlformats.org/spreadsheetml/2006/main" count="416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0"/>
    <x v="0"/>
  </r>
  <r>
    <x v="2"/>
    <x v="1"/>
    <x v="2"/>
    <x v="1"/>
    <x v="1"/>
    <x v="1"/>
    <x v="0"/>
    <x v="1"/>
    <x v="1"/>
    <x v="1"/>
    <x v="1"/>
    <x v="1"/>
    <x v="1"/>
    <x v="0"/>
    <x v="0"/>
  </r>
  <r>
    <x v="3"/>
    <x v="1"/>
    <x v="3"/>
    <x v="1"/>
    <x v="1"/>
    <x v="1"/>
    <x v="0"/>
    <x v="1"/>
    <x v="1"/>
    <x v="1"/>
    <x v="1"/>
    <x v="1"/>
    <x v="1"/>
    <x v="0"/>
    <x v="0"/>
  </r>
  <r>
    <x v="4"/>
    <x v="2"/>
    <x v="4"/>
    <x v="2"/>
    <x v="0"/>
    <x v="2"/>
    <x v="1"/>
    <x v="2"/>
    <x v="2"/>
    <x v="2"/>
    <x v="0"/>
    <x v="2"/>
    <x v="0"/>
    <x v="0"/>
    <x v="0"/>
  </r>
  <r>
    <x v="5"/>
    <x v="2"/>
    <x v="5"/>
    <x v="2"/>
    <x v="0"/>
    <x v="2"/>
    <x v="1"/>
    <x v="2"/>
    <x v="2"/>
    <x v="2"/>
    <x v="0"/>
    <x v="2"/>
    <x v="0"/>
    <x v="0"/>
    <x v="0"/>
  </r>
  <r>
    <x v="6"/>
    <x v="3"/>
    <x v="6"/>
    <x v="3"/>
    <x v="1"/>
    <x v="2"/>
    <x v="0"/>
    <x v="3"/>
    <x v="3"/>
    <x v="3"/>
    <x v="1"/>
    <x v="3"/>
    <x v="1"/>
    <x v="0"/>
    <x v="0"/>
  </r>
  <r>
    <x v="7"/>
    <x v="3"/>
    <x v="7"/>
    <x v="3"/>
    <x v="1"/>
    <x v="2"/>
    <x v="0"/>
    <x v="3"/>
    <x v="3"/>
    <x v="3"/>
    <x v="1"/>
    <x v="3"/>
    <x v="1"/>
    <x v="0"/>
    <x v="0"/>
  </r>
  <r>
    <x v="8"/>
    <x v="3"/>
    <x v="8"/>
    <x v="3"/>
    <x v="1"/>
    <x v="2"/>
    <x v="0"/>
    <x v="3"/>
    <x v="3"/>
    <x v="3"/>
    <x v="1"/>
    <x v="3"/>
    <x v="1"/>
    <x v="0"/>
    <x v="0"/>
  </r>
  <r>
    <x v="9"/>
    <x v="3"/>
    <x v="9"/>
    <x v="3"/>
    <x v="1"/>
    <x v="2"/>
    <x v="0"/>
    <x v="3"/>
    <x v="3"/>
    <x v="3"/>
    <x v="1"/>
    <x v="3"/>
    <x v="1"/>
    <x v="0"/>
    <x v="0"/>
  </r>
  <r>
    <x v="10"/>
    <x v="4"/>
    <x v="10"/>
    <x v="4"/>
    <x v="0"/>
    <x v="0"/>
    <x v="0"/>
    <x v="4"/>
    <x v="4"/>
    <x v="4"/>
    <x v="1"/>
    <x v="4"/>
    <x v="0"/>
    <x v="0"/>
    <x v="0"/>
  </r>
  <r>
    <x v="11"/>
    <x v="4"/>
    <x v="11"/>
    <x v="4"/>
    <x v="0"/>
    <x v="0"/>
    <x v="0"/>
    <x v="4"/>
    <x v="4"/>
    <x v="4"/>
    <x v="1"/>
    <x v="4"/>
    <x v="0"/>
    <x v="0"/>
    <x v="0"/>
  </r>
  <r>
    <x v="12"/>
    <x v="5"/>
    <x v="12"/>
    <x v="5"/>
    <x v="2"/>
    <x v="1"/>
    <x v="2"/>
    <x v="5"/>
    <x v="5"/>
    <x v="5"/>
    <x v="2"/>
    <x v="5"/>
    <x v="1"/>
    <x v="0"/>
    <x v="0"/>
  </r>
  <r>
    <x v="13"/>
    <x v="5"/>
    <x v="13"/>
    <x v="5"/>
    <x v="2"/>
    <x v="1"/>
    <x v="2"/>
    <x v="5"/>
    <x v="5"/>
    <x v="5"/>
    <x v="2"/>
    <x v="5"/>
    <x v="1"/>
    <x v="0"/>
    <x v="0"/>
  </r>
  <r>
    <x v="14"/>
    <x v="5"/>
    <x v="14"/>
    <x v="5"/>
    <x v="2"/>
    <x v="1"/>
    <x v="2"/>
    <x v="5"/>
    <x v="5"/>
    <x v="5"/>
    <x v="2"/>
    <x v="5"/>
    <x v="1"/>
    <x v="0"/>
    <x v="0"/>
  </r>
  <r>
    <x v="15"/>
    <x v="5"/>
    <x v="15"/>
    <x v="5"/>
    <x v="2"/>
    <x v="1"/>
    <x v="2"/>
    <x v="5"/>
    <x v="5"/>
    <x v="5"/>
    <x v="2"/>
    <x v="5"/>
    <x v="1"/>
    <x v="0"/>
    <x v="0"/>
  </r>
  <r>
    <x v="16"/>
    <x v="6"/>
    <x v="15"/>
    <x v="6"/>
    <x v="1"/>
    <x v="3"/>
    <x v="1"/>
    <x v="3"/>
    <x v="6"/>
    <x v="6"/>
    <x v="1"/>
    <x v="0"/>
    <x v="2"/>
    <x v="0"/>
    <x v="0"/>
  </r>
  <r>
    <x v="17"/>
    <x v="7"/>
    <x v="16"/>
    <x v="7"/>
    <x v="1"/>
    <x v="2"/>
    <x v="0"/>
    <x v="1"/>
    <x v="1"/>
    <x v="3"/>
    <x v="1"/>
    <x v="6"/>
    <x v="0"/>
    <x v="0"/>
    <x v="0"/>
  </r>
  <r>
    <x v="18"/>
    <x v="7"/>
    <x v="17"/>
    <x v="7"/>
    <x v="1"/>
    <x v="2"/>
    <x v="0"/>
    <x v="1"/>
    <x v="1"/>
    <x v="3"/>
    <x v="1"/>
    <x v="6"/>
    <x v="0"/>
    <x v="0"/>
    <x v="0"/>
  </r>
  <r>
    <x v="19"/>
    <x v="8"/>
    <x v="18"/>
    <x v="8"/>
    <x v="0"/>
    <x v="0"/>
    <x v="0"/>
    <x v="4"/>
    <x v="4"/>
    <x v="4"/>
    <x v="0"/>
    <x v="4"/>
    <x v="1"/>
    <x v="0"/>
    <x v="0"/>
  </r>
  <r>
    <x v="20"/>
    <x v="8"/>
    <x v="19"/>
    <x v="8"/>
    <x v="0"/>
    <x v="0"/>
    <x v="0"/>
    <x v="4"/>
    <x v="4"/>
    <x v="4"/>
    <x v="0"/>
    <x v="4"/>
    <x v="1"/>
    <x v="0"/>
    <x v="0"/>
  </r>
  <r>
    <x v="21"/>
    <x v="8"/>
    <x v="20"/>
    <x v="8"/>
    <x v="0"/>
    <x v="0"/>
    <x v="0"/>
    <x v="4"/>
    <x v="4"/>
    <x v="4"/>
    <x v="0"/>
    <x v="4"/>
    <x v="1"/>
    <x v="0"/>
    <x v="0"/>
  </r>
  <r>
    <x v="22"/>
    <x v="8"/>
    <x v="21"/>
    <x v="8"/>
    <x v="0"/>
    <x v="0"/>
    <x v="0"/>
    <x v="4"/>
    <x v="4"/>
    <x v="4"/>
    <x v="0"/>
    <x v="4"/>
    <x v="1"/>
    <x v="0"/>
    <x v="0"/>
  </r>
  <r>
    <x v="23"/>
    <x v="8"/>
    <x v="22"/>
    <x v="8"/>
    <x v="0"/>
    <x v="0"/>
    <x v="0"/>
    <x v="4"/>
    <x v="4"/>
    <x v="4"/>
    <x v="0"/>
    <x v="4"/>
    <x v="1"/>
    <x v="0"/>
    <x v="0"/>
  </r>
  <r>
    <x v="24"/>
    <x v="9"/>
    <x v="23"/>
    <x v="9"/>
    <x v="1"/>
    <x v="1"/>
    <x v="0"/>
    <x v="6"/>
    <x v="7"/>
    <x v="1"/>
    <x v="1"/>
    <x v="7"/>
    <x v="2"/>
    <x v="0"/>
    <x v="0"/>
  </r>
  <r>
    <x v="25"/>
    <x v="10"/>
    <x v="24"/>
    <x v="10"/>
    <x v="2"/>
    <x v="1"/>
    <x v="2"/>
    <x v="3"/>
    <x v="8"/>
    <x v="7"/>
    <x v="2"/>
    <x v="8"/>
    <x v="0"/>
    <x v="0"/>
    <x v="0"/>
  </r>
  <r>
    <x v="26"/>
    <x v="10"/>
    <x v="25"/>
    <x v="10"/>
    <x v="2"/>
    <x v="1"/>
    <x v="2"/>
    <x v="3"/>
    <x v="8"/>
    <x v="7"/>
    <x v="2"/>
    <x v="8"/>
    <x v="0"/>
    <x v="0"/>
    <x v="0"/>
  </r>
  <r>
    <x v="27"/>
    <x v="11"/>
    <x v="26"/>
    <x v="11"/>
    <x v="0"/>
    <x v="2"/>
    <x v="1"/>
    <x v="5"/>
    <x v="9"/>
    <x v="7"/>
    <x v="0"/>
    <x v="9"/>
    <x v="1"/>
    <x v="0"/>
    <x v="0"/>
  </r>
  <r>
    <x v="28"/>
    <x v="11"/>
    <x v="27"/>
    <x v="11"/>
    <x v="0"/>
    <x v="2"/>
    <x v="1"/>
    <x v="5"/>
    <x v="9"/>
    <x v="7"/>
    <x v="0"/>
    <x v="9"/>
    <x v="1"/>
    <x v="0"/>
    <x v="0"/>
  </r>
  <r>
    <x v="29"/>
    <x v="11"/>
    <x v="28"/>
    <x v="11"/>
    <x v="0"/>
    <x v="2"/>
    <x v="1"/>
    <x v="5"/>
    <x v="9"/>
    <x v="7"/>
    <x v="0"/>
    <x v="9"/>
    <x v="1"/>
    <x v="0"/>
    <x v="0"/>
  </r>
  <r>
    <x v="30"/>
    <x v="11"/>
    <x v="29"/>
    <x v="11"/>
    <x v="0"/>
    <x v="2"/>
    <x v="1"/>
    <x v="5"/>
    <x v="9"/>
    <x v="7"/>
    <x v="0"/>
    <x v="9"/>
    <x v="1"/>
    <x v="0"/>
    <x v="0"/>
  </r>
  <r>
    <x v="31"/>
    <x v="11"/>
    <x v="30"/>
    <x v="11"/>
    <x v="0"/>
    <x v="2"/>
    <x v="1"/>
    <x v="5"/>
    <x v="9"/>
    <x v="7"/>
    <x v="0"/>
    <x v="9"/>
    <x v="1"/>
    <x v="1"/>
    <x v="1"/>
  </r>
  <r>
    <x v="32"/>
    <x v="11"/>
    <x v="31"/>
    <x v="11"/>
    <x v="0"/>
    <x v="2"/>
    <x v="1"/>
    <x v="5"/>
    <x v="9"/>
    <x v="7"/>
    <x v="0"/>
    <x v="9"/>
    <x v="1"/>
    <x v="1"/>
    <x v="1"/>
  </r>
  <r>
    <x v="33"/>
    <x v="11"/>
    <x v="32"/>
    <x v="11"/>
    <x v="0"/>
    <x v="2"/>
    <x v="1"/>
    <x v="5"/>
    <x v="9"/>
    <x v="7"/>
    <x v="0"/>
    <x v="9"/>
    <x v="1"/>
    <x v="1"/>
    <x v="1"/>
  </r>
  <r>
    <x v="34"/>
    <x v="12"/>
    <x v="33"/>
    <x v="12"/>
    <x v="1"/>
    <x v="2"/>
    <x v="0"/>
    <x v="7"/>
    <x v="10"/>
    <x v="3"/>
    <x v="1"/>
    <x v="10"/>
    <x v="2"/>
    <x v="1"/>
    <x v="1"/>
  </r>
  <r>
    <x v="35"/>
    <x v="13"/>
    <x v="34"/>
    <x v="13"/>
    <x v="3"/>
    <x v="0"/>
    <x v="0"/>
    <x v="3"/>
    <x v="3"/>
    <x v="8"/>
    <x v="0"/>
    <x v="11"/>
    <x v="0"/>
    <x v="1"/>
    <x v="1"/>
  </r>
  <r>
    <x v="36"/>
    <x v="13"/>
    <x v="35"/>
    <x v="13"/>
    <x v="3"/>
    <x v="0"/>
    <x v="0"/>
    <x v="3"/>
    <x v="3"/>
    <x v="8"/>
    <x v="0"/>
    <x v="11"/>
    <x v="0"/>
    <x v="1"/>
    <x v="1"/>
  </r>
  <r>
    <x v="37"/>
    <x v="13"/>
    <x v="36"/>
    <x v="13"/>
    <x v="3"/>
    <x v="0"/>
    <x v="0"/>
    <x v="3"/>
    <x v="3"/>
    <x v="8"/>
    <x v="0"/>
    <x v="11"/>
    <x v="0"/>
    <x v="1"/>
    <x v="1"/>
  </r>
  <r>
    <x v="38"/>
    <x v="14"/>
    <x v="37"/>
    <x v="14"/>
    <x v="0"/>
    <x v="0"/>
    <x v="0"/>
    <x v="0"/>
    <x v="0"/>
    <x v="0"/>
    <x v="1"/>
    <x v="0"/>
    <x v="1"/>
    <x v="1"/>
    <x v="1"/>
  </r>
  <r>
    <x v="39"/>
    <x v="14"/>
    <x v="38"/>
    <x v="14"/>
    <x v="0"/>
    <x v="0"/>
    <x v="0"/>
    <x v="0"/>
    <x v="0"/>
    <x v="0"/>
    <x v="1"/>
    <x v="0"/>
    <x v="1"/>
    <x v="1"/>
    <x v="1"/>
  </r>
  <r>
    <x v="40"/>
    <x v="14"/>
    <x v="39"/>
    <x v="14"/>
    <x v="0"/>
    <x v="0"/>
    <x v="0"/>
    <x v="0"/>
    <x v="0"/>
    <x v="0"/>
    <x v="1"/>
    <x v="0"/>
    <x v="1"/>
    <x v="1"/>
    <x v="1"/>
  </r>
  <r>
    <x v="41"/>
    <x v="14"/>
    <x v="40"/>
    <x v="14"/>
    <x v="0"/>
    <x v="0"/>
    <x v="0"/>
    <x v="0"/>
    <x v="0"/>
    <x v="0"/>
    <x v="1"/>
    <x v="0"/>
    <x v="1"/>
    <x v="1"/>
    <x v="1"/>
  </r>
  <r>
    <x v="42"/>
    <x v="14"/>
    <x v="41"/>
    <x v="14"/>
    <x v="0"/>
    <x v="0"/>
    <x v="0"/>
    <x v="0"/>
    <x v="0"/>
    <x v="0"/>
    <x v="1"/>
    <x v="0"/>
    <x v="1"/>
    <x v="1"/>
    <x v="1"/>
  </r>
  <r>
    <x v="43"/>
    <x v="14"/>
    <x v="42"/>
    <x v="14"/>
    <x v="0"/>
    <x v="0"/>
    <x v="0"/>
    <x v="0"/>
    <x v="0"/>
    <x v="0"/>
    <x v="1"/>
    <x v="0"/>
    <x v="1"/>
    <x v="1"/>
    <x v="1"/>
  </r>
  <r>
    <x v="44"/>
    <x v="14"/>
    <x v="43"/>
    <x v="14"/>
    <x v="0"/>
    <x v="0"/>
    <x v="0"/>
    <x v="0"/>
    <x v="0"/>
    <x v="0"/>
    <x v="1"/>
    <x v="0"/>
    <x v="1"/>
    <x v="1"/>
    <x v="1"/>
  </r>
  <r>
    <x v="45"/>
    <x v="14"/>
    <x v="44"/>
    <x v="14"/>
    <x v="0"/>
    <x v="0"/>
    <x v="0"/>
    <x v="0"/>
    <x v="0"/>
    <x v="0"/>
    <x v="1"/>
    <x v="0"/>
    <x v="1"/>
    <x v="1"/>
    <x v="1"/>
  </r>
  <r>
    <x v="46"/>
    <x v="14"/>
    <x v="45"/>
    <x v="14"/>
    <x v="0"/>
    <x v="0"/>
    <x v="0"/>
    <x v="0"/>
    <x v="0"/>
    <x v="0"/>
    <x v="1"/>
    <x v="0"/>
    <x v="1"/>
    <x v="1"/>
    <x v="1"/>
  </r>
  <r>
    <x v="47"/>
    <x v="14"/>
    <x v="46"/>
    <x v="14"/>
    <x v="0"/>
    <x v="0"/>
    <x v="0"/>
    <x v="0"/>
    <x v="0"/>
    <x v="0"/>
    <x v="1"/>
    <x v="0"/>
    <x v="1"/>
    <x v="1"/>
    <x v="1"/>
  </r>
  <r>
    <x v="48"/>
    <x v="15"/>
    <x v="46"/>
    <x v="15"/>
    <x v="2"/>
    <x v="1"/>
    <x v="2"/>
    <x v="1"/>
    <x v="11"/>
    <x v="9"/>
    <x v="2"/>
    <x v="12"/>
    <x v="2"/>
    <x v="1"/>
    <x v="1"/>
  </r>
  <r>
    <x v="49"/>
    <x v="16"/>
    <x v="47"/>
    <x v="16"/>
    <x v="1"/>
    <x v="3"/>
    <x v="1"/>
    <x v="7"/>
    <x v="12"/>
    <x v="6"/>
    <x v="1"/>
    <x v="13"/>
    <x v="0"/>
    <x v="1"/>
    <x v="1"/>
  </r>
  <r>
    <x v="50"/>
    <x v="16"/>
    <x v="48"/>
    <x v="16"/>
    <x v="1"/>
    <x v="3"/>
    <x v="1"/>
    <x v="7"/>
    <x v="12"/>
    <x v="6"/>
    <x v="1"/>
    <x v="13"/>
    <x v="0"/>
    <x v="1"/>
    <x v="1"/>
  </r>
  <r>
    <x v="51"/>
    <x v="16"/>
    <x v="49"/>
    <x v="16"/>
    <x v="1"/>
    <x v="3"/>
    <x v="1"/>
    <x v="7"/>
    <x v="12"/>
    <x v="6"/>
    <x v="1"/>
    <x v="13"/>
    <x v="0"/>
    <x v="1"/>
    <x v="1"/>
  </r>
  <r>
    <x v="52"/>
    <x v="17"/>
    <x v="50"/>
    <x v="17"/>
    <x v="0"/>
    <x v="0"/>
    <x v="0"/>
    <x v="0"/>
    <x v="0"/>
    <x v="0"/>
    <x v="0"/>
    <x v="0"/>
    <x v="2"/>
    <x v="1"/>
    <x v="1"/>
  </r>
  <r>
    <x v="53"/>
    <x v="18"/>
    <x v="51"/>
    <x v="18"/>
    <x v="1"/>
    <x v="1"/>
    <x v="0"/>
    <x v="1"/>
    <x v="1"/>
    <x v="1"/>
    <x v="1"/>
    <x v="1"/>
    <x v="0"/>
    <x v="1"/>
    <x v="1"/>
  </r>
  <r>
    <x v="54"/>
    <x v="18"/>
    <x v="52"/>
    <x v="18"/>
    <x v="1"/>
    <x v="1"/>
    <x v="0"/>
    <x v="1"/>
    <x v="1"/>
    <x v="1"/>
    <x v="1"/>
    <x v="1"/>
    <x v="0"/>
    <x v="1"/>
    <x v="1"/>
  </r>
  <r>
    <x v="55"/>
    <x v="18"/>
    <x v="53"/>
    <x v="18"/>
    <x v="1"/>
    <x v="1"/>
    <x v="0"/>
    <x v="1"/>
    <x v="1"/>
    <x v="1"/>
    <x v="1"/>
    <x v="1"/>
    <x v="0"/>
    <x v="1"/>
    <x v="1"/>
  </r>
  <r>
    <x v="56"/>
    <x v="19"/>
    <x v="54"/>
    <x v="19"/>
    <x v="0"/>
    <x v="2"/>
    <x v="1"/>
    <x v="2"/>
    <x v="2"/>
    <x v="2"/>
    <x v="0"/>
    <x v="2"/>
    <x v="2"/>
    <x v="1"/>
    <x v="1"/>
  </r>
  <r>
    <x v="57"/>
    <x v="19"/>
    <x v="55"/>
    <x v="19"/>
    <x v="0"/>
    <x v="2"/>
    <x v="1"/>
    <x v="2"/>
    <x v="2"/>
    <x v="2"/>
    <x v="0"/>
    <x v="2"/>
    <x v="2"/>
    <x v="1"/>
    <x v="1"/>
  </r>
  <r>
    <x v="58"/>
    <x v="20"/>
    <x v="56"/>
    <x v="20"/>
    <x v="1"/>
    <x v="2"/>
    <x v="0"/>
    <x v="3"/>
    <x v="3"/>
    <x v="3"/>
    <x v="1"/>
    <x v="3"/>
    <x v="0"/>
    <x v="1"/>
    <x v="1"/>
  </r>
  <r>
    <x v="59"/>
    <x v="20"/>
    <x v="57"/>
    <x v="20"/>
    <x v="1"/>
    <x v="2"/>
    <x v="0"/>
    <x v="3"/>
    <x v="3"/>
    <x v="3"/>
    <x v="1"/>
    <x v="3"/>
    <x v="0"/>
    <x v="1"/>
    <x v="1"/>
  </r>
  <r>
    <x v="60"/>
    <x v="20"/>
    <x v="58"/>
    <x v="20"/>
    <x v="1"/>
    <x v="2"/>
    <x v="0"/>
    <x v="3"/>
    <x v="3"/>
    <x v="3"/>
    <x v="1"/>
    <x v="3"/>
    <x v="0"/>
    <x v="1"/>
    <x v="1"/>
  </r>
  <r>
    <x v="61"/>
    <x v="20"/>
    <x v="59"/>
    <x v="20"/>
    <x v="1"/>
    <x v="2"/>
    <x v="0"/>
    <x v="3"/>
    <x v="3"/>
    <x v="3"/>
    <x v="1"/>
    <x v="3"/>
    <x v="0"/>
    <x v="1"/>
    <x v="1"/>
  </r>
  <r>
    <x v="62"/>
    <x v="21"/>
    <x v="60"/>
    <x v="21"/>
    <x v="0"/>
    <x v="0"/>
    <x v="0"/>
    <x v="4"/>
    <x v="4"/>
    <x v="4"/>
    <x v="1"/>
    <x v="4"/>
    <x v="2"/>
    <x v="1"/>
    <x v="1"/>
  </r>
  <r>
    <x v="63"/>
    <x v="21"/>
    <x v="61"/>
    <x v="21"/>
    <x v="0"/>
    <x v="0"/>
    <x v="0"/>
    <x v="4"/>
    <x v="4"/>
    <x v="4"/>
    <x v="1"/>
    <x v="4"/>
    <x v="2"/>
    <x v="2"/>
    <x v="2"/>
  </r>
  <r>
    <x v="64"/>
    <x v="22"/>
    <x v="62"/>
    <x v="22"/>
    <x v="2"/>
    <x v="1"/>
    <x v="2"/>
    <x v="5"/>
    <x v="5"/>
    <x v="5"/>
    <x v="2"/>
    <x v="5"/>
    <x v="0"/>
    <x v="2"/>
    <x v="2"/>
  </r>
  <r>
    <x v="65"/>
    <x v="22"/>
    <x v="63"/>
    <x v="22"/>
    <x v="2"/>
    <x v="1"/>
    <x v="2"/>
    <x v="5"/>
    <x v="5"/>
    <x v="5"/>
    <x v="2"/>
    <x v="5"/>
    <x v="0"/>
    <x v="2"/>
    <x v="2"/>
  </r>
  <r>
    <x v="66"/>
    <x v="22"/>
    <x v="64"/>
    <x v="22"/>
    <x v="2"/>
    <x v="1"/>
    <x v="2"/>
    <x v="5"/>
    <x v="5"/>
    <x v="5"/>
    <x v="2"/>
    <x v="5"/>
    <x v="0"/>
    <x v="2"/>
    <x v="2"/>
  </r>
  <r>
    <x v="67"/>
    <x v="22"/>
    <x v="65"/>
    <x v="22"/>
    <x v="2"/>
    <x v="1"/>
    <x v="2"/>
    <x v="5"/>
    <x v="5"/>
    <x v="5"/>
    <x v="2"/>
    <x v="5"/>
    <x v="0"/>
    <x v="2"/>
    <x v="2"/>
  </r>
  <r>
    <x v="68"/>
    <x v="23"/>
    <x v="66"/>
    <x v="23"/>
    <x v="1"/>
    <x v="3"/>
    <x v="1"/>
    <x v="3"/>
    <x v="6"/>
    <x v="6"/>
    <x v="1"/>
    <x v="0"/>
    <x v="1"/>
    <x v="2"/>
    <x v="2"/>
  </r>
  <r>
    <x v="69"/>
    <x v="24"/>
    <x v="67"/>
    <x v="24"/>
    <x v="1"/>
    <x v="2"/>
    <x v="0"/>
    <x v="1"/>
    <x v="1"/>
    <x v="3"/>
    <x v="1"/>
    <x v="6"/>
    <x v="2"/>
    <x v="2"/>
    <x v="2"/>
  </r>
  <r>
    <x v="70"/>
    <x v="24"/>
    <x v="68"/>
    <x v="24"/>
    <x v="1"/>
    <x v="2"/>
    <x v="0"/>
    <x v="1"/>
    <x v="1"/>
    <x v="3"/>
    <x v="1"/>
    <x v="6"/>
    <x v="2"/>
    <x v="2"/>
    <x v="2"/>
  </r>
  <r>
    <x v="71"/>
    <x v="25"/>
    <x v="69"/>
    <x v="25"/>
    <x v="0"/>
    <x v="0"/>
    <x v="0"/>
    <x v="4"/>
    <x v="4"/>
    <x v="4"/>
    <x v="0"/>
    <x v="4"/>
    <x v="0"/>
    <x v="2"/>
    <x v="2"/>
  </r>
  <r>
    <x v="72"/>
    <x v="25"/>
    <x v="70"/>
    <x v="25"/>
    <x v="0"/>
    <x v="0"/>
    <x v="0"/>
    <x v="4"/>
    <x v="4"/>
    <x v="4"/>
    <x v="0"/>
    <x v="4"/>
    <x v="0"/>
    <x v="2"/>
    <x v="2"/>
  </r>
  <r>
    <x v="73"/>
    <x v="25"/>
    <x v="71"/>
    <x v="25"/>
    <x v="0"/>
    <x v="0"/>
    <x v="0"/>
    <x v="4"/>
    <x v="4"/>
    <x v="4"/>
    <x v="0"/>
    <x v="4"/>
    <x v="0"/>
    <x v="2"/>
    <x v="2"/>
  </r>
  <r>
    <x v="74"/>
    <x v="25"/>
    <x v="72"/>
    <x v="25"/>
    <x v="0"/>
    <x v="0"/>
    <x v="0"/>
    <x v="4"/>
    <x v="4"/>
    <x v="4"/>
    <x v="0"/>
    <x v="4"/>
    <x v="0"/>
    <x v="2"/>
    <x v="2"/>
  </r>
  <r>
    <x v="75"/>
    <x v="25"/>
    <x v="73"/>
    <x v="25"/>
    <x v="0"/>
    <x v="0"/>
    <x v="0"/>
    <x v="4"/>
    <x v="4"/>
    <x v="4"/>
    <x v="0"/>
    <x v="4"/>
    <x v="0"/>
    <x v="2"/>
    <x v="2"/>
  </r>
  <r>
    <x v="76"/>
    <x v="26"/>
    <x v="74"/>
    <x v="26"/>
    <x v="1"/>
    <x v="1"/>
    <x v="0"/>
    <x v="6"/>
    <x v="7"/>
    <x v="1"/>
    <x v="1"/>
    <x v="7"/>
    <x v="1"/>
    <x v="2"/>
    <x v="2"/>
  </r>
  <r>
    <x v="77"/>
    <x v="27"/>
    <x v="75"/>
    <x v="27"/>
    <x v="2"/>
    <x v="1"/>
    <x v="2"/>
    <x v="3"/>
    <x v="8"/>
    <x v="7"/>
    <x v="2"/>
    <x v="8"/>
    <x v="2"/>
    <x v="2"/>
    <x v="2"/>
  </r>
  <r>
    <x v="78"/>
    <x v="27"/>
    <x v="76"/>
    <x v="27"/>
    <x v="2"/>
    <x v="1"/>
    <x v="2"/>
    <x v="3"/>
    <x v="8"/>
    <x v="7"/>
    <x v="2"/>
    <x v="8"/>
    <x v="2"/>
    <x v="2"/>
    <x v="2"/>
  </r>
  <r>
    <x v="79"/>
    <x v="28"/>
    <x v="77"/>
    <x v="28"/>
    <x v="0"/>
    <x v="2"/>
    <x v="1"/>
    <x v="5"/>
    <x v="9"/>
    <x v="7"/>
    <x v="0"/>
    <x v="9"/>
    <x v="0"/>
    <x v="2"/>
    <x v="2"/>
  </r>
  <r>
    <x v="80"/>
    <x v="28"/>
    <x v="77"/>
    <x v="28"/>
    <x v="0"/>
    <x v="2"/>
    <x v="1"/>
    <x v="5"/>
    <x v="9"/>
    <x v="7"/>
    <x v="0"/>
    <x v="9"/>
    <x v="0"/>
    <x v="2"/>
    <x v="2"/>
  </r>
  <r>
    <x v="81"/>
    <x v="28"/>
    <x v="78"/>
    <x v="28"/>
    <x v="0"/>
    <x v="2"/>
    <x v="1"/>
    <x v="5"/>
    <x v="9"/>
    <x v="7"/>
    <x v="0"/>
    <x v="9"/>
    <x v="0"/>
    <x v="2"/>
    <x v="2"/>
  </r>
  <r>
    <x v="82"/>
    <x v="28"/>
    <x v="79"/>
    <x v="28"/>
    <x v="0"/>
    <x v="2"/>
    <x v="1"/>
    <x v="5"/>
    <x v="9"/>
    <x v="7"/>
    <x v="0"/>
    <x v="9"/>
    <x v="0"/>
    <x v="2"/>
    <x v="2"/>
  </r>
  <r>
    <x v="83"/>
    <x v="28"/>
    <x v="80"/>
    <x v="28"/>
    <x v="0"/>
    <x v="2"/>
    <x v="1"/>
    <x v="5"/>
    <x v="9"/>
    <x v="7"/>
    <x v="0"/>
    <x v="9"/>
    <x v="0"/>
    <x v="2"/>
    <x v="2"/>
  </r>
  <r>
    <x v="84"/>
    <x v="28"/>
    <x v="81"/>
    <x v="28"/>
    <x v="0"/>
    <x v="2"/>
    <x v="1"/>
    <x v="5"/>
    <x v="9"/>
    <x v="7"/>
    <x v="0"/>
    <x v="9"/>
    <x v="0"/>
    <x v="2"/>
    <x v="2"/>
  </r>
  <r>
    <x v="85"/>
    <x v="28"/>
    <x v="82"/>
    <x v="28"/>
    <x v="0"/>
    <x v="2"/>
    <x v="1"/>
    <x v="5"/>
    <x v="9"/>
    <x v="7"/>
    <x v="0"/>
    <x v="9"/>
    <x v="0"/>
    <x v="2"/>
    <x v="2"/>
  </r>
  <r>
    <x v="86"/>
    <x v="29"/>
    <x v="83"/>
    <x v="29"/>
    <x v="1"/>
    <x v="2"/>
    <x v="0"/>
    <x v="7"/>
    <x v="10"/>
    <x v="3"/>
    <x v="1"/>
    <x v="10"/>
    <x v="1"/>
    <x v="2"/>
    <x v="2"/>
  </r>
  <r>
    <x v="87"/>
    <x v="30"/>
    <x v="84"/>
    <x v="30"/>
    <x v="3"/>
    <x v="0"/>
    <x v="0"/>
    <x v="3"/>
    <x v="3"/>
    <x v="8"/>
    <x v="0"/>
    <x v="11"/>
    <x v="2"/>
    <x v="2"/>
    <x v="2"/>
  </r>
  <r>
    <x v="88"/>
    <x v="30"/>
    <x v="85"/>
    <x v="30"/>
    <x v="3"/>
    <x v="0"/>
    <x v="0"/>
    <x v="3"/>
    <x v="3"/>
    <x v="8"/>
    <x v="0"/>
    <x v="11"/>
    <x v="2"/>
    <x v="2"/>
    <x v="2"/>
  </r>
  <r>
    <x v="89"/>
    <x v="30"/>
    <x v="86"/>
    <x v="30"/>
    <x v="3"/>
    <x v="0"/>
    <x v="0"/>
    <x v="3"/>
    <x v="3"/>
    <x v="8"/>
    <x v="0"/>
    <x v="11"/>
    <x v="2"/>
    <x v="2"/>
    <x v="2"/>
  </r>
  <r>
    <x v="90"/>
    <x v="31"/>
    <x v="87"/>
    <x v="31"/>
    <x v="0"/>
    <x v="0"/>
    <x v="0"/>
    <x v="0"/>
    <x v="0"/>
    <x v="0"/>
    <x v="1"/>
    <x v="0"/>
    <x v="0"/>
    <x v="2"/>
    <x v="2"/>
  </r>
  <r>
    <x v="91"/>
    <x v="31"/>
    <x v="88"/>
    <x v="31"/>
    <x v="0"/>
    <x v="0"/>
    <x v="0"/>
    <x v="0"/>
    <x v="0"/>
    <x v="0"/>
    <x v="1"/>
    <x v="0"/>
    <x v="0"/>
    <x v="2"/>
    <x v="2"/>
  </r>
  <r>
    <x v="92"/>
    <x v="31"/>
    <x v="89"/>
    <x v="31"/>
    <x v="0"/>
    <x v="0"/>
    <x v="0"/>
    <x v="0"/>
    <x v="0"/>
    <x v="0"/>
    <x v="1"/>
    <x v="0"/>
    <x v="0"/>
    <x v="2"/>
    <x v="2"/>
  </r>
  <r>
    <x v="93"/>
    <x v="31"/>
    <x v="90"/>
    <x v="31"/>
    <x v="0"/>
    <x v="0"/>
    <x v="0"/>
    <x v="0"/>
    <x v="0"/>
    <x v="0"/>
    <x v="1"/>
    <x v="0"/>
    <x v="0"/>
    <x v="2"/>
    <x v="2"/>
  </r>
  <r>
    <x v="94"/>
    <x v="31"/>
    <x v="91"/>
    <x v="31"/>
    <x v="0"/>
    <x v="0"/>
    <x v="0"/>
    <x v="0"/>
    <x v="0"/>
    <x v="0"/>
    <x v="1"/>
    <x v="0"/>
    <x v="0"/>
    <x v="3"/>
    <x v="3"/>
  </r>
  <r>
    <x v="95"/>
    <x v="31"/>
    <x v="92"/>
    <x v="31"/>
    <x v="0"/>
    <x v="0"/>
    <x v="0"/>
    <x v="0"/>
    <x v="0"/>
    <x v="0"/>
    <x v="1"/>
    <x v="0"/>
    <x v="0"/>
    <x v="3"/>
    <x v="3"/>
  </r>
  <r>
    <x v="96"/>
    <x v="31"/>
    <x v="93"/>
    <x v="31"/>
    <x v="0"/>
    <x v="0"/>
    <x v="0"/>
    <x v="0"/>
    <x v="0"/>
    <x v="0"/>
    <x v="1"/>
    <x v="0"/>
    <x v="0"/>
    <x v="3"/>
    <x v="3"/>
  </r>
  <r>
    <x v="97"/>
    <x v="31"/>
    <x v="94"/>
    <x v="31"/>
    <x v="0"/>
    <x v="0"/>
    <x v="0"/>
    <x v="0"/>
    <x v="0"/>
    <x v="0"/>
    <x v="1"/>
    <x v="0"/>
    <x v="0"/>
    <x v="3"/>
    <x v="3"/>
  </r>
  <r>
    <x v="98"/>
    <x v="31"/>
    <x v="95"/>
    <x v="31"/>
    <x v="0"/>
    <x v="0"/>
    <x v="0"/>
    <x v="0"/>
    <x v="0"/>
    <x v="0"/>
    <x v="1"/>
    <x v="0"/>
    <x v="0"/>
    <x v="3"/>
    <x v="3"/>
  </r>
  <r>
    <x v="99"/>
    <x v="31"/>
    <x v="96"/>
    <x v="31"/>
    <x v="0"/>
    <x v="0"/>
    <x v="0"/>
    <x v="0"/>
    <x v="0"/>
    <x v="0"/>
    <x v="1"/>
    <x v="0"/>
    <x v="0"/>
    <x v="3"/>
    <x v="3"/>
  </r>
  <r>
    <x v="100"/>
    <x v="32"/>
    <x v="97"/>
    <x v="32"/>
    <x v="2"/>
    <x v="1"/>
    <x v="2"/>
    <x v="1"/>
    <x v="11"/>
    <x v="9"/>
    <x v="2"/>
    <x v="12"/>
    <x v="1"/>
    <x v="3"/>
    <x v="3"/>
  </r>
  <r>
    <x v="101"/>
    <x v="33"/>
    <x v="98"/>
    <x v="33"/>
    <x v="1"/>
    <x v="3"/>
    <x v="1"/>
    <x v="7"/>
    <x v="12"/>
    <x v="6"/>
    <x v="1"/>
    <x v="13"/>
    <x v="2"/>
    <x v="3"/>
    <x v="3"/>
  </r>
  <r>
    <x v="102"/>
    <x v="33"/>
    <x v="99"/>
    <x v="33"/>
    <x v="1"/>
    <x v="3"/>
    <x v="1"/>
    <x v="7"/>
    <x v="12"/>
    <x v="6"/>
    <x v="1"/>
    <x v="13"/>
    <x v="2"/>
    <x v="3"/>
    <x v="3"/>
  </r>
  <r>
    <x v="103"/>
    <x v="33"/>
    <x v="100"/>
    <x v="33"/>
    <x v="1"/>
    <x v="3"/>
    <x v="1"/>
    <x v="7"/>
    <x v="12"/>
    <x v="6"/>
    <x v="1"/>
    <x v="13"/>
    <x v="2"/>
    <x v="3"/>
    <x v="3"/>
  </r>
  <r>
    <x v="104"/>
    <x v="34"/>
    <x v="101"/>
    <x v="34"/>
    <x v="0"/>
    <x v="0"/>
    <x v="0"/>
    <x v="0"/>
    <x v="0"/>
    <x v="0"/>
    <x v="0"/>
    <x v="0"/>
    <x v="1"/>
    <x v="3"/>
    <x v="3"/>
  </r>
  <r>
    <x v="105"/>
    <x v="35"/>
    <x v="102"/>
    <x v="35"/>
    <x v="1"/>
    <x v="1"/>
    <x v="0"/>
    <x v="1"/>
    <x v="1"/>
    <x v="1"/>
    <x v="1"/>
    <x v="1"/>
    <x v="2"/>
    <x v="3"/>
    <x v="3"/>
  </r>
  <r>
    <x v="106"/>
    <x v="35"/>
    <x v="103"/>
    <x v="35"/>
    <x v="1"/>
    <x v="1"/>
    <x v="0"/>
    <x v="1"/>
    <x v="1"/>
    <x v="1"/>
    <x v="1"/>
    <x v="1"/>
    <x v="2"/>
    <x v="3"/>
    <x v="3"/>
  </r>
  <r>
    <x v="107"/>
    <x v="35"/>
    <x v="104"/>
    <x v="35"/>
    <x v="1"/>
    <x v="1"/>
    <x v="0"/>
    <x v="1"/>
    <x v="1"/>
    <x v="1"/>
    <x v="1"/>
    <x v="1"/>
    <x v="2"/>
    <x v="3"/>
    <x v="3"/>
  </r>
  <r>
    <x v="108"/>
    <x v="36"/>
    <x v="105"/>
    <x v="36"/>
    <x v="0"/>
    <x v="2"/>
    <x v="1"/>
    <x v="2"/>
    <x v="2"/>
    <x v="2"/>
    <x v="0"/>
    <x v="2"/>
    <x v="1"/>
    <x v="3"/>
    <x v="3"/>
  </r>
  <r>
    <x v="109"/>
    <x v="36"/>
    <x v="106"/>
    <x v="36"/>
    <x v="0"/>
    <x v="2"/>
    <x v="1"/>
    <x v="2"/>
    <x v="2"/>
    <x v="2"/>
    <x v="0"/>
    <x v="2"/>
    <x v="1"/>
    <x v="3"/>
    <x v="3"/>
  </r>
  <r>
    <x v="110"/>
    <x v="37"/>
    <x v="107"/>
    <x v="37"/>
    <x v="1"/>
    <x v="2"/>
    <x v="0"/>
    <x v="3"/>
    <x v="3"/>
    <x v="3"/>
    <x v="1"/>
    <x v="3"/>
    <x v="2"/>
    <x v="3"/>
    <x v="3"/>
  </r>
  <r>
    <x v="111"/>
    <x v="37"/>
    <x v="108"/>
    <x v="37"/>
    <x v="1"/>
    <x v="2"/>
    <x v="0"/>
    <x v="3"/>
    <x v="3"/>
    <x v="3"/>
    <x v="1"/>
    <x v="3"/>
    <x v="2"/>
    <x v="3"/>
    <x v="3"/>
  </r>
  <r>
    <x v="112"/>
    <x v="37"/>
    <x v="108"/>
    <x v="37"/>
    <x v="1"/>
    <x v="2"/>
    <x v="0"/>
    <x v="3"/>
    <x v="3"/>
    <x v="3"/>
    <x v="1"/>
    <x v="3"/>
    <x v="2"/>
    <x v="3"/>
    <x v="3"/>
  </r>
  <r>
    <x v="113"/>
    <x v="37"/>
    <x v="109"/>
    <x v="37"/>
    <x v="1"/>
    <x v="2"/>
    <x v="0"/>
    <x v="3"/>
    <x v="3"/>
    <x v="3"/>
    <x v="1"/>
    <x v="3"/>
    <x v="2"/>
    <x v="3"/>
    <x v="3"/>
  </r>
  <r>
    <x v="114"/>
    <x v="38"/>
    <x v="110"/>
    <x v="38"/>
    <x v="0"/>
    <x v="0"/>
    <x v="0"/>
    <x v="4"/>
    <x v="4"/>
    <x v="4"/>
    <x v="1"/>
    <x v="4"/>
    <x v="1"/>
    <x v="3"/>
    <x v="3"/>
  </r>
  <r>
    <x v="115"/>
    <x v="38"/>
    <x v="111"/>
    <x v="38"/>
    <x v="0"/>
    <x v="0"/>
    <x v="0"/>
    <x v="4"/>
    <x v="4"/>
    <x v="4"/>
    <x v="1"/>
    <x v="4"/>
    <x v="1"/>
    <x v="3"/>
    <x v="3"/>
  </r>
  <r>
    <x v="116"/>
    <x v="39"/>
    <x v="112"/>
    <x v="39"/>
    <x v="2"/>
    <x v="1"/>
    <x v="2"/>
    <x v="5"/>
    <x v="5"/>
    <x v="5"/>
    <x v="2"/>
    <x v="5"/>
    <x v="2"/>
    <x v="3"/>
    <x v="3"/>
  </r>
  <r>
    <x v="117"/>
    <x v="39"/>
    <x v="113"/>
    <x v="39"/>
    <x v="2"/>
    <x v="1"/>
    <x v="2"/>
    <x v="5"/>
    <x v="5"/>
    <x v="5"/>
    <x v="2"/>
    <x v="5"/>
    <x v="2"/>
    <x v="3"/>
    <x v="3"/>
  </r>
  <r>
    <x v="118"/>
    <x v="39"/>
    <x v="114"/>
    <x v="39"/>
    <x v="2"/>
    <x v="1"/>
    <x v="2"/>
    <x v="5"/>
    <x v="5"/>
    <x v="5"/>
    <x v="2"/>
    <x v="5"/>
    <x v="2"/>
    <x v="3"/>
    <x v="3"/>
  </r>
  <r>
    <x v="119"/>
    <x v="39"/>
    <x v="115"/>
    <x v="39"/>
    <x v="2"/>
    <x v="1"/>
    <x v="2"/>
    <x v="5"/>
    <x v="5"/>
    <x v="5"/>
    <x v="2"/>
    <x v="5"/>
    <x v="2"/>
    <x v="3"/>
    <x v="3"/>
  </r>
  <r>
    <x v="120"/>
    <x v="40"/>
    <x v="116"/>
    <x v="40"/>
    <x v="1"/>
    <x v="3"/>
    <x v="1"/>
    <x v="3"/>
    <x v="6"/>
    <x v="6"/>
    <x v="1"/>
    <x v="0"/>
    <x v="0"/>
    <x v="3"/>
    <x v="3"/>
  </r>
  <r>
    <x v="121"/>
    <x v="41"/>
    <x v="117"/>
    <x v="41"/>
    <x v="1"/>
    <x v="2"/>
    <x v="0"/>
    <x v="1"/>
    <x v="1"/>
    <x v="3"/>
    <x v="1"/>
    <x v="6"/>
    <x v="1"/>
    <x v="3"/>
    <x v="3"/>
  </r>
  <r>
    <x v="122"/>
    <x v="41"/>
    <x v="118"/>
    <x v="41"/>
    <x v="1"/>
    <x v="2"/>
    <x v="0"/>
    <x v="1"/>
    <x v="1"/>
    <x v="3"/>
    <x v="1"/>
    <x v="6"/>
    <x v="1"/>
    <x v="3"/>
    <x v="3"/>
  </r>
  <r>
    <x v="123"/>
    <x v="42"/>
    <x v="119"/>
    <x v="42"/>
    <x v="0"/>
    <x v="0"/>
    <x v="0"/>
    <x v="4"/>
    <x v="4"/>
    <x v="4"/>
    <x v="0"/>
    <x v="4"/>
    <x v="2"/>
    <x v="3"/>
    <x v="3"/>
  </r>
  <r>
    <x v="124"/>
    <x v="42"/>
    <x v="120"/>
    <x v="42"/>
    <x v="0"/>
    <x v="0"/>
    <x v="0"/>
    <x v="4"/>
    <x v="4"/>
    <x v="4"/>
    <x v="0"/>
    <x v="4"/>
    <x v="2"/>
    <x v="3"/>
    <x v="3"/>
  </r>
  <r>
    <x v="125"/>
    <x v="42"/>
    <x v="121"/>
    <x v="42"/>
    <x v="0"/>
    <x v="0"/>
    <x v="0"/>
    <x v="4"/>
    <x v="4"/>
    <x v="4"/>
    <x v="0"/>
    <x v="4"/>
    <x v="2"/>
    <x v="3"/>
    <x v="3"/>
  </r>
  <r>
    <x v="126"/>
    <x v="42"/>
    <x v="122"/>
    <x v="42"/>
    <x v="0"/>
    <x v="0"/>
    <x v="0"/>
    <x v="4"/>
    <x v="4"/>
    <x v="4"/>
    <x v="0"/>
    <x v="4"/>
    <x v="2"/>
    <x v="4"/>
    <x v="4"/>
  </r>
  <r>
    <x v="127"/>
    <x v="42"/>
    <x v="123"/>
    <x v="42"/>
    <x v="0"/>
    <x v="0"/>
    <x v="0"/>
    <x v="4"/>
    <x v="4"/>
    <x v="4"/>
    <x v="0"/>
    <x v="4"/>
    <x v="2"/>
    <x v="4"/>
    <x v="4"/>
  </r>
  <r>
    <x v="128"/>
    <x v="43"/>
    <x v="124"/>
    <x v="43"/>
    <x v="1"/>
    <x v="1"/>
    <x v="0"/>
    <x v="6"/>
    <x v="7"/>
    <x v="1"/>
    <x v="1"/>
    <x v="7"/>
    <x v="0"/>
    <x v="4"/>
    <x v="4"/>
  </r>
  <r>
    <x v="129"/>
    <x v="44"/>
    <x v="125"/>
    <x v="44"/>
    <x v="2"/>
    <x v="1"/>
    <x v="2"/>
    <x v="3"/>
    <x v="8"/>
    <x v="7"/>
    <x v="2"/>
    <x v="8"/>
    <x v="1"/>
    <x v="4"/>
    <x v="4"/>
  </r>
  <r>
    <x v="130"/>
    <x v="44"/>
    <x v="126"/>
    <x v="44"/>
    <x v="2"/>
    <x v="1"/>
    <x v="2"/>
    <x v="3"/>
    <x v="8"/>
    <x v="7"/>
    <x v="2"/>
    <x v="8"/>
    <x v="1"/>
    <x v="4"/>
    <x v="4"/>
  </r>
  <r>
    <x v="131"/>
    <x v="45"/>
    <x v="127"/>
    <x v="45"/>
    <x v="0"/>
    <x v="2"/>
    <x v="1"/>
    <x v="5"/>
    <x v="9"/>
    <x v="7"/>
    <x v="0"/>
    <x v="9"/>
    <x v="2"/>
    <x v="4"/>
    <x v="4"/>
  </r>
  <r>
    <x v="132"/>
    <x v="45"/>
    <x v="128"/>
    <x v="45"/>
    <x v="0"/>
    <x v="2"/>
    <x v="1"/>
    <x v="5"/>
    <x v="9"/>
    <x v="7"/>
    <x v="0"/>
    <x v="9"/>
    <x v="2"/>
    <x v="4"/>
    <x v="4"/>
  </r>
  <r>
    <x v="133"/>
    <x v="45"/>
    <x v="129"/>
    <x v="45"/>
    <x v="0"/>
    <x v="2"/>
    <x v="1"/>
    <x v="5"/>
    <x v="9"/>
    <x v="7"/>
    <x v="0"/>
    <x v="9"/>
    <x v="2"/>
    <x v="4"/>
    <x v="4"/>
  </r>
  <r>
    <x v="134"/>
    <x v="45"/>
    <x v="130"/>
    <x v="45"/>
    <x v="0"/>
    <x v="2"/>
    <x v="1"/>
    <x v="5"/>
    <x v="9"/>
    <x v="7"/>
    <x v="0"/>
    <x v="9"/>
    <x v="2"/>
    <x v="4"/>
    <x v="4"/>
  </r>
  <r>
    <x v="135"/>
    <x v="45"/>
    <x v="131"/>
    <x v="45"/>
    <x v="0"/>
    <x v="2"/>
    <x v="1"/>
    <x v="5"/>
    <x v="9"/>
    <x v="7"/>
    <x v="0"/>
    <x v="9"/>
    <x v="2"/>
    <x v="4"/>
    <x v="4"/>
  </r>
  <r>
    <x v="136"/>
    <x v="45"/>
    <x v="132"/>
    <x v="45"/>
    <x v="0"/>
    <x v="2"/>
    <x v="1"/>
    <x v="5"/>
    <x v="9"/>
    <x v="7"/>
    <x v="0"/>
    <x v="9"/>
    <x v="2"/>
    <x v="4"/>
    <x v="4"/>
  </r>
  <r>
    <x v="137"/>
    <x v="45"/>
    <x v="133"/>
    <x v="45"/>
    <x v="0"/>
    <x v="2"/>
    <x v="1"/>
    <x v="5"/>
    <x v="9"/>
    <x v="7"/>
    <x v="0"/>
    <x v="9"/>
    <x v="2"/>
    <x v="4"/>
    <x v="4"/>
  </r>
  <r>
    <x v="138"/>
    <x v="46"/>
    <x v="134"/>
    <x v="46"/>
    <x v="1"/>
    <x v="2"/>
    <x v="0"/>
    <x v="7"/>
    <x v="10"/>
    <x v="3"/>
    <x v="1"/>
    <x v="10"/>
    <x v="0"/>
    <x v="4"/>
    <x v="4"/>
  </r>
  <r>
    <x v="139"/>
    <x v="47"/>
    <x v="135"/>
    <x v="47"/>
    <x v="3"/>
    <x v="0"/>
    <x v="0"/>
    <x v="3"/>
    <x v="3"/>
    <x v="8"/>
    <x v="0"/>
    <x v="11"/>
    <x v="1"/>
    <x v="4"/>
    <x v="4"/>
  </r>
  <r>
    <x v="140"/>
    <x v="47"/>
    <x v="136"/>
    <x v="47"/>
    <x v="3"/>
    <x v="0"/>
    <x v="0"/>
    <x v="3"/>
    <x v="3"/>
    <x v="8"/>
    <x v="0"/>
    <x v="11"/>
    <x v="1"/>
    <x v="4"/>
    <x v="4"/>
  </r>
  <r>
    <x v="141"/>
    <x v="47"/>
    <x v="137"/>
    <x v="47"/>
    <x v="3"/>
    <x v="0"/>
    <x v="0"/>
    <x v="3"/>
    <x v="3"/>
    <x v="8"/>
    <x v="0"/>
    <x v="11"/>
    <x v="1"/>
    <x v="4"/>
    <x v="4"/>
  </r>
  <r>
    <x v="142"/>
    <x v="48"/>
    <x v="138"/>
    <x v="48"/>
    <x v="0"/>
    <x v="0"/>
    <x v="0"/>
    <x v="0"/>
    <x v="0"/>
    <x v="0"/>
    <x v="1"/>
    <x v="0"/>
    <x v="2"/>
    <x v="4"/>
    <x v="4"/>
  </r>
  <r>
    <x v="143"/>
    <x v="48"/>
    <x v="139"/>
    <x v="48"/>
    <x v="0"/>
    <x v="0"/>
    <x v="0"/>
    <x v="0"/>
    <x v="0"/>
    <x v="0"/>
    <x v="1"/>
    <x v="0"/>
    <x v="2"/>
    <x v="4"/>
    <x v="4"/>
  </r>
  <r>
    <x v="144"/>
    <x v="48"/>
    <x v="139"/>
    <x v="48"/>
    <x v="0"/>
    <x v="0"/>
    <x v="0"/>
    <x v="0"/>
    <x v="0"/>
    <x v="0"/>
    <x v="1"/>
    <x v="0"/>
    <x v="2"/>
    <x v="4"/>
    <x v="4"/>
  </r>
  <r>
    <x v="145"/>
    <x v="48"/>
    <x v="140"/>
    <x v="48"/>
    <x v="0"/>
    <x v="0"/>
    <x v="0"/>
    <x v="0"/>
    <x v="0"/>
    <x v="0"/>
    <x v="1"/>
    <x v="0"/>
    <x v="2"/>
    <x v="4"/>
    <x v="4"/>
  </r>
  <r>
    <x v="146"/>
    <x v="48"/>
    <x v="141"/>
    <x v="48"/>
    <x v="0"/>
    <x v="0"/>
    <x v="0"/>
    <x v="0"/>
    <x v="0"/>
    <x v="0"/>
    <x v="1"/>
    <x v="0"/>
    <x v="2"/>
    <x v="4"/>
    <x v="4"/>
  </r>
  <r>
    <x v="147"/>
    <x v="48"/>
    <x v="142"/>
    <x v="48"/>
    <x v="0"/>
    <x v="0"/>
    <x v="0"/>
    <x v="0"/>
    <x v="0"/>
    <x v="0"/>
    <x v="1"/>
    <x v="0"/>
    <x v="2"/>
    <x v="4"/>
    <x v="4"/>
  </r>
  <r>
    <x v="148"/>
    <x v="48"/>
    <x v="143"/>
    <x v="48"/>
    <x v="0"/>
    <x v="0"/>
    <x v="0"/>
    <x v="0"/>
    <x v="0"/>
    <x v="0"/>
    <x v="1"/>
    <x v="0"/>
    <x v="2"/>
    <x v="4"/>
    <x v="4"/>
  </r>
  <r>
    <x v="149"/>
    <x v="48"/>
    <x v="144"/>
    <x v="48"/>
    <x v="0"/>
    <x v="0"/>
    <x v="0"/>
    <x v="0"/>
    <x v="0"/>
    <x v="0"/>
    <x v="1"/>
    <x v="0"/>
    <x v="2"/>
    <x v="4"/>
    <x v="4"/>
  </r>
  <r>
    <x v="150"/>
    <x v="48"/>
    <x v="145"/>
    <x v="48"/>
    <x v="0"/>
    <x v="0"/>
    <x v="0"/>
    <x v="0"/>
    <x v="0"/>
    <x v="0"/>
    <x v="1"/>
    <x v="0"/>
    <x v="2"/>
    <x v="4"/>
    <x v="4"/>
  </r>
  <r>
    <x v="151"/>
    <x v="48"/>
    <x v="146"/>
    <x v="48"/>
    <x v="0"/>
    <x v="0"/>
    <x v="0"/>
    <x v="0"/>
    <x v="0"/>
    <x v="0"/>
    <x v="1"/>
    <x v="0"/>
    <x v="2"/>
    <x v="4"/>
    <x v="4"/>
  </r>
  <r>
    <x v="152"/>
    <x v="49"/>
    <x v="147"/>
    <x v="49"/>
    <x v="2"/>
    <x v="1"/>
    <x v="2"/>
    <x v="1"/>
    <x v="11"/>
    <x v="9"/>
    <x v="2"/>
    <x v="12"/>
    <x v="0"/>
    <x v="4"/>
    <x v="4"/>
  </r>
  <r>
    <x v="153"/>
    <x v="50"/>
    <x v="148"/>
    <x v="50"/>
    <x v="1"/>
    <x v="3"/>
    <x v="1"/>
    <x v="7"/>
    <x v="12"/>
    <x v="6"/>
    <x v="1"/>
    <x v="13"/>
    <x v="1"/>
    <x v="4"/>
    <x v="4"/>
  </r>
  <r>
    <x v="154"/>
    <x v="50"/>
    <x v="149"/>
    <x v="50"/>
    <x v="1"/>
    <x v="3"/>
    <x v="1"/>
    <x v="7"/>
    <x v="12"/>
    <x v="6"/>
    <x v="1"/>
    <x v="13"/>
    <x v="1"/>
    <x v="4"/>
    <x v="4"/>
  </r>
  <r>
    <x v="155"/>
    <x v="50"/>
    <x v="150"/>
    <x v="50"/>
    <x v="1"/>
    <x v="3"/>
    <x v="1"/>
    <x v="7"/>
    <x v="12"/>
    <x v="6"/>
    <x v="1"/>
    <x v="13"/>
    <x v="1"/>
    <x v="4"/>
    <x v="4"/>
  </r>
  <r>
    <x v="156"/>
    <x v="51"/>
    <x v="151"/>
    <x v="51"/>
    <x v="0"/>
    <x v="0"/>
    <x v="0"/>
    <x v="0"/>
    <x v="0"/>
    <x v="0"/>
    <x v="0"/>
    <x v="0"/>
    <x v="0"/>
    <x v="4"/>
    <x v="4"/>
  </r>
  <r>
    <x v="157"/>
    <x v="52"/>
    <x v="152"/>
    <x v="52"/>
    <x v="1"/>
    <x v="1"/>
    <x v="0"/>
    <x v="1"/>
    <x v="1"/>
    <x v="1"/>
    <x v="1"/>
    <x v="1"/>
    <x v="1"/>
    <x v="4"/>
    <x v="4"/>
  </r>
  <r>
    <x v="158"/>
    <x v="52"/>
    <x v="153"/>
    <x v="52"/>
    <x v="1"/>
    <x v="1"/>
    <x v="0"/>
    <x v="1"/>
    <x v="1"/>
    <x v="1"/>
    <x v="1"/>
    <x v="1"/>
    <x v="1"/>
    <x v="5"/>
    <x v="5"/>
  </r>
  <r>
    <x v="159"/>
    <x v="52"/>
    <x v="154"/>
    <x v="52"/>
    <x v="1"/>
    <x v="1"/>
    <x v="0"/>
    <x v="1"/>
    <x v="1"/>
    <x v="1"/>
    <x v="1"/>
    <x v="1"/>
    <x v="1"/>
    <x v="5"/>
    <x v="5"/>
  </r>
  <r>
    <x v="160"/>
    <x v="53"/>
    <x v="155"/>
    <x v="53"/>
    <x v="0"/>
    <x v="2"/>
    <x v="1"/>
    <x v="2"/>
    <x v="2"/>
    <x v="2"/>
    <x v="0"/>
    <x v="2"/>
    <x v="0"/>
    <x v="5"/>
    <x v="5"/>
  </r>
  <r>
    <x v="161"/>
    <x v="53"/>
    <x v="156"/>
    <x v="53"/>
    <x v="0"/>
    <x v="2"/>
    <x v="1"/>
    <x v="2"/>
    <x v="2"/>
    <x v="2"/>
    <x v="0"/>
    <x v="2"/>
    <x v="0"/>
    <x v="5"/>
    <x v="5"/>
  </r>
  <r>
    <x v="162"/>
    <x v="54"/>
    <x v="157"/>
    <x v="54"/>
    <x v="1"/>
    <x v="2"/>
    <x v="0"/>
    <x v="3"/>
    <x v="3"/>
    <x v="3"/>
    <x v="1"/>
    <x v="3"/>
    <x v="1"/>
    <x v="5"/>
    <x v="5"/>
  </r>
  <r>
    <x v="163"/>
    <x v="54"/>
    <x v="158"/>
    <x v="54"/>
    <x v="1"/>
    <x v="2"/>
    <x v="0"/>
    <x v="3"/>
    <x v="3"/>
    <x v="3"/>
    <x v="1"/>
    <x v="3"/>
    <x v="1"/>
    <x v="5"/>
    <x v="5"/>
  </r>
  <r>
    <x v="164"/>
    <x v="54"/>
    <x v="159"/>
    <x v="54"/>
    <x v="1"/>
    <x v="2"/>
    <x v="0"/>
    <x v="3"/>
    <x v="3"/>
    <x v="3"/>
    <x v="1"/>
    <x v="3"/>
    <x v="1"/>
    <x v="5"/>
    <x v="5"/>
  </r>
  <r>
    <x v="165"/>
    <x v="54"/>
    <x v="160"/>
    <x v="54"/>
    <x v="1"/>
    <x v="2"/>
    <x v="0"/>
    <x v="3"/>
    <x v="3"/>
    <x v="3"/>
    <x v="1"/>
    <x v="3"/>
    <x v="1"/>
    <x v="5"/>
    <x v="5"/>
  </r>
  <r>
    <x v="166"/>
    <x v="55"/>
    <x v="161"/>
    <x v="55"/>
    <x v="0"/>
    <x v="0"/>
    <x v="0"/>
    <x v="4"/>
    <x v="4"/>
    <x v="4"/>
    <x v="1"/>
    <x v="4"/>
    <x v="0"/>
    <x v="5"/>
    <x v="5"/>
  </r>
  <r>
    <x v="167"/>
    <x v="55"/>
    <x v="162"/>
    <x v="55"/>
    <x v="0"/>
    <x v="0"/>
    <x v="0"/>
    <x v="4"/>
    <x v="4"/>
    <x v="4"/>
    <x v="1"/>
    <x v="4"/>
    <x v="0"/>
    <x v="5"/>
    <x v="5"/>
  </r>
  <r>
    <x v="168"/>
    <x v="56"/>
    <x v="163"/>
    <x v="56"/>
    <x v="2"/>
    <x v="1"/>
    <x v="2"/>
    <x v="5"/>
    <x v="5"/>
    <x v="5"/>
    <x v="2"/>
    <x v="5"/>
    <x v="1"/>
    <x v="5"/>
    <x v="5"/>
  </r>
  <r>
    <x v="169"/>
    <x v="56"/>
    <x v="164"/>
    <x v="56"/>
    <x v="2"/>
    <x v="1"/>
    <x v="2"/>
    <x v="5"/>
    <x v="5"/>
    <x v="5"/>
    <x v="2"/>
    <x v="5"/>
    <x v="1"/>
    <x v="5"/>
    <x v="5"/>
  </r>
  <r>
    <x v="170"/>
    <x v="56"/>
    <x v="165"/>
    <x v="56"/>
    <x v="2"/>
    <x v="1"/>
    <x v="2"/>
    <x v="5"/>
    <x v="5"/>
    <x v="5"/>
    <x v="2"/>
    <x v="5"/>
    <x v="1"/>
    <x v="5"/>
    <x v="5"/>
  </r>
  <r>
    <x v="171"/>
    <x v="56"/>
    <x v="166"/>
    <x v="56"/>
    <x v="2"/>
    <x v="1"/>
    <x v="2"/>
    <x v="5"/>
    <x v="5"/>
    <x v="5"/>
    <x v="2"/>
    <x v="5"/>
    <x v="1"/>
    <x v="5"/>
    <x v="5"/>
  </r>
  <r>
    <x v="172"/>
    <x v="57"/>
    <x v="167"/>
    <x v="57"/>
    <x v="1"/>
    <x v="3"/>
    <x v="1"/>
    <x v="3"/>
    <x v="6"/>
    <x v="6"/>
    <x v="1"/>
    <x v="0"/>
    <x v="2"/>
    <x v="5"/>
    <x v="5"/>
  </r>
  <r>
    <x v="173"/>
    <x v="58"/>
    <x v="168"/>
    <x v="58"/>
    <x v="1"/>
    <x v="2"/>
    <x v="0"/>
    <x v="1"/>
    <x v="1"/>
    <x v="3"/>
    <x v="1"/>
    <x v="6"/>
    <x v="0"/>
    <x v="5"/>
    <x v="5"/>
  </r>
  <r>
    <x v="174"/>
    <x v="58"/>
    <x v="169"/>
    <x v="58"/>
    <x v="1"/>
    <x v="2"/>
    <x v="0"/>
    <x v="1"/>
    <x v="1"/>
    <x v="3"/>
    <x v="1"/>
    <x v="6"/>
    <x v="0"/>
    <x v="5"/>
    <x v="5"/>
  </r>
  <r>
    <x v="175"/>
    <x v="59"/>
    <x v="170"/>
    <x v="59"/>
    <x v="0"/>
    <x v="0"/>
    <x v="0"/>
    <x v="4"/>
    <x v="4"/>
    <x v="4"/>
    <x v="0"/>
    <x v="4"/>
    <x v="1"/>
    <x v="5"/>
    <x v="5"/>
  </r>
  <r>
    <x v="176"/>
    <x v="59"/>
    <x v="170"/>
    <x v="59"/>
    <x v="0"/>
    <x v="0"/>
    <x v="0"/>
    <x v="4"/>
    <x v="4"/>
    <x v="4"/>
    <x v="0"/>
    <x v="4"/>
    <x v="1"/>
    <x v="5"/>
    <x v="5"/>
  </r>
  <r>
    <x v="177"/>
    <x v="59"/>
    <x v="171"/>
    <x v="59"/>
    <x v="0"/>
    <x v="0"/>
    <x v="0"/>
    <x v="4"/>
    <x v="4"/>
    <x v="4"/>
    <x v="0"/>
    <x v="4"/>
    <x v="1"/>
    <x v="5"/>
    <x v="5"/>
  </r>
  <r>
    <x v="178"/>
    <x v="59"/>
    <x v="172"/>
    <x v="59"/>
    <x v="0"/>
    <x v="0"/>
    <x v="0"/>
    <x v="4"/>
    <x v="4"/>
    <x v="4"/>
    <x v="0"/>
    <x v="4"/>
    <x v="1"/>
    <x v="5"/>
    <x v="5"/>
  </r>
  <r>
    <x v="179"/>
    <x v="59"/>
    <x v="173"/>
    <x v="59"/>
    <x v="0"/>
    <x v="0"/>
    <x v="0"/>
    <x v="4"/>
    <x v="4"/>
    <x v="4"/>
    <x v="0"/>
    <x v="4"/>
    <x v="1"/>
    <x v="5"/>
    <x v="5"/>
  </r>
  <r>
    <x v="180"/>
    <x v="60"/>
    <x v="174"/>
    <x v="60"/>
    <x v="1"/>
    <x v="1"/>
    <x v="0"/>
    <x v="6"/>
    <x v="7"/>
    <x v="1"/>
    <x v="1"/>
    <x v="7"/>
    <x v="2"/>
    <x v="5"/>
    <x v="5"/>
  </r>
  <r>
    <x v="181"/>
    <x v="61"/>
    <x v="175"/>
    <x v="61"/>
    <x v="2"/>
    <x v="1"/>
    <x v="2"/>
    <x v="3"/>
    <x v="8"/>
    <x v="7"/>
    <x v="2"/>
    <x v="8"/>
    <x v="0"/>
    <x v="5"/>
    <x v="5"/>
  </r>
  <r>
    <x v="182"/>
    <x v="61"/>
    <x v="176"/>
    <x v="61"/>
    <x v="2"/>
    <x v="1"/>
    <x v="2"/>
    <x v="3"/>
    <x v="8"/>
    <x v="7"/>
    <x v="2"/>
    <x v="8"/>
    <x v="0"/>
    <x v="5"/>
    <x v="5"/>
  </r>
  <r>
    <x v="183"/>
    <x v="62"/>
    <x v="177"/>
    <x v="62"/>
    <x v="0"/>
    <x v="2"/>
    <x v="1"/>
    <x v="5"/>
    <x v="9"/>
    <x v="7"/>
    <x v="0"/>
    <x v="9"/>
    <x v="1"/>
    <x v="5"/>
    <x v="5"/>
  </r>
  <r>
    <x v="184"/>
    <x v="62"/>
    <x v="178"/>
    <x v="62"/>
    <x v="0"/>
    <x v="2"/>
    <x v="1"/>
    <x v="5"/>
    <x v="9"/>
    <x v="7"/>
    <x v="0"/>
    <x v="9"/>
    <x v="1"/>
    <x v="5"/>
    <x v="5"/>
  </r>
  <r>
    <x v="185"/>
    <x v="62"/>
    <x v="179"/>
    <x v="62"/>
    <x v="0"/>
    <x v="2"/>
    <x v="1"/>
    <x v="5"/>
    <x v="9"/>
    <x v="7"/>
    <x v="0"/>
    <x v="9"/>
    <x v="1"/>
    <x v="5"/>
    <x v="5"/>
  </r>
  <r>
    <x v="186"/>
    <x v="62"/>
    <x v="180"/>
    <x v="62"/>
    <x v="0"/>
    <x v="2"/>
    <x v="1"/>
    <x v="5"/>
    <x v="9"/>
    <x v="7"/>
    <x v="0"/>
    <x v="9"/>
    <x v="1"/>
    <x v="5"/>
    <x v="5"/>
  </r>
  <r>
    <x v="187"/>
    <x v="62"/>
    <x v="181"/>
    <x v="62"/>
    <x v="0"/>
    <x v="2"/>
    <x v="1"/>
    <x v="5"/>
    <x v="9"/>
    <x v="7"/>
    <x v="0"/>
    <x v="9"/>
    <x v="1"/>
    <x v="6"/>
    <x v="6"/>
  </r>
  <r>
    <x v="188"/>
    <x v="62"/>
    <x v="182"/>
    <x v="62"/>
    <x v="0"/>
    <x v="2"/>
    <x v="1"/>
    <x v="5"/>
    <x v="9"/>
    <x v="7"/>
    <x v="0"/>
    <x v="9"/>
    <x v="1"/>
    <x v="6"/>
    <x v="6"/>
  </r>
  <r>
    <x v="189"/>
    <x v="62"/>
    <x v="183"/>
    <x v="62"/>
    <x v="0"/>
    <x v="2"/>
    <x v="1"/>
    <x v="5"/>
    <x v="9"/>
    <x v="7"/>
    <x v="0"/>
    <x v="9"/>
    <x v="1"/>
    <x v="6"/>
    <x v="6"/>
  </r>
  <r>
    <x v="190"/>
    <x v="63"/>
    <x v="184"/>
    <x v="63"/>
    <x v="1"/>
    <x v="2"/>
    <x v="0"/>
    <x v="7"/>
    <x v="10"/>
    <x v="3"/>
    <x v="1"/>
    <x v="10"/>
    <x v="2"/>
    <x v="6"/>
    <x v="6"/>
  </r>
  <r>
    <x v="191"/>
    <x v="64"/>
    <x v="185"/>
    <x v="64"/>
    <x v="3"/>
    <x v="0"/>
    <x v="0"/>
    <x v="3"/>
    <x v="3"/>
    <x v="8"/>
    <x v="0"/>
    <x v="11"/>
    <x v="0"/>
    <x v="6"/>
    <x v="6"/>
  </r>
  <r>
    <x v="192"/>
    <x v="64"/>
    <x v="186"/>
    <x v="64"/>
    <x v="3"/>
    <x v="0"/>
    <x v="0"/>
    <x v="3"/>
    <x v="3"/>
    <x v="8"/>
    <x v="0"/>
    <x v="11"/>
    <x v="0"/>
    <x v="6"/>
    <x v="6"/>
  </r>
  <r>
    <x v="193"/>
    <x v="64"/>
    <x v="187"/>
    <x v="64"/>
    <x v="3"/>
    <x v="0"/>
    <x v="0"/>
    <x v="3"/>
    <x v="3"/>
    <x v="8"/>
    <x v="0"/>
    <x v="11"/>
    <x v="0"/>
    <x v="6"/>
    <x v="6"/>
  </r>
  <r>
    <x v="194"/>
    <x v="65"/>
    <x v="188"/>
    <x v="65"/>
    <x v="0"/>
    <x v="0"/>
    <x v="0"/>
    <x v="0"/>
    <x v="0"/>
    <x v="0"/>
    <x v="1"/>
    <x v="0"/>
    <x v="1"/>
    <x v="6"/>
    <x v="6"/>
  </r>
  <r>
    <x v="195"/>
    <x v="65"/>
    <x v="189"/>
    <x v="65"/>
    <x v="0"/>
    <x v="0"/>
    <x v="0"/>
    <x v="0"/>
    <x v="0"/>
    <x v="0"/>
    <x v="1"/>
    <x v="0"/>
    <x v="1"/>
    <x v="6"/>
    <x v="6"/>
  </r>
  <r>
    <x v="196"/>
    <x v="65"/>
    <x v="190"/>
    <x v="65"/>
    <x v="0"/>
    <x v="0"/>
    <x v="0"/>
    <x v="0"/>
    <x v="0"/>
    <x v="0"/>
    <x v="1"/>
    <x v="0"/>
    <x v="1"/>
    <x v="6"/>
    <x v="6"/>
  </r>
  <r>
    <x v="197"/>
    <x v="65"/>
    <x v="191"/>
    <x v="65"/>
    <x v="0"/>
    <x v="0"/>
    <x v="0"/>
    <x v="0"/>
    <x v="0"/>
    <x v="0"/>
    <x v="1"/>
    <x v="0"/>
    <x v="1"/>
    <x v="6"/>
    <x v="6"/>
  </r>
  <r>
    <x v="198"/>
    <x v="65"/>
    <x v="192"/>
    <x v="65"/>
    <x v="0"/>
    <x v="0"/>
    <x v="0"/>
    <x v="0"/>
    <x v="0"/>
    <x v="0"/>
    <x v="1"/>
    <x v="0"/>
    <x v="1"/>
    <x v="6"/>
    <x v="6"/>
  </r>
  <r>
    <x v="199"/>
    <x v="65"/>
    <x v="193"/>
    <x v="65"/>
    <x v="0"/>
    <x v="0"/>
    <x v="0"/>
    <x v="0"/>
    <x v="0"/>
    <x v="0"/>
    <x v="1"/>
    <x v="0"/>
    <x v="1"/>
    <x v="6"/>
    <x v="6"/>
  </r>
  <r>
    <x v="200"/>
    <x v="65"/>
    <x v="194"/>
    <x v="65"/>
    <x v="0"/>
    <x v="0"/>
    <x v="0"/>
    <x v="0"/>
    <x v="0"/>
    <x v="0"/>
    <x v="1"/>
    <x v="0"/>
    <x v="1"/>
    <x v="6"/>
    <x v="6"/>
  </r>
  <r>
    <x v="201"/>
    <x v="65"/>
    <x v="195"/>
    <x v="65"/>
    <x v="0"/>
    <x v="0"/>
    <x v="0"/>
    <x v="0"/>
    <x v="0"/>
    <x v="0"/>
    <x v="1"/>
    <x v="0"/>
    <x v="1"/>
    <x v="6"/>
    <x v="6"/>
  </r>
  <r>
    <x v="202"/>
    <x v="65"/>
    <x v="196"/>
    <x v="65"/>
    <x v="0"/>
    <x v="0"/>
    <x v="0"/>
    <x v="0"/>
    <x v="0"/>
    <x v="0"/>
    <x v="1"/>
    <x v="0"/>
    <x v="1"/>
    <x v="6"/>
    <x v="6"/>
  </r>
  <r>
    <x v="203"/>
    <x v="65"/>
    <x v="197"/>
    <x v="65"/>
    <x v="0"/>
    <x v="0"/>
    <x v="0"/>
    <x v="0"/>
    <x v="0"/>
    <x v="0"/>
    <x v="1"/>
    <x v="0"/>
    <x v="1"/>
    <x v="6"/>
    <x v="6"/>
  </r>
  <r>
    <x v="204"/>
    <x v="66"/>
    <x v="198"/>
    <x v="66"/>
    <x v="2"/>
    <x v="1"/>
    <x v="2"/>
    <x v="1"/>
    <x v="11"/>
    <x v="9"/>
    <x v="2"/>
    <x v="12"/>
    <x v="2"/>
    <x v="6"/>
    <x v="6"/>
  </r>
  <r>
    <x v="205"/>
    <x v="67"/>
    <x v="199"/>
    <x v="67"/>
    <x v="1"/>
    <x v="3"/>
    <x v="1"/>
    <x v="7"/>
    <x v="12"/>
    <x v="6"/>
    <x v="1"/>
    <x v="13"/>
    <x v="0"/>
    <x v="6"/>
    <x v="6"/>
  </r>
  <r>
    <x v="206"/>
    <x v="67"/>
    <x v="200"/>
    <x v="67"/>
    <x v="1"/>
    <x v="3"/>
    <x v="1"/>
    <x v="7"/>
    <x v="12"/>
    <x v="6"/>
    <x v="1"/>
    <x v="13"/>
    <x v="0"/>
    <x v="6"/>
    <x v="6"/>
  </r>
  <r>
    <x v="207"/>
    <x v="67"/>
    <x v="201"/>
    <x v="67"/>
    <x v="1"/>
    <x v="3"/>
    <x v="1"/>
    <x v="7"/>
    <x v="12"/>
    <x v="6"/>
    <x v="1"/>
    <x v="13"/>
    <x v="0"/>
    <x v="6"/>
    <x v="6"/>
  </r>
  <r>
    <x v="208"/>
    <x v="68"/>
    <x v="201"/>
    <x v="68"/>
    <x v="0"/>
    <x v="0"/>
    <x v="0"/>
    <x v="0"/>
    <x v="0"/>
    <x v="0"/>
    <x v="0"/>
    <x v="0"/>
    <x v="2"/>
    <x v="6"/>
    <x v="6"/>
  </r>
  <r>
    <x v="209"/>
    <x v="69"/>
    <x v="202"/>
    <x v="69"/>
    <x v="1"/>
    <x v="1"/>
    <x v="0"/>
    <x v="1"/>
    <x v="1"/>
    <x v="1"/>
    <x v="1"/>
    <x v="1"/>
    <x v="0"/>
    <x v="6"/>
    <x v="6"/>
  </r>
  <r>
    <x v="210"/>
    <x v="69"/>
    <x v="203"/>
    <x v="69"/>
    <x v="1"/>
    <x v="1"/>
    <x v="0"/>
    <x v="1"/>
    <x v="1"/>
    <x v="1"/>
    <x v="1"/>
    <x v="1"/>
    <x v="0"/>
    <x v="6"/>
    <x v="6"/>
  </r>
  <r>
    <x v="211"/>
    <x v="69"/>
    <x v="204"/>
    <x v="69"/>
    <x v="1"/>
    <x v="1"/>
    <x v="0"/>
    <x v="1"/>
    <x v="1"/>
    <x v="1"/>
    <x v="1"/>
    <x v="1"/>
    <x v="0"/>
    <x v="6"/>
    <x v="6"/>
  </r>
  <r>
    <x v="212"/>
    <x v="70"/>
    <x v="205"/>
    <x v="70"/>
    <x v="0"/>
    <x v="2"/>
    <x v="1"/>
    <x v="2"/>
    <x v="2"/>
    <x v="2"/>
    <x v="0"/>
    <x v="2"/>
    <x v="2"/>
    <x v="6"/>
    <x v="6"/>
  </r>
  <r>
    <x v="213"/>
    <x v="70"/>
    <x v="206"/>
    <x v="70"/>
    <x v="0"/>
    <x v="2"/>
    <x v="1"/>
    <x v="2"/>
    <x v="2"/>
    <x v="2"/>
    <x v="0"/>
    <x v="2"/>
    <x v="2"/>
    <x v="6"/>
    <x v="6"/>
  </r>
  <r>
    <x v="214"/>
    <x v="71"/>
    <x v="207"/>
    <x v="71"/>
    <x v="1"/>
    <x v="2"/>
    <x v="0"/>
    <x v="3"/>
    <x v="3"/>
    <x v="3"/>
    <x v="1"/>
    <x v="3"/>
    <x v="0"/>
    <x v="6"/>
    <x v="6"/>
  </r>
  <r>
    <x v="215"/>
    <x v="71"/>
    <x v="208"/>
    <x v="71"/>
    <x v="1"/>
    <x v="2"/>
    <x v="0"/>
    <x v="3"/>
    <x v="3"/>
    <x v="3"/>
    <x v="1"/>
    <x v="3"/>
    <x v="0"/>
    <x v="6"/>
    <x v="6"/>
  </r>
  <r>
    <x v="216"/>
    <x v="71"/>
    <x v="209"/>
    <x v="71"/>
    <x v="1"/>
    <x v="2"/>
    <x v="0"/>
    <x v="3"/>
    <x v="3"/>
    <x v="3"/>
    <x v="1"/>
    <x v="3"/>
    <x v="0"/>
    <x v="6"/>
    <x v="6"/>
  </r>
  <r>
    <x v="217"/>
    <x v="71"/>
    <x v="210"/>
    <x v="71"/>
    <x v="1"/>
    <x v="2"/>
    <x v="0"/>
    <x v="3"/>
    <x v="3"/>
    <x v="3"/>
    <x v="1"/>
    <x v="3"/>
    <x v="0"/>
    <x v="6"/>
    <x v="6"/>
  </r>
  <r>
    <x v="218"/>
    <x v="72"/>
    <x v="211"/>
    <x v="72"/>
    <x v="0"/>
    <x v="0"/>
    <x v="0"/>
    <x v="4"/>
    <x v="4"/>
    <x v="4"/>
    <x v="1"/>
    <x v="4"/>
    <x v="2"/>
    <x v="6"/>
    <x v="6"/>
  </r>
  <r>
    <x v="219"/>
    <x v="72"/>
    <x v="212"/>
    <x v="72"/>
    <x v="0"/>
    <x v="0"/>
    <x v="0"/>
    <x v="4"/>
    <x v="4"/>
    <x v="4"/>
    <x v="1"/>
    <x v="4"/>
    <x v="2"/>
    <x v="7"/>
    <x v="7"/>
  </r>
  <r>
    <x v="220"/>
    <x v="73"/>
    <x v="213"/>
    <x v="73"/>
    <x v="2"/>
    <x v="1"/>
    <x v="2"/>
    <x v="5"/>
    <x v="5"/>
    <x v="5"/>
    <x v="2"/>
    <x v="5"/>
    <x v="0"/>
    <x v="7"/>
    <x v="7"/>
  </r>
  <r>
    <x v="221"/>
    <x v="73"/>
    <x v="214"/>
    <x v="73"/>
    <x v="2"/>
    <x v="1"/>
    <x v="2"/>
    <x v="5"/>
    <x v="5"/>
    <x v="5"/>
    <x v="2"/>
    <x v="5"/>
    <x v="0"/>
    <x v="7"/>
    <x v="7"/>
  </r>
  <r>
    <x v="222"/>
    <x v="73"/>
    <x v="215"/>
    <x v="73"/>
    <x v="2"/>
    <x v="1"/>
    <x v="2"/>
    <x v="5"/>
    <x v="5"/>
    <x v="5"/>
    <x v="2"/>
    <x v="5"/>
    <x v="0"/>
    <x v="7"/>
    <x v="7"/>
  </r>
  <r>
    <x v="223"/>
    <x v="73"/>
    <x v="216"/>
    <x v="73"/>
    <x v="2"/>
    <x v="1"/>
    <x v="2"/>
    <x v="5"/>
    <x v="5"/>
    <x v="5"/>
    <x v="2"/>
    <x v="5"/>
    <x v="0"/>
    <x v="7"/>
    <x v="7"/>
  </r>
  <r>
    <x v="224"/>
    <x v="74"/>
    <x v="217"/>
    <x v="74"/>
    <x v="1"/>
    <x v="3"/>
    <x v="1"/>
    <x v="3"/>
    <x v="6"/>
    <x v="6"/>
    <x v="1"/>
    <x v="0"/>
    <x v="1"/>
    <x v="7"/>
    <x v="7"/>
  </r>
  <r>
    <x v="225"/>
    <x v="75"/>
    <x v="218"/>
    <x v="75"/>
    <x v="1"/>
    <x v="2"/>
    <x v="0"/>
    <x v="1"/>
    <x v="1"/>
    <x v="3"/>
    <x v="1"/>
    <x v="6"/>
    <x v="2"/>
    <x v="7"/>
    <x v="7"/>
  </r>
  <r>
    <x v="226"/>
    <x v="75"/>
    <x v="219"/>
    <x v="75"/>
    <x v="1"/>
    <x v="2"/>
    <x v="0"/>
    <x v="1"/>
    <x v="1"/>
    <x v="3"/>
    <x v="1"/>
    <x v="6"/>
    <x v="2"/>
    <x v="7"/>
    <x v="7"/>
  </r>
  <r>
    <x v="227"/>
    <x v="76"/>
    <x v="220"/>
    <x v="76"/>
    <x v="0"/>
    <x v="0"/>
    <x v="0"/>
    <x v="4"/>
    <x v="4"/>
    <x v="4"/>
    <x v="0"/>
    <x v="4"/>
    <x v="0"/>
    <x v="7"/>
    <x v="7"/>
  </r>
  <r>
    <x v="228"/>
    <x v="76"/>
    <x v="221"/>
    <x v="76"/>
    <x v="0"/>
    <x v="0"/>
    <x v="0"/>
    <x v="4"/>
    <x v="4"/>
    <x v="4"/>
    <x v="0"/>
    <x v="4"/>
    <x v="0"/>
    <x v="7"/>
    <x v="7"/>
  </r>
  <r>
    <x v="229"/>
    <x v="76"/>
    <x v="222"/>
    <x v="76"/>
    <x v="0"/>
    <x v="0"/>
    <x v="0"/>
    <x v="4"/>
    <x v="4"/>
    <x v="4"/>
    <x v="0"/>
    <x v="4"/>
    <x v="0"/>
    <x v="7"/>
    <x v="7"/>
  </r>
  <r>
    <x v="230"/>
    <x v="76"/>
    <x v="223"/>
    <x v="76"/>
    <x v="0"/>
    <x v="0"/>
    <x v="0"/>
    <x v="4"/>
    <x v="4"/>
    <x v="4"/>
    <x v="0"/>
    <x v="4"/>
    <x v="0"/>
    <x v="7"/>
    <x v="7"/>
  </r>
  <r>
    <x v="231"/>
    <x v="76"/>
    <x v="224"/>
    <x v="76"/>
    <x v="0"/>
    <x v="0"/>
    <x v="0"/>
    <x v="4"/>
    <x v="4"/>
    <x v="4"/>
    <x v="0"/>
    <x v="4"/>
    <x v="0"/>
    <x v="7"/>
    <x v="7"/>
  </r>
  <r>
    <x v="232"/>
    <x v="77"/>
    <x v="225"/>
    <x v="77"/>
    <x v="1"/>
    <x v="1"/>
    <x v="0"/>
    <x v="6"/>
    <x v="7"/>
    <x v="1"/>
    <x v="1"/>
    <x v="7"/>
    <x v="1"/>
    <x v="7"/>
    <x v="7"/>
  </r>
  <r>
    <x v="233"/>
    <x v="78"/>
    <x v="226"/>
    <x v="78"/>
    <x v="2"/>
    <x v="1"/>
    <x v="2"/>
    <x v="3"/>
    <x v="8"/>
    <x v="7"/>
    <x v="2"/>
    <x v="8"/>
    <x v="2"/>
    <x v="7"/>
    <x v="7"/>
  </r>
  <r>
    <x v="234"/>
    <x v="78"/>
    <x v="227"/>
    <x v="78"/>
    <x v="2"/>
    <x v="1"/>
    <x v="2"/>
    <x v="3"/>
    <x v="8"/>
    <x v="7"/>
    <x v="2"/>
    <x v="8"/>
    <x v="2"/>
    <x v="7"/>
    <x v="7"/>
  </r>
  <r>
    <x v="235"/>
    <x v="79"/>
    <x v="228"/>
    <x v="79"/>
    <x v="0"/>
    <x v="2"/>
    <x v="1"/>
    <x v="5"/>
    <x v="9"/>
    <x v="7"/>
    <x v="0"/>
    <x v="9"/>
    <x v="0"/>
    <x v="7"/>
    <x v="7"/>
  </r>
  <r>
    <x v="236"/>
    <x v="79"/>
    <x v="229"/>
    <x v="79"/>
    <x v="0"/>
    <x v="2"/>
    <x v="1"/>
    <x v="5"/>
    <x v="9"/>
    <x v="7"/>
    <x v="0"/>
    <x v="9"/>
    <x v="0"/>
    <x v="7"/>
    <x v="7"/>
  </r>
  <r>
    <x v="237"/>
    <x v="79"/>
    <x v="230"/>
    <x v="79"/>
    <x v="0"/>
    <x v="2"/>
    <x v="1"/>
    <x v="5"/>
    <x v="9"/>
    <x v="7"/>
    <x v="0"/>
    <x v="9"/>
    <x v="0"/>
    <x v="7"/>
    <x v="7"/>
  </r>
  <r>
    <x v="238"/>
    <x v="79"/>
    <x v="231"/>
    <x v="79"/>
    <x v="0"/>
    <x v="2"/>
    <x v="1"/>
    <x v="5"/>
    <x v="9"/>
    <x v="7"/>
    <x v="0"/>
    <x v="9"/>
    <x v="0"/>
    <x v="7"/>
    <x v="7"/>
  </r>
  <r>
    <x v="239"/>
    <x v="79"/>
    <x v="232"/>
    <x v="79"/>
    <x v="0"/>
    <x v="2"/>
    <x v="1"/>
    <x v="5"/>
    <x v="9"/>
    <x v="7"/>
    <x v="0"/>
    <x v="9"/>
    <x v="0"/>
    <x v="7"/>
    <x v="7"/>
  </r>
  <r>
    <x v="240"/>
    <x v="79"/>
    <x v="232"/>
    <x v="79"/>
    <x v="0"/>
    <x v="2"/>
    <x v="1"/>
    <x v="5"/>
    <x v="9"/>
    <x v="7"/>
    <x v="0"/>
    <x v="9"/>
    <x v="0"/>
    <x v="7"/>
    <x v="7"/>
  </r>
  <r>
    <x v="241"/>
    <x v="79"/>
    <x v="233"/>
    <x v="79"/>
    <x v="0"/>
    <x v="2"/>
    <x v="1"/>
    <x v="5"/>
    <x v="9"/>
    <x v="7"/>
    <x v="0"/>
    <x v="9"/>
    <x v="0"/>
    <x v="7"/>
    <x v="7"/>
  </r>
  <r>
    <x v="242"/>
    <x v="80"/>
    <x v="234"/>
    <x v="80"/>
    <x v="1"/>
    <x v="2"/>
    <x v="0"/>
    <x v="7"/>
    <x v="10"/>
    <x v="3"/>
    <x v="1"/>
    <x v="10"/>
    <x v="1"/>
    <x v="7"/>
    <x v="7"/>
  </r>
  <r>
    <x v="243"/>
    <x v="81"/>
    <x v="235"/>
    <x v="81"/>
    <x v="3"/>
    <x v="0"/>
    <x v="0"/>
    <x v="3"/>
    <x v="3"/>
    <x v="8"/>
    <x v="0"/>
    <x v="11"/>
    <x v="2"/>
    <x v="7"/>
    <x v="7"/>
  </r>
  <r>
    <x v="244"/>
    <x v="81"/>
    <x v="236"/>
    <x v="81"/>
    <x v="3"/>
    <x v="0"/>
    <x v="0"/>
    <x v="3"/>
    <x v="3"/>
    <x v="8"/>
    <x v="0"/>
    <x v="11"/>
    <x v="2"/>
    <x v="7"/>
    <x v="7"/>
  </r>
  <r>
    <x v="245"/>
    <x v="81"/>
    <x v="237"/>
    <x v="81"/>
    <x v="3"/>
    <x v="0"/>
    <x v="0"/>
    <x v="3"/>
    <x v="3"/>
    <x v="8"/>
    <x v="0"/>
    <x v="11"/>
    <x v="2"/>
    <x v="7"/>
    <x v="7"/>
  </r>
  <r>
    <x v="246"/>
    <x v="82"/>
    <x v="238"/>
    <x v="82"/>
    <x v="0"/>
    <x v="0"/>
    <x v="0"/>
    <x v="0"/>
    <x v="0"/>
    <x v="0"/>
    <x v="1"/>
    <x v="0"/>
    <x v="0"/>
    <x v="7"/>
    <x v="7"/>
  </r>
  <r>
    <x v="247"/>
    <x v="82"/>
    <x v="239"/>
    <x v="82"/>
    <x v="0"/>
    <x v="0"/>
    <x v="0"/>
    <x v="0"/>
    <x v="0"/>
    <x v="0"/>
    <x v="1"/>
    <x v="0"/>
    <x v="0"/>
    <x v="7"/>
    <x v="7"/>
  </r>
  <r>
    <x v="248"/>
    <x v="82"/>
    <x v="240"/>
    <x v="82"/>
    <x v="0"/>
    <x v="0"/>
    <x v="0"/>
    <x v="0"/>
    <x v="0"/>
    <x v="0"/>
    <x v="1"/>
    <x v="0"/>
    <x v="0"/>
    <x v="7"/>
    <x v="7"/>
  </r>
  <r>
    <x v="249"/>
    <x v="82"/>
    <x v="241"/>
    <x v="82"/>
    <x v="0"/>
    <x v="0"/>
    <x v="0"/>
    <x v="0"/>
    <x v="0"/>
    <x v="0"/>
    <x v="1"/>
    <x v="0"/>
    <x v="0"/>
    <x v="7"/>
    <x v="7"/>
  </r>
  <r>
    <x v="250"/>
    <x v="82"/>
    <x v="242"/>
    <x v="82"/>
    <x v="0"/>
    <x v="0"/>
    <x v="0"/>
    <x v="0"/>
    <x v="0"/>
    <x v="0"/>
    <x v="1"/>
    <x v="0"/>
    <x v="0"/>
    <x v="8"/>
    <x v="8"/>
  </r>
  <r>
    <x v="251"/>
    <x v="82"/>
    <x v="243"/>
    <x v="82"/>
    <x v="0"/>
    <x v="0"/>
    <x v="0"/>
    <x v="0"/>
    <x v="0"/>
    <x v="0"/>
    <x v="1"/>
    <x v="0"/>
    <x v="0"/>
    <x v="8"/>
    <x v="8"/>
  </r>
  <r>
    <x v="252"/>
    <x v="82"/>
    <x v="244"/>
    <x v="82"/>
    <x v="0"/>
    <x v="0"/>
    <x v="0"/>
    <x v="0"/>
    <x v="0"/>
    <x v="0"/>
    <x v="1"/>
    <x v="0"/>
    <x v="0"/>
    <x v="8"/>
    <x v="8"/>
  </r>
  <r>
    <x v="253"/>
    <x v="82"/>
    <x v="245"/>
    <x v="82"/>
    <x v="0"/>
    <x v="0"/>
    <x v="0"/>
    <x v="0"/>
    <x v="0"/>
    <x v="0"/>
    <x v="1"/>
    <x v="0"/>
    <x v="0"/>
    <x v="8"/>
    <x v="8"/>
  </r>
  <r>
    <x v="254"/>
    <x v="82"/>
    <x v="246"/>
    <x v="82"/>
    <x v="0"/>
    <x v="0"/>
    <x v="0"/>
    <x v="0"/>
    <x v="0"/>
    <x v="0"/>
    <x v="1"/>
    <x v="0"/>
    <x v="0"/>
    <x v="8"/>
    <x v="8"/>
  </r>
  <r>
    <x v="255"/>
    <x v="82"/>
    <x v="247"/>
    <x v="82"/>
    <x v="0"/>
    <x v="0"/>
    <x v="0"/>
    <x v="0"/>
    <x v="0"/>
    <x v="0"/>
    <x v="1"/>
    <x v="0"/>
    <x v="0"/>
    <x v="8"/>
    <x v="8"/>
  </r>
  <r>
    <x v="256"/>
    <x v="83"/>
    <x v="248"/>
    <x v="83"/>
    <x v="2"/>
    <x v="1"/>
    <x v="2"/>
    <x v="1"/>
    <x v="11"/>
    <x v="9"/>
    <x v="2"/>
    <x v="12"/>
    <x v="1"/>
    <x v="8"/>
    <x v="8"/>
  </r>
  <r>
    <x v="257"/>
    <x v="84"/>
    <x v="249"/>
    <x v="84"/>
    <x v="1"/>
    <x v="3"/>
    <x v="1"/>
    <x v="7"/>
    <x v="12"/>
    <x v="6"/>
    <x v="1"/>
    <x v="13"/>
    <x v="2"/>
    <x v="8"/>
    <x v="8"/>
  </r>
  <r>
    <x v="258"/>
    <x v="84"/>
    <x v="250"/>
    <x v="84"/>
    <x v="1"/>
    <x v="3"/>
    <x v="1"/>
    <x v="7"/>
    <x v="12"/>
    <x v="6"/>
    <x v="1"/>
    <x v="13"/>
    <x v="2"/>
    <x v="8"/>
    <x v="8"/>
  </r>
  <r>
    <x v="259"/>
    <x v="84"/>
    <x v="251"/>
    <x v="84"/>
    <x v="1"/>
    <x v="3"/>
    <x v="1"/>
    <x v="7"/>
    <x v="12"/>
    <x v="6"/>
    <x v="1"/>
    <x v="13"/>
    <x v="2"/>
    <x v="8"/>
    <x v="8"/>
  </r>
  <r>
    <x v="260"/>
    <x v="85"/>
    <x v="252"/>
    <x v="85"/>
    <x v="0"/>
    <x v="0"/>
    <x v="0"/>
    <x v="0"/>
    <x v="0"/>
    <x v="0"/>
    <x v="0"/>
    <x v="0"/>
    <x v="1"/>
    <x v="8"/>
    <x v="8"/>
  </r>
  <r>
    <x v="261"/>
    <x v="86"/>
    <x v="253"/>
    <x v="86"/>
    <x v="1"/>
    <x v="1"/>
    <x v="0"/>
    <x v="1"/>
    <x v="1"/>
    <x v="1"/>
    <x v="1"/>
    <x v="1"/>
    <x v="2"/>
    <x v="8"/>
    <x v="8"/>
  </r>
  <r>
    <x v="262"/>
    <x v="86"/>
    <x v="254"/>
    <x v="86"/>
    <x v="1"/>
    <x v="1"/>
    <x v="0"/>
    <x v="1"/>
    <x v="1"/>
    <x v="1"/>
    <x v="1"/>
    <x v="1"/>
    <x v="2"/>
    <x v="8"/>
    <x v="8"/>
  </r>
  <r>
    <x v="263"/>
    <x v="86"/>
    <x v="255"/>
    <x v="86"/>
    <x v="1"/>
    <x v="1"/>
    <x v="0"/>
    <x v="1"/>
    <x v="1"/>
    <x v="1"/>
    <x v="1"/>
    <x v="1"/>
    <x v="2"/>
    <x v="8"/>
    <x v="8"/>
  </r>
  <r>
    <x v="264"/>
    <x v="87"/>
    <x v="256"/>
    <x v="87"/>
    <x v="0"/>
    <x v="2"/>
    <x v="1"/>
    <x v="2"/>
    <x v="2"/>
    <x v="2"/>
    <x v="0"/>
    <x v="2"/>
    <x v="1"/>
    <x v="8"/>
    <x v="8"/>
  </r>
  <r>
    <x v="265"/>
    <x v="87"/>
    <x v="257"/>
    <x v="87"/>
    <x v="0"/>
    <x v="2"/>
    <x v="1"/>
    <x v="2"/>
    <x v="2"/>
    <x v="2"/>
    <x v="0"/>
    <x v="2"/>
    <x v="1"/>
    <x v="8"/>
    <x v="8"/>
  </r>
  <r>
    <x v="266"/>
    <x v="88"/>
    <x v="258"/>
    <x v="88"/>
    <x v="1"/>
    <x v="2"/>
    <x v="0"/>
    <x v="3"/>
    <x v="3"/>
    <x v="3"/>
    <x v="1"/>
    <x v="3"/>
    <x v="2"/>
    <x v="8"/>
    <x v="8"/>
  </r>
  <r>
    <x v="267"/>
    <x v="88"/>
    <x v="259"/>
    <x v="88"/>
    <x v="1"/>
    <x v="2"/>
    <x v="0"/>
    <x v="3"/>
    <x v="3"/>
    <x v="3"/>
    <x v="1"/>
    <x v="3"/>
    <x v="2"/>
    <x v="8"/>
    <x v="8"/>
  </r>
  <r>
    <x v="268"/>
    <x v="88"/>
    <x v="260"/>
    <x v="88"/>
    <x v="1"/>
    <x v="2"/>
    <x v="0"/>
    <x v="3"/>
    <x v="3"/>
    <x v="3"/>
    <x v="1"/>
    <x v="3"/>
    <x v="2"/>
    <x v="8"/>
    <x v="8"/>
  </r>
  <r>
    <x v="269"/>
    <x v="88"/>
    <x v="261"/>
    <x v="88"/>
    <x v="1"/>
    <x v="2"/>
    <x v="0"/>
    <x v="3"/>
    <x v="3"/>
    <x v="3"/>
    <x v="1"/>
    <x v="3"/>
    <x v="2"/>
    <x v="8"/>
    <x v="8"/>
  </r>
  <r>
    <x v="270"/>
    <x v="89"/>
    <x v="262"/>
    <x v="89"/>
    <x v="0"/>
    <x v="0"/>
    <x v="0"/>
    <x v="4"/>
    <x v="4"/>
    <x v="4"/>
    <x v="1"/>
    <x v="4"/>
    <x v="1"/>
    <x v="8"/>
    <x v="8"/>
  </r>
  <r>
    <x v="271"/>
    <x v="89"/>
    <x v="263"/>
    <x v="89"/>
    <x v="0"/>
    <x v="0"/>
    <x v="0"/>
    <x v="4"/>
    <x v="4"/>
    <x v="4"/>
    <x v="1"/>
    <x v="4"/>
    <x v="1"/>
    <x v="8"/>
    <x v="8"/>
  </r>
  <r>
    <x v="272"/>
    <x v="90"/>
    <x v="263"/>
    <x v="90"/>
    <x v="2"/>
    <x v="1"/>
    <x v="2"/>
    <x v="5"/>
    <x v="5"/>
    <x v="5"/>
    <x v="2"/>
    <x v="5"/>
    <x v="2"/>
    <x v="8"/>
    <x v="8"/>
  </r>
  <r>
    <x v="273"/>
    <x v="90"/>
    <x v="264"/>
    <x v="90"/>
    <x v="2"/>
    <x v="1"/>
    <x v="2"/>
    <x v="5"/>
    <x v="5"/>
    <x v="5"/>
    <x v="2"/>
    <x v="5"/>
    <x v="2"/>
    <x v="8"/>
    <x v="8"/>
  </r>
  <r>
    <x v="274"/>
    <x v="90"/>
    <x v="265"/>
    <x v="90"/>
    <x v="2"/>
    <x v="1"/>
    <x v="2"/>
    <x v="5"/>
    <x v="5"/>
    <x v="5"/>
    <x v="2"/>
    <x v="5"/>
    <x v="2"/>
    <x v="8"/>
    <x v="8"/>
  </r>
  <r>
    <x v="275"/>
    <x v="90"/>
    <x v="266"/>
    <x v="90"/>
    <x v="2"/>
    <x v="1"/>
    <x v="2"/>
    <x v="5"/>
    <x v="5"/>
    <x v="5"/>
    <x v="2"/>
    <x v="5"/>
    <x v="2"/>
    <x v="8"/>
    <x v="8"/>
  </r>
  <r>
    <x v="276"/>
    <x v="91"/>
    <x v="267"/>
    <x v="91"/>
    <x v="1"/>
    <x v="3"/>
    <x v="1"/>
    <x v="3"/>
    <x v="6"/>
    <x v="6"/>
    <x v="1"/>
    <x v="0"/>
    <x v="0"/>
    <x v="8"/>
    <x v="8"/>
  </r>
  <r>
    <x v="277"/>
    <x v="92"/>
    <x v="268"/>
    <x v="92"/>
    <x v="1"/>
    <x v="2"/>
    <x v="0"/>
    <x v="1"/>
    <x v="1"/>
    <x v="3"/>
    <x v="1"/>
    <x v="6"/>
    <x v="1"/>
    <x v="8"/>
    <x v="8"/>
  </r>
  <r>
    <x v="278"/>
    <x v="92"/>
    <x v="269"/>
    <x v="92"/>
    <x v="1"/>
    <x v="2"/>
    <x v="0"/>
    <x v="1"/>
    <x v="1"/>
    <x v="3"/>
    <x v="1"/>
    <x v="6"/>
    <x v="1"/>
    <x v="8"/>
    <x v="8"/>
  </r>
  <r>
    <x v="279"/>
    <x v="93"/>
    <x v="270"/>
    <x v="93"/>
    <x v="0"/>
    <x v="0"/>
    <x v="0"/>
    <x v="4"/>
    <x v="4"/>
    <x v="4"/>
    <x v="0"/>
    <x v="4"/>
    <x v="2"/>
    <x v="8"/>
    <x v="8"/>
  </r>
  <r>
    <x v="280"/>
    <x v="93"/>
    <x v="271"/>
    <x v="93"/>
    <x v="0"/>
    <x v="0"/>
    <x v="0"/>
    <x v="4"/>
    <x v="4"/>
    <x v="4"/>
    <x v="0"/>
    <x v="4"/>
    <x v="2"/>
    <x v="8"/>
    <x v="8"/>
  </r>
  <r>
    <x v="281"/>
    <x v="93"/>
    <x v="272"/>
    <x v="93"/>
    <x v="0"/>
    <x v="0"/>
    <x v="0"/>
    <x v="4"/>
    <x v="4"/>
    <x v="4"/>
    <x v="0"/>
    <x v="4"/>
    <x v="2"/>
    <x v="8"/>
    <x v="8"/>
  </r>
  <r>
    <x v="282"/>
    <x v="93"/>
    <x v="273"/>
    <x v="93"/>
    <x v="0"/>
    <x v="0"/>
    <x v="0"/>
    <x v="4"/>
    <x v="4"/>
    <x v="4"/>
    <x v="0"/>
    <x v="4"/>
    <x v="2"/>
    <x v="9"/>
    <x v="9"/>
  </r>
  <r>
    <x v="283"/>
    <x v="93"/>
    <x v="274"/>
    <x v="93"/>
    <x v="0"/>
    <x v="0"/>
    <x v="0"/>
    <x v="4"/>
    <x v="4"/>
    <x v="4"/>
    <x v="0"/>
    <x v="4"/>
    <x v="2"/>
    <x v="9"/>
    <x v="9"/>
  </r>
  <r>
    <x v="284"/>
    <x v="94"/>
    <x v="275"/>
    <x v="94"/>
    <x v="1"/>
    <x v="1"/>
    <x v="0"/>
    <x v="6"/>
    <x v="7"/>
    <x v="1"/>
    <x v="1"/>
    <x v="7"/>
    <x v="0"/>
    <x v="9"/>
    <x v="9"/>
  </r>
  <r>
    <x v="285"/>
    <x v="95"/>
    <x v="276"/>
    <x v="95"/>
    <x v="2"/>
    <x v="1"/>
    <x v="2"/>
    <x v="3"/>
    <x v="8"/>
    <x v="7"/>
    <x v="2"/>
    <x v="8"/>
    <x v="1"/>
    <x v="9"/>
    <x v="9"/>
  </r>
  <r>
    <x v="286"/>
    <x v="95"/>
    <x v="277"/>
    <x v="95"/>
    <x v="2"/>
    <x v="1"/>
    <x v="2"/>
    <x v="3"/>
    <x v="8"/>
    <x v="7"/>
    <x v="2"/>
    <x v="8"/>
    <x v="1"/>
    <x v="9"/>
    <x v="9"/>
  </r>
  <r>
    <x v="287"/>
    <x v="96"/>
    <x v="278"/>
    <x v="96"/>
    <x v="0"/>
    <x v="2"/>
    <x v="1"/>
    <x v="5"/>
    <x v="9"/>
    <x v="7"/>
    <x v="0"/>
    <x v="9"/>
    <x v="2"/>
    <x v="9"/>
    <x v="9"/>
  </r>
  <r>
    <x v="288"/>
    <x v="96"/>
    <x v="279"/>
    <x v="96"/>
    <x v="0"/>
    <x v="2"/>
    <x v="1"/>
    <x v="5"/>
    <x v="9"/>
    <x v="7"/>
    <x v="0"/>
    <x v="9"/>
    <x v="2"/>
    <x v="9"/>
    <x v="9"/>
  </r>
  <r>
    <x v="289"/>
    <x v="96"/>
    <x v="280"/>
    <x v="96"/>
    <x v="0"/>
    <x v="2"/>
    <x v="1"/>
    <x v="5"/>
    <x v="9"/>
    <x v="7"/>
    <x v="0"/>
    <x v="9"/>
    <x v="2"/>
    <x v="9"/>
    <x v="9"/>
  </r>
  <r>
    <x v="290"/>
    <x v="96"/>
    <x v="281"/>
    <x v="96"/>
    <x v="0"/>
    <x v="2"/>
    <x v="1"/>
    <x v="5"/>
    <x v="9"/>
    <x v="7"/>
    <x v="0"/>
    <x v="9"/>
    <x v="2"/>
    <x v="9"/>
    <x v="9"/>
  </r>
  <r>
    <x v="291"/>
    <x v="96"/>
    <x v="282"/>
    <x v="96"/>
    <x v="0"/>
    <x v="2"/>
    <x v="1"/>
    <x v="5"/>
    <x v="9"/>
    <x v="7"/>
    <x v="0"/>
    <x v="9"/>
    <x v="2"/>
    <x v="9"/>
    <x v="9"/>
  </r>
  <r>
    <x v="292"/>
    <x v="96"/>
    <x v="283"/>
    <x v="96"/>
    <x v="0"/>
    <x v="2"/>
    <x v="1"/>
    <x v="5"/>
    <x v="9"/>
    <x v="7"/>
    <x v="0"/>
    <x v="9"/>
    <x v="2"/>
    <x v="9"/>
    <x v="9"/>
  </r>
  <r>
    <x v="293"/>
    <x v="96"/>
    <x v="284"/>
    <x v="96"/>
    <x v="0"/>
    <x v="2"/>
    <x v="1"/>
    <x v="5"/>
    <x v="9"/>
    <x v="7"/>
    <x v="0"/>
    <x v="9"/>
    <x v="2"/>
    <x v="9"/>
    <x v="9"/>
  </r>
  <r>
    <x v="294"/>
    <x v="97"/>
    <x v="285"/>
    <x v="97"/>
    <x v="1"/>
    <x v="2"/>
    <x v="0"/>
    <x v="7"/>
    <x v="10"/>
    <x v="3"/>
    <x v="1"/>
    <x v="10"/>
    <x v="0"/>
    <x v="9"/>
    <x v="9"/>
  </r>
  <r>
    <x v="295"/>
    <x v="98"/>
    <x v="286"/>
    <x v="98"/>
    <x v="3"/>
    <x v="0"/>
    <x v="0"/>
    <x v="3"/>
    <x v="3"/>
    <x v="8"/>
    <x v="0"/>
    <x v="11"/>
    <x v="1"/>
    <x v="9"/>
    <x v="9"/>
  </r>
  <r>
    <x v="296"/>
    <x v="98"/>
    <x v="287"/>
    <x v="98"/>
    <x v="3"/>
    <x v="0"/>
    <x v="0"/>
    <x v="3"/>
    <x v="3"/>
    <x v="8"/>
    <x v="0"/>
    <x v="11"/>
    <x v="1"/>
    <x v="9"/>
    <x v="9"/>
  </r>
  <r>
    <x v="297"/>
    <x v="98"/>
    <x v="288"/>
    <x v="98"/>
    <x v="3"/>
    <x v="0"/>
    <x v="0"/>
    <x v="3"/>
    <x v="3"/>
    <x v="8"/>
    <x v="0"/>
    <x v="11"/>
    <x v="1"/>
    <x v="9"/>
    <x v="9"/>
  </r>
  <r>
    <x v="298"/>
    <x v="99"/>
    <x v="289"/>
    <x v="99"/>
    <x v="0"/>
    <x v="0"/>
    <x v="0"/>
    <x v="0"/>
    <x v="0"/>
    <x v="0"/>
    <x v="1"/>
    <x v="0"/>
    <x v="2"/>
    <x v="9"/>
    <x v="9"/>
  </r>
  <r>
    <x v="299"/>
    <x v="99"/>
    <x v="290"/>
    <x v="99"/>
    <x v="0"/>
    <x v="0"/>
    <x v="0"/>
    <x v="0"/>
    <x v="0"/>
    <x v="0"/>
    <x v="1"/>
    <x v="0"/>
    <x v="2"/>
    <x v="9"/>
    <x v="9"/>
  </r>
  <r>
    <x v="300"/>
    <x v="99"/>
    <x v="291"/>
    <x v="99"/>
    <x v="0"/>
    <x v="0"/>
    <x v="0"/>
    <x v="0"/>
    <x v="0"/>
    <x v="0"/>
    <x v="1"/>
    <x v="0"/>
    <x v="2"/>
    <x v="9"/>
    <x v="9"/>
  </r>
  <r>
    <x v="301"/>
    <x v="99"/>
    <x v="292"/>
    <x v="99"/>
    <x v="0"/>
    <x v="0"/>
    <x v="0"/>
    <x v="0"/>
    <x v="0"/>
    <x v="0"/>
    <x v="1"/>
    <x v="0"/>
    <x v="2"/>
    <x v="9"/>
    <x v="9"/>
  </r>
  <r>
    <x v="302"/>
    <x v="99"/>
    <x v="293"/>
    <x v="99"/>
    <x v="0"/>
    <x v="0"/>
    <x v="0"/>
    <x v="0"/>
    <x v="0"/>
    <x v="0"/>
    <x v="1"/>
    <x v="0"/>
    <x v="2"/>
    <x v="9"/>
    <x v="9"/>
  </r>
  <r>
    <x v="303"/>
    <x v="99"/>
    <x v="294"/>
    <x v="99"/>
    <x v="0"/>
    <x v="0"/>
    <x v="0"/>
    <x v="0"/>
    <x v="0"/>
    <x v="0"/>
    <x v="1"/>
    <x v="0"/>
    <x v="2"/>
    <x v="9"/>
    <x v="9"/>
  </r>
  <r>
    <x v="304"/>
    <x v="99"/>
    <x v="294"/>
    <x v="99"/>
    <x v="0"/>
    <x v="0"/>
    <x v="0"/>
    <x v="0"/>
    <x v="0"/>
    <x v="0"/>
    <x v="1"/>
    <x v="0"/>
    <x v="2"/>
    <x v="9"/>
    <x v="9"/>
  </r>
  <r>
    <x v="305"/>
    <x v="99"/>
    <x v="295"/>
    <x v="99"/>
    <x v="0"/>
    <x v="0"/>
    <x v="0"/>
    <x v="0"/>
    <x v="0"/>
    <x v="0"/>
    <x v="1"/>
    <x v="0"/>
    <x v="2"/>
    <x v="9"/>
    <x v="9"/>
  </r>
  <r>
    <x v="306"/>
    <x v="99"/>
    <x v="296"/>
    <x v="99"/>
    <x v="0"/>
    <x v="0"/>
    <x v="0"/>
    <x v="0"/>
    <x v="0"/>
    <x v="0"/>
    <x v="1"/>
    <x v="0"/>
    <x v="2"/>
    <x v="9"/>
    <x v="9"/>
  </r>
  <r>
    <x v="307"/>
    <x v="99"/>
    <x v="297"/>
    <x v="99"/>
    <x v="0"/>
    <x v="0"/>
    <x v="0"/>
    <x v="0"/>
    <x v="0"/>
    <x v="0"/>
    <x v="1"/>
    <x v="0"/>
    <x v="2"/>
    <x v="9"/>
    <x v="9"/>
  </r>
  <r>
    <x v="308"/>
    <x v="100"/>
    <x v="298"/>
    <x v="100"/>
    <x v="2"/>
    <x v="1"/>
    <x v="2"/>
    <x v="1"/>
    <x v="11"/>
    <x v="9"/>
    <x v="2"/>
    <x v="12"/>
    <x v="0"/>
    <x v="9"/>
    <x v="9"/>
  </r>
  <r>
    <x v="309"/>
    <x v="101"/>
    <x v="299"/>
    <x v="101"/>
    <x v="1"/>
    <x v="3"/>
    <x v="1"/>
    <x v="7"/>
    <x v="12"/>
    <x v="6"/>
    <x v="1"/>
    <x v="13"/>
    <x v="1"/>
    <x v="9"/>
    <x v="9"/>
  </r>
  <r>
    <x v="310"/>
    <x v="101"/>
    <x v="300"/>
    <x v="101"/>
    <x v="1"/>
    <x v="3"/>
    <x v="1"/>
    <x v="7"/>
    <x v="12"/>
    <x v="6"/>
    <x v="1"/>
    <x v="13"/>
    <x v="1"/>
    <x v="9"/>
    <x v="9"/>
  </r>
  <r>
    <x v="311"/>
    <x v="101"/>
    <x v="301"/>
    <x v="101"/>
    <x v="1"/>
    <x v="3"/>
    <x v="1"/>
    <x v="7"/>
    <x v="12"/>
    <x v="6"/>
    <x v="1"/>
    <x v="13"/>
    <x v="1"/>
    <x v="9"/>
    <x v="9"/>
  </r>
  <r>
    <x v="312"/>
    <x v="102"/>
    <x v="302"/>
    <x v="102"/>
    <x v="0"/>
    <x v="0"/>
    <x v="0"/>
    <x v="0"/>
    <x v="0"/>
    <x v="0"/>
    <x v="0"/>
    <x v="0"/>
    <x v="0"/>
    <x v="9"/>
    <x v="9"/>
  </r>
  <r>
    <x v="313"/>
    <x v="103"/>
    <x v="303"/>
    <x v="103"/>
    <x v="1"/>
    <x v="1"/>
    <x v="0"/>
    <x v="1"/>
    <x v="1"/>
    <x v="1"/>
    <x v="1"/>
    <x v="1"/>
    <x v="1"/>
    <x v="10"/>
    <x v="10"/>
  </r>
  <r>
    <x v="314"/>
    <x v="103"/>
    <x v="304"/>
    <x v="103"/>
    <x v="1"/>
    <x v="1"/>
    <x v="0"/>
    <x v="1"/>
    <x v="1"/>
    <x v="1"/>
    <x v="1"/>
    <x v="1"/>
    <x v="1"/>
    <x v="10"/>
    <x v="10"/>
  </r>
  <r>
    <x v="315"/>
    <x v="103"/>
    <x v="305"/>
    <x v="103"/>
    <x v="1"/>
    <x v="1"/>
    <x v="0"/>
    <x v="1"/>
    <x v="1"/>
    <x v="1"/>
    <x v="1"/>
    <x v="1"/>
    <x v="1"/>
    <x v="10"/>
    <x v="10"/>
  </r>
  <r>
    <x v="316"/>
    <x v="104"/>
    <x v="306"/>
    <x v="104"/>
    <x v="0"/>
    <x v="2"/>
    <x v="1"/>
    <x v="2"/>
    <x v="2"/>
    <x v="2"/>
    <x v="0"/>
    <x v="2"/>
    <x v="0"/>
    <x v="10"/>
    <x v="10"/>
  </r>
  <r>
    <x v="317"/>
    <x v="104"/>
    <x v="307"/>
    <x v="104"/>
    <x v="0"/>
    <x v="2"/>
    <x v="1"/>
    <x v="2"/>
    <x v="2"/>
    <x v="2"/>
    <x v="0"/>
    <x v="2"/>
    <x v="0"/>
    <x v="10"/>
    <x v="10"/>
  </r>
  <r>
    <x v="318"/>
    <x v="105"/>
    <x v="308"/>
    <x v="105"/>
    <x v="1"/>
    <x v="2"/>
    <x v="0"/>
    <x v="3"/>
    <x v="3"/>
    <x v="3"/>
    <x v="1"/>
    <x v="3"/>
    <x v="1"/>
    <x v="10"/>
    <x v="10"/>
  </r>
  <r>
    <x v="319"/>
    <x v="105"/>
    <x v="309"/>
    <x v="105"/>
    <x v="1"/>
    <x v="2"/>
    <x v="0"/>
    <x v="3"/>
    <x v="3"/>
    <x v="3"/>
    <x v="1"/>
    <x v="3"/>
    <x v="1"/>
    <x v="10"/>
    <x v="10"/>
  </r>
  <r>
    <x v="320"/>
    <x v="105"/>
    <x v="310"/>
    <x v="105"/>
    <x v="1"/>
    <x v="2"/>
    <x v="0"/>
    <x v="3"/>
    <x v="3"/>
    <x v="3"/>
    <x v="1"/>
    <x v="3"/>
    <x v="1"/>
    <x v="10"/>
    <x v="10"/>
  </r>
  <r>
    <x v="321"/>
    <x v="105"/>
    <x v="311"/>
    <x v="105"/>
    <x v="1"/>
    <x v="2"/>
    <x v="0"/>
    <x v="3"/>
    <x v="3"/>
    <x v="3"/>
    <x v="1"/>
    <x v="3"/>
    <x v="1"/>
    <x v="10"/>
    <x v="10"/>
  </r>
  <r>
    <x v="322"/>
    <x v="106"/>
    <x v="312"/>
    <x v="106"/>
    <x v="0"/>
    <x v="0"/>
    <x v="0"/>
    <x v="4"/>
    <x v="4"/>
    <x v="4"/>
    <x v="1"/>
    <x v="4"/>
    <x v="0"/>
    <x v="10"/>
    <x v="10"/>
  </r>
  <r>
    <x v="323"/>
    <x v="106"/>
    <x v="313"/>
    <x v="106"/>
    <x v="0"/>
    <x v="0"/>
    <x v="0"/>
    <x v="4"/>
    <x v="4"/>
    <x v="4"/>
    <x v="1"/>
    <x v="4"/>
    <x v="0"/>
    <x v="10"/>
    <x v="10"/>
  </r>
  <r>
    <x v="324"/>
    <x v="107"/>
    <x v="314"/>
    <x v="107"/>
    <x v="2"/>
    <x v="1"/>
    <x v="2"/>
    <x v="5"/>
    <x v="5"/>
    <x v="5"/>
    <x v="2"/>
    <x v="5"/>
    <x v="1"/>
    <x v="10"/>
    <x v="10"/>
  </r>
  <r>
    <x v="325"/>
    <x v="107"/>
    <x v="315"/>
    <x v="107"/>
    <x v="2"/>
    <x v="1"/>
    <x v="2"/>
    <x v="5"/>
    <x v="5"/>
    <x v="5"/>
    <x v="2"/>
    <x v="5"/>
    <x v="1"/>
    <x v="10"/>
    <x v="10"/>
  </r>
  <r>
    <x v="326"/>
    <x v="107"/>
    <x v="316"/>
    <x v="107"/>
    <x v="2"/>
    <x v="1"/>
    <x v="2"/>
    <x v="5"/>
    <x v="5"/>
    <x v="5"/>
    <x v="2"/>
    <x v="5"/>
    <x v="1"/>
    <x v="10"/>
    <x v="10"/>
  </r>
  <r>
    <x v="327"/>
    <x v="107"/>
    <x v="317"/>
    <x v="107"/>
    <x v="2"/>
    <x v="1"/>
    <x v="2"/>
    <x v="5"/>
    <x v="5"/>
    <x v="5"/>
    <x v="2"/>
    <x v="5"/>
    <x v="1"/>
    <x v="10"/>
    <x v="10"/>
  </r>
  <r>
    <x v="328"/>
    <x v="108"/>
    <x v="318"/>
    <x v="108"/>
    <x v="1"/>
    <x v="3"/>
    <x v="1"/>
    <x v="3"/>
    <x v="6"/>
    <x v="6"/>
    <x v="1"/>
    <x v="0"/>
    <x v="2"/>
    <x v="10"/>
    <x v="10"/>
  </r>
  <r>
    <x v="329"/>
    <x v="109"/>
    <x v="319"/>
    <x v="109"/>
    <x v="1"/>
    <x v="2"/>
    <x v="0"/>
    <x v="1"/>
    <x v="1"/>
    <x v="3"/>
    <x v="1"/>
    <x v="6"/>
    <x v="0"/>
    <x v="10"/>
    <x v="10"/>
  </r>
  <r>
    <x v="330"/>
    <x v="109"/>
    <x v="320"/>
    <x v="109"/>
    <x v="1"/>
    <x v="2"/>
    <x v="0"/>
    <x v="1"/>
    <x v="1"/>
    <x v="3"/>
    <x v="1"/>
    <x v="6"/>
    <x v="0"/>
    <x v="10"/>
    <x v="10"/>
  </r>
  <r>
    <x v="331"/>
    <x v="110"/>
    <x v="321"/>
    <x v="110"/>
    <x v="0"/>
    <x v="0"/>
    <x v="0"/>
    <x v="4"/>
    <x v="4"/>
    <x v="4"/>
    <x v="0"/>
    <x v="4"/>
    <x v="1"/>
    <x v="10"/>
    <x v="10"/>
  </r>
  <r>
    <x v="332"/>
    <x v="110"/>
    <x v="322"/>
    <x v="110"/>
    <x v="0"/>
    <x v="0"/>
    <x v="0"/>
    <x v="4"/>
    <x v="4"/>
    <x v="4"/>
    <x v="0"/>
    <x v="4"/>
    <x v="1"/>
    <x v="10"/>
    <x v="10"/>
  </r>
  <r>
    <x v="333"/>
    <x v="110"/>
    <x v="323"/>
    <x v="110"/>
    <x v="0"/>
    <x v="0"/>
    <x v="0"/>
    <x v="4"/>
    <x v="4"/>
    <x v="4"/>
    <x v="0"/>
    <x v="4"/>
    <x v="1"/>
    <x v="10"/>
    <x v="10"/>
  </r>
  <r>
    <x v="334"/>
    <x v="110"/>
    <x v="324"/>
    <x v="110"/>
    <x v="0"/>
    <x v="0"/>
    <x v="0"/>
    <x v="4"/>
    <x v="4"/>
    <x v="4"/>
    <x v="0"/>
    <x v="4"/>
    <x v="1"/>
    <x v="10"/>
    <x v="10"/>
  </r>
  <r>
    <x v="335"/>
    <x v="110"/>
    <x v="325"/>
    <x v="110"/>
    <x v="0"/>
    <x v="0"/>
    <x v="0"/>
    <x v="4"/>
    <x v="4"/>
    <x v="4"/>
    <x v="0"/>
    <x v="4"/>
    <x v="1"/>
    <x v="10"/>
    <x v="10"/>
  </r>
  <r>
    <x v="336"/>
    <x v="111"/>
    <x v="325"/>
    <x v="111"/>
    <x v="1"/>
    <x v="1"/>
    <x v="0"/>
    <x v="6"/>
    <x v="7"/>
    <x v="1"/>
    <x v="1"/>
    <x v="7"/>
    <x v="2"/>
    <x v="10"/>
    <x v="10"/>
  </r>
  <r>
    <x v="337"/>
    <x v="112"/>
    <x v="326"/>
    <x v="112"/>
    <x v="2"/>
    <x v="1"/>
    <x v="2"/>
    <x v="3"/>
    <x v="8"/>
    <x v="7"/>
    <x v="2"/>
    <x v="8"/>
    <x v="0"/>
    <x v="10"/>
    <x v="10"/>
  </r>
  <r>
    <x v="338"/>
    <x v="112"/>
    <x v="327"/>
    <x v="112"/>
    <x v="2"/>
    <x v="1"/>
    <x v="2"/>
    <x v="3"/>
    <x v="8"/>
    <x v="7"/>
    <x v="2"/>
    <x v="8"/>
    <x v="0"/>
    <x v="10"/>
    <x v="10"/>
  </r>
  <r>
    <x v="339"/>
    <x v="113"/>
    <x v="328"/>
    <x v="113"/>
    <x v="0"/>
    <x v="2"/>
    <x v="1"/>
    <x v="5"/>
    <x v="9"/>
    <x v="7"/>
    <x v="0"/>
    <x v="9"/>
    <x v="1"/>
    <x v="10"/>
    <x v="10"/>
  </r>
  <r>
    <x v="340"/>
    <x v="113"/>
    <x v="329"/>
    <x v="113"/>
    <x v="0"/>
    <x v="2"/>
    <x v="1"/>
    <x v="5"/>
    <x v="9"/>
    <x v="7"/>
    <x v="0"/>
    <x v="9"/>
    <x v="1"/>
    <x v="10"/>
    <x v="10"/>
  </r>
  <r>
    <x v="341"/>
    <x v="113"/>
    <x v="330"/>
    <x v="113"/>
    <x v="0"/>
    <x v="2"/>
    <x v="1"/>
    <x v="5"/>
    <x v="9"/>
    <x v="7"/>
    <x v="0"/>
    <x v="9"/>
    <x v="1"/>
    <x v="10"/>
    <x v="10"/>
  </r>
  <r>
    <x v="342"/>
    <x v="113"/>
    <x v="331"/>
    <x v="113"/>
    <x v="0"/>
    <x v="2"/>
    <x v="1"/>
    <x v="5"/>
    <x v="9"/>
    <x v="7"/>
    <x v="0"/>
    <x v="9"/>
    <x v="1"/>
    <x v="10"/>
    <x v="10"/>
  </r>
  <r>
    <x v="343"/>
    <x v="113"/>
    <x v="332"/>
    <x v="113"/>
    <x v="0"/>
    <x v="2"/>
    <x v="1"/>
    <x v="5"/>
    <x v="9"/>
    <x v="7"/>
    <x v="0"/>
    <x v="9"/>
    <x v="1"/>
    <x v="10"/>
    <x v="10"/>
  </r>
  <r>
    <x v="344"/>
    <x v="113"/>
    <x v="333"/>
    <x v="113"/>
    <x v="0"/>
    <x v="2"/>
    <x v="1"/>
    <x v="5"/>
    <x v="9"/>
    <x v="7"/>
    <x v="0"/>
    <x v="9"/>
    <x v="1"/>
    <x v="10"/>
    <x v="10"/>
  </r>
  <r>
    <x v="345"/>
    <x v="113"/>
    <x v="334"/>
    <x v="113"/>
    <x v="0"/>
    <x v="2"/>
    <x v="1"/>
    <x v="5"/>
    <x v="9"/>
    <x v="7"/>
    <x v="0"/>
    <x v="9"/>
    <x v="1"/>
    <x v="11"/>
    <x v="11"/>
  </r>
  <r>
    <x v="346"/>
    <x v="114"/>
    <x v="335"/>
    <x v="114"/>
    <x v="1"/>
    <x v="2"/>
    <x v="0"/>
    <x v="7"/>
    <x v="10"/>
    <x v="3"/>
    <x v="1"/>
    <x v="10"/>
    <x v="2"/>
    <x v="11"/>
    <x v="11"/>
  </r>
  <r>
    <x v="347"/>
    <x v="115"/>
    <x v="336"/>
    <x v="115"/>
    <x v="3"/>
    <x v="0"/>
    <x v="0"/>
    <x v="3"/>
    <x v="3"/>
    <x v="8"/>
    <x v="0"/>
    <x v="11"/>
    <x v="0"/>
    <x v="11"/>
    <x v="11"/>
  </r>
  <r>
    <x v="348"/>
    <x v="115"/>
    <x v="337"/>
    <x v="115"/>
    <x v="3"/>
    <x v="0"/>
    <x v="0"/>
    <x v="3"/>
    <x v="3"/>
    <x v="8"/>
    <x v="0"/>
    <x v="11"/>
    <x v="0"/>
    <x v="11"/>
    <x v="11"/>
  </r>
  <r>
    <x v="349"/>
    <x v="115"/>
    <x v="338"/>
    <x v="115"/>
    <x v="3"/>
    <x v="0"/>
    <x v="0"/>
    <x v="3"/>
    <x v="3"/>
    <x v="8"/>
    <x v="0"/>
    <x v="11"/>
    <x v="0"/>
    <x v="11"/>
    <x v="11"/>
  </r>
  <r>
    <x v="350"/>
    <x v="116"/>
    <x v="339"/>
    <x v="116"/>
    <x v="0"/>
    <x v="0"/>
    <x v="0"/>
    <x v="0"/>
    <x v="0"/>
    <x v="0"/>
    <x v="1"/>
    <x v="0"/>
    <x v="1"/>
    <x v="11"/>
    <x v="11"/>
  </r>
  <r>
    <x v="351"/>
    <x v="116"/>
    <x v="340"/>
    <x v="116"/>
    <x v="0"/>
    <x v="0"/>
    <x v="0"/>
    <x v="0"/>
    <x v="0"/>
    <x v="0"/>
    <x v="1"/>
    <x v="0"/>
    <x v="1"/>
    <x v="11"/>
    <x v="11"/>
  </r>
  <r>
    <x v="352"/>
    <x v="116"/>
    <x v="341"/>
    <x v="116"/>
    <x v="0"/>
    <x v="0"/>
    <x v="0"/>
    <x v="0"/>
    <x v="0"/>
    <x v="0"/>
    <x v="1"/>
    <x v="0"/>
    <x v="1"/>
    <x v="11"/>
    <x v="11"/>
  </r>
  <r>
    <x v="353"/>
    <x v="116"/>
    <x v="342"/>
    <x v="116"/>
    <x v="0"/>
    <x v="0"/>
    <x v="0"/>
    <x v="0"/>
    <x v="0"/>
    <x v="0"/>
    <x v="1"/>
    <x v="0"/>
    <x v="1"/>
    <x v="11"/>
    <x v="11"/>
  </r>
  <r>
    <x v="354"/>
    <x v="116"/>
    <x v="343"/>
    <x v="116"/>
    <x v="0"/>
    <x v="0"/>
    <x v="0"/>
    <x v="0"/>
    <x v="0"/>
    <x v="0"/>
    <x v="1"/>
    <x v="0"/>
    <x v="1"/>
    <x v="11"/>
    <x v="11"/>
  </r>
  <r>
    <x v="355"/>
    <x v="116"/>
    <x v="344"/>
    <x v="116"/>
    <x v="0"/>
    <x v="0"/>
    <x v="0"/>
    <x v="0"/>
    <x v="0"/>
    <x v="0"/>
    <x v="1"/>
    <x v="0"/>
    <x v="1"/>
    <x v="11"/>
    <x v="11"/>
  </r>
  <r>
    <x v="356"/>
    <x v="116"/>
    <x v="345"/>
    <x v="116"/>
    <x v="0"/>
    <x v="0"/>
    <x v="0"/>
    <x v="0"/>
    <x v="0"/>
    <x v="0"/>
    <x v="1"/>
    <x v="0"/>
    <x v="1"/>
    <x v="11"/>
    <x v="11"/>
  </r>
  <r>
    <x v="357"/>
    <x v="116"/>
    <x v="346"/>
    <x v="116"/>
    <x v="0"/>
    <x v="0"/>
    <x v="0"/>
    <x v="0"/>
    <x v="0"/>
    <x v="0"/>
    <x v="1"/>
    <x v="0"/>
    <x v="1"/>
    <x v="11"/>
    <x v="11"/>
  </r>
  <r>
    <x v="358"/>
    <x v="116"/>
    <x v="347"/>
    <x v="116"/>
    <x v="0"/>
    <x v="0"/>
    <x v="0"/>
    <x v="0"/>
    <x v="0"/>
    <x v="0"/>
    <x v="1"/>
    <x v="0"/>
    <x v="1"/>
    <x v="11"/>
    <x v="11"/>
  </r>
  <r>
    <x v="359"/>
    <x v="116"/>
    <x v="348"/>
    <x v="116"/>
    <x v="0"/>
    <x v="0"/>
    <x v="0"/>
    <x v="0"/>
    <x v="0"/>
    <x v="0"/>
    <x v="1"/>
    <x v="0"/>
    <x v="1"/>
    <x v="11"/>
    <x v="11"/>
  </r>
  <r>
    <x v="360"/>
    <x v="117"/>
    <x v="349"/>
    <x v="117"/>
    <x v="2"/>
    <x v="1"/>
    <x v="2"/>
    <x v="1"/>
    <x v="11"/>
    <x v="9"/>
    <x v="2"/>
    <x v="12"/>
    <x v="2"/>
    <x v="11"/>
    <x v="11"/>
  </r>
  <r>
    <x v="361"/>
    <x v="118"/>
    <x v="350"/>
    <x v="118"/>
    <x v="1"/>
    <x v="3"/>
    <x v="1"/>
    <x v="7"/>
    <x v="12"/>
    <x v="6"/>
    <x v="1"/>
    <x v="13"/>
    <x v="0"/>
    <x v="11"/>
    <x v="11"/>
  </r>
  <r>
    <x v="362"/>
    <x v="118"/>
    <x v="351"/>
    <x v="118"/>
    <x v="1"/>
    <x v="3"/>
    <x v="1"/>
    <x v="7"/>
    <x v="12"/>
    <x v="6"/>
    <x v="1"/>
    <x v="13"/>
    <x v="0"/>
    <x v="11"/>
    <x v="11"/>
  </r>
  <r>
    <x v="363"/>
    <x v="118"/>
    <x v="352"/>
    <x v="118"/>
    <x v="1"/>
    <x v="3"/>
    <x v="1"/>
    <x v="7"/>
    <x v="12"/>
    <x v="6"/>
    <x v="1"/>
    <x v="13"/>
    <x v="0"/>
    <x v="11"/>
    <x v="11"/>
  </r>
  <r>
    <x v="364"/>
    <x v="119"/>
    <x v="353"/>
    <x v="119"/>
    <x v="0"/>
    <x v="0"/>
    <x v="0"/>
    <x v="0"/>
    <x v="0"/>
    <x v="0"/>
    <x v="0"/>
    <x v="0"/>
    <x v="2"/>
    <x v="11"/>
    <x v="11"/>
  </r>
  <r>
    <x v="365"/>
    <x v="120"/>
    <x v="354"/>
    <x v="120"/>
    <x v="1"/>
    <x v="1"/>
    <x v="0"/>
    <x v="1"/>
    <x v="1"/>
    <x v="1"/>
    <x v="1"/>
    <x v="1"/>
    <x v="0"/>
    <x v="11"/>
    <x v="11"/>
  </r>
  <r>
    <x v="366"/>
    <x v="120"/>
    <x v="355"/>
    <x v="120"/>
    <x v="1"/>
    <x v="1"/>
    <x v="0"/>
    <x v="1"/>
    <x v="1"/>
    <x v="1"/>
    <x v="1"/>
    <x v="1"/>
    <x v="0"/>
    <x v="11"/>
    <x v="11"/>
  </r>
  <r>
    <x v="367"/>
    <x v="120"/>
    <x v="356"/>
    <x v="120"/>
    <x v="1"/>
    <x v="1"/>
    <x v="0"/>
    <x v="1"/>
    <x v="1"/>
    <x v="1"/>
    <x v="1"/>
    <x v="1"/>
    <x v="0"/>
    <x v="11"/>
    <x v="11"/>
  </r>
  <r>
    <x v="368"/>
    <x v="121"/>
    <x v="356"/>
    <x v="121"/>
    <x v="0"/>
    <x v="2"/>
    <x v="1"/>
    <x v="2"/>
    <x v="2"/>
    <x v="2"/>
    <x v="0"/>
    <x v="2"/>
    <x v="2"/>
    <x v="11"/>
    <x v="11"/>
  </r>
  <r>
    <x v="369"/>
    <x v="121"/>
    <x v="357"/>
    <x v="121"/>
    <x v="0"/>
    <x v="2"/>
    <x v="1"/>
    <x v="2"/>
    <x v="2"/>
    <x v="2"/>
    <x v="0"/>
    <x v="2"/>
    <x v="2"/>
    <x v="11"/>
    <x v="11"/>
  </r>
  <r>
    <x v="370"/>
    <x v="122"/>
    <x v="358"/>
    <x v="122"/>
    <x v="1"/>
    <x v="2"/>
    <x v="0"/>
    <x v="3"/>
    <x v="3"/>
    <x v="3"/>
    <x v="1"/>
    <x v="3"/>
    <x v="0"/>
    <x v="11"/>
    <x v="11"/>
  </r>
  <r>
    <x v="371"/>
    <x v="122"/>
    <x v="359"/>
    <x v="122"/>
    <x v="1"/>
    <x v="2"/>
    <x v="0"/>
    <x v="3"/>
    <x v="3"/>
    <x v="3"/>
    <x v="1"/>
    <x v="3"/>
    <x v="0"/>
    <x v="11"/>
    <x v="11"/>
  </r>
  <r>
    <x v="372"/>
    <x v="122"/>
    <x v="360"/>
    <x v="122"/>
    <x v="1"/>
    <x v="2"/>
    <x v="0"/>
    <x v="3"/>
    <x v="3"/>
    <x v="3"/>
    <x v="1"/>
    <x v="3"/>
    <x v="0"/>
    <x v="11"/>
    <x v="11"/>
  </r>
  <r>
    <x v="373"/>
    <x v="122"/>
    <x v="361"/>
    <x v="122"/>
    <x v="1"/>
    <x v="2"/>
    <x v="0"/>
    <x v="3"/>
    <x v="3"/>
    <x v="3"/>
    <x v="1"/>
    <x v="3"/>
    <x v="0"/>
    <x v="11"/>
    <x v="11"/>
  </r>
  <r>
    <x v="374"/>
    <x v="123"/>
    <x v="362"/>
    <x v="123"/>
    <x v="0"/>
    <x v="0"/>
    <x v="0"/>
    <x v="4"/>
    <x v="4"/>
    <x v="4"/>
    <x v="1"/>
    <x v="4"/>
    <x v="2"/>
    <x v="11"/>
    <x v="11"/>
  </r>
  <r>
    <x v="375"/>
    <x v="123"/>
    <x v="363"/>
    <x v="123"/>
    <x v="0"/>
    <x v="0"/>
    <x v="0"/>
    <x v="4"/>
    <x v="4"/>
    <x v="4"/>
    <x v="1"/>
    <x v="4"/>
    <x v="2"/>
    <x v="11"/>
    <x v="11"/>
  </r>
  <r>
    <x v="376"/>
    <x v="124"/>
    <x v="364"/>
    <x v="124"/>
    <x v="2"/>
    <x v="1"/>
    <x v="2"/>
    <x v="5"/>
    <x v="5"/>
    <x v="5"/>
    <x v="2"/>
    <x v="5"/>
    <x v="0"/>
    <x v="11"/>
    <x v="11"/>
  </r>
  <r>
    <x v="377"/>
    <x v="124"/>
    <x v="365"/>
    <x v="124"/>
    <x v="2"/>
    <x v="1"/>
    <x v="2"/>
    <x v="5"/>
    <x v="5"/>
    <x v="5"/>
    <x v="2"/>
    <x v="5"/>
    <x v="0"/>
    <x v="12"/>
    <x v="12"/>
  </r>
  <r>
    <x v="378"/>
    <x v="124"/>
    <x v="366"/>
    <x v="124"/>
    <x v="2"/>
    <x v="1"/>
    <x v="2"/>
    <x v="5"/>
    <x v="5"/>
    <x v="5"/>
    <x v="2"/>
    <x v="5"/>
    <x v="0"/>
    <x v="12"/>
    <x v="12"/>
  </r>
  <r>
    <x v="379"/>
    <x v="124"/>
    <x v="367"/>
    <x v="124"/>
    <x v="2"/>
    <x v="1"/>
    <x v="2"/>
    <x v="5"/>
    <x v="5"/>
    <x v="5"/>
    <x v="2"/>
    <x v="5"/>
    <x v="0"/>
    <x v="12"/>
    <x v="12"/>
  </r>
  <r>
    <x v="380"/>
    <x v="125"/>
    <x v="368"/>
    <x v="125"/>
    <x v="1"/>
    <x v="3"/>
    <x v="1"/>
    <x v="3"/>
    <x v="6"/>
    <x v="6"/>
    <x v="1"/>
    <x v="0"/>
    <x v="1"/>
    <x v="12"/>
    <x v="12"/>
  </r>
  <r>
    <x v="381"/>
    <x v="126"/>
    <x v="369"/>
    <x v="126"/>
    <x v="1"/>
    <x v="2"/>
    <x v="0"/>
    <x v="1"/>
    <x v="1"/>
    <x v="3"/>
    <x v="1"/>
    <x v="6"/>
    <x v="2"/>
    <x v="12"/>
    <x v="12"/>
  </r>
  <r>
    <x v="382"/>
    <x v="126"/>
    <x v="370"/>
    <x v="126"/>
    <x v="1"/>
    <x v="2"/>
    <x v="0"/>
    <x v="1"/>
    <x v="1"/>
    <x v="3"/>
    <x v="1"/>
    <x v="6"/>
    <x v="2"/>
    <x v="12"/>
    <x v="12"/>
  </r>
  <r>
    <x v="383"/>
    <x v="127"/>
    <x v="371"/>
    <x v="127"/>
    <x v="0"/>
    <x v="0"/>
    <x v="0"/>
    <x v="4"/>
    <x v="4"/>
    <x v="4"/>
    <x v="0"/>
    <x v="4"/>
    <x v="0"/>
    <x v="12"/>
    <x v="12"/>
  </r>
  <r>
    <x v="384"/>
    <x v="127"/>
    <x v="372"/>
    <x v="127"/>
    <x v="0"/>
    <x v="0"/>
    <x v="0"/>
    <x v="4"/>
    <x v="4"/>
    <x v="4"/>
    <x v="0"/>
    <x v="4"/>
    <x v="0"/>
    <x v="12"/>
    <x v="12"/>
  </r>
  <r>
    <x v="385"/>
    <x v="127"/>
    <x v="373"/>
    <x v="127"/>
    <x v="0"/>
    <x v="0"/>
    <x v="0"/>
    <x v="4"/>
    <x v="4"/>
    <x v="4"/>
    <x v="0"/>
    <x v="4"/>
    <x v="0"/>
    <x v="12"/>
    <x v="12"/>
  </r>
  <r>
    <x v="386"/>
    <x v="127"/>
    <x v="374"/>
    <x v="127"/>
    <x v="0"/>
    <x v="0"/>
    <x v="0"/>
    <x v="4"/>
    <x v="4"/>
    <x v="4"/>
    <x v="0"/>
    <x v="4"/>
    <x v="0"/>
    <x v="12"/>
    <x v="12"/>
  </r>
  <r>
    <x v="387"/>
    <x v="127"/>
    <x v="375"/>
    <x v="127"/>
    <x v="0"/>
    <x v="0"/>
    <x v="0"/>
    <x v="4"/>
    <x v="4"/>
    <x v="4"/>
    <x v="0"/>
    <x v="4"/>
    <x v="0"/>
    <x v="12"/>
    <x v="12"/>
  </r>
  <r>
    <x v="388"/>
    <x v="128"/>
    <x v="376"/>
    <x v="128"/>
    <x v="1"/>
    <x v="1"/>
    <x v="0"/>
    <x v="6"/>
    <x v="7"/>
    <x v="1"/>
    <x v="1"/>
    <x v="7"/>
    <x v="1"/>
    <x v="12"/>
    <x v="12"/>
  </r>
  <r>
    <x v="389"/>
    <x v="129"/>
    <x v="377"/>
    <x v="129"/>
    <x v="2"/>
    <x v="1"/>
    <x v="2"/>
    <x v="3"/>
    <x v="8"/>
    <x v="7"/>
    <x v="2"/>
    <x v="8"/>
    <x v="2"/>
    <x v="12"/>
    <x v="12"/>
  </r>
  <r>
    <x v="390"/>
    <x v="129"/>
    <x v="378"/>
    <x v="129"/>
    <x v="2"/>
    <x v="1"/>
    <x v="2"/>
    <x v="3"/>
    <x v="8"/>
    <x v="7"/>
    <x v="2"/>
    <x v="8"/>
    <x v="2"/>
    <x v="12"/>
    <x v="12"/>
  </r>
  <r>
    <x v="391"/>
    <x v="130"/>
    <x v="379"/>
    <x v="130"/>
    <x v="0"/>
    <x v="2"/>
    <x v="1"/>
    <x v="5"/>
    <x v="9"/>
    <x v="7"/>
    <x v="0"/>
    <x v="9"/>
    <x v="0"/>
    <x v="12"/>
    <x v="12"/>
  </r>
  <r>
    <x v="392"/>
    <x v="130"/>
    <x v="380"/>
    <x v="130"/>
    <x v="0"/>
    <x v="2"/>
    <x v="1"/>
    <x v="5"/>
    <x v="9"/>
    <x v="7"/>
    <x v="0"/>
    <x v="9"/>
    <x v="0"/>
    <x v="12"/>
    <x v="12"/>
  </r>
  <r>
    <x v="393"/>
    <x v="130"/>
    <x v="381"/>
    <x v="130"/>
    <x v="0"/>
    <x v="2"/>
    <x v="1"/>
    <x v="5"/>
    <x v="9"/>
    <x v="7"/>
    <x v="0"/>
    <x v="9"/>
    <x v="0"/>
    <x v="12"/>
    <x v="12"/>
  </r>
  <r>
    <x v="394"/>
    <x v="130"/>
    <x v="382"/>
    <x v="130"/>
    <x v="0"/>
    <x v="2"/>
    <x v="1"/>
    <x v="5"/>
    <x v="9"/>
    <x v="7"/>
    <x v="0"/>
    <x v="9"/>
    <x v="0"/>
    <x v="12"/>
    <x v="12"/>
  </r>
  <r>
    <x v="395"/>
    <x v="130"/>
    <x v="383"/>
    <x v="130"/>
    <x v="0"/>
    <x v="2"/>
    <x v="1"/>
    <x v="5"/>
    <x v="9"/>
    <x v="7"/>
    <x v="0"/>
    <x v="9"/>
    <x v="0"/>
    <x v="12"/>
    <x v="12"/>
  </r>
  <r>
    <x v="396"/>
    <x v="130"/>
    <x v="384"/>
    <x v="130"/>
    <x v="0"/>
    <x v="2"/>
    <x v="1"/>
    <x v="5"/>
    <x v="9"/>
    <x v="7"/>
    <x v="0"/>
    <x v="9"/>
    <x v="0"/>
    <x v="12"/>
    <x v="12"/>
  </r>
  <r>
    <x v="397"/>
    <x v="130"/>
    <x v="385"/>
    <x v="130"/>
    <x v="0"/>
    <x v="2"/>
    <x v="1"/>
    <x v="5"/>
    <x v="9"/>
    <x v="7"/>
    <x v="0"/>
    <x v="9"/>
    <x v="0"/>
    <x v="12"/>
    <x v="12"/>
  </r>
  <r>
    <x v="398"/>
    <x v="131"/>
    <x v="386"/>
    <x v="131"/>
    <x v="1"/>
    <x v="2"/>
    <x v="0"/>
    <x v="7"/>
    <x v="10"/>
    <x v="3"/>
    <x v="1"/>
    <x v="10"/>
    <x v="1"/>
    <x v="12"/>
    <x v="12"/>
  </r>
  <r>
    <x v="399"/>
    <x v="132"/>
    <x v="387"/>
    <x v="132"/>
    <x v="3"/>
    <x v="0"/>
    <x v="0"/>
    <x v="3"/>
    <x v="3"/>
    <x v="8"/>
    <x v="0"/>
    <x v="11"/>
    <x v="2"/>
    <x v="12"/>
    <x v="12"/>
  </r>
  <r>
    <x v="400"/>
    <x v="132"/>
    <x v="387"/>
    <x v="132"/>
    <x v="3"/>
    <x v="0"/>
    <x v="0"/>
    <x v="3"/>
    <x v="3"/>
    <x v="8"/>
    <x v="0"/>
    <x v="11"/>
    <x v="2"/>
    <x v="12"/>
    <x v="12"/>
  </r>
  <r>
    <x v="401"/>
    <x v="132"/>
    <x v="388"/>
    <x v="132"/>
    <x v="3"/>
    <x v="0"/>
    <x v="0"/>
    <x v="3"/>
    <x v="3"/>
    <x v="8"/>
    <x v="0"/>
    <x v="11"/>
    <x v="2"/>
    <x v="12"/>
    <x v="12"/>
  </r>
  <r>
    <x v="402"/>
    <x v="133"/>
    <x v="389"/>
    <x v="133"/>
    <x v="0"/>
    <x v="0"/>
    <x v="0"/>
    <x v="0"/>
    <x v="0"/>
    <x v="0"/>
    <x v="1"/>
    <x v="0"/>
    <x v="0"/>
    <x v="12"/>
    <x v="12"/>
  </r>
  <r>
    <x v="403"/>
    <x v="133"/>
    <x v="390"/>
    <x v="133"/>
    <x v="0"/>
    <x v="0"/>
    <x v="0"/>
    <x v="0"/>
    <x v="0"/>
    <x v="0"/>
    <x v="1"/>
    <x v="0"/>
    <x v="0"/>
    <x v="12"/>
    <x v="12"/>
  </r>
  <r>
    <x v="404"/>
    <x v="133"/>
    <x v="391"/>
    <x v="133"/>
    <x v="0"/>
    <x v="0"/>
    <x v="0"/>
    <x v="0"/>
    <x v="0"/>
    <x v="0"/>
    <x v="1"/>
    <x v="0"/>
    <x v="0"/>
    <x v="12"/>
    <x v="12"/>
  </r>
  <r>
    <x v="405"/>
    <x v="133"/>
    <x v="392"/>
    <x v="133"/>
    <x v="0"/>
    <x v="0"/>
    <x v="0"/>
    <x v="0"/>
    <x v="0"/>
    <x v="0"/>
    <x v="1"/>
    <x v="0"/>
    <x v="0"/>
    <x v="12"/>
    <x v="12"/>
  </r>
  <r>
    <x v="406"/>
    <x v="133"/>
    <x v="393"/>
    <x v="133"/>
    <x v="0"/>
    <x v="0"/>
    <x v="0"/>
    <x v="0"/>
    <x v="0"/>
    <x v="0"/>
    <x v="1"/>
    <x v="0"/>
    <x v="0"/>
    <x v="12"/>
    <x v="12"/>
  </r>
  <r>
    <x v="407"/>
    <x v="133"/>
    <x v="394"/>
    <x v="133"/>
    <x v="0"/>
    <x v="0"/>
    <x v="0"/>
    <x v="0"/>
    <x v="0"/>
    <x v="0"/>
    <x v="1"/>
    <x v="0"/>
    <x v="0"/>
    <x v="12"/>
    <x v="12"/>
  </r>
  <r>
    <x v="408"/>
    <x v="133"/>
    <x v="395"/>
    <x v="133"/>
    <x v="0"/>
    <x v="0"/>
    <x v="0"/>
    <x v="0"/>
    <x v="0"/>
    <x v="0"/>
    <x v="1"/>
    <x v="0"/>
    <x v="0"/>
    <x v="13"/>
    <x v="13"/>
  </r>
  <r>
    <x v="409"/>
    <x v="133"/>
    <x v="396"/>
    <x v="133"/>
    <x v="0"/>
    <x v="0"/>
    <x v="0"/>
    <x v="0"/>
    <x v="0"/>
    <x v="0"/>
    <x v="1"/>
    <x v="0"/>
    <x v="0"/>
    <x v="13"/>
    <x v="13"/>
  </r>
  <r>
    <x v="410"/>
    <x v="133"/>
    <x v="397"/>
    <x v="133"/>
    <x v="0"/>
    <x v="0"/>
    <x v="0"/>
    <x v="0"/>
    <x v="0"/>
    <x v="0"/>
    <x v="1"/>
    <x v="0"/>
    <x v="0"/>
    <x v="13"/>
    <x v="13"/>
  </r>
  <r>
    <x v="411"/>
    <x v="133"/>
    <x v="398"/>
    <x v="133"/>
    <x v="0"/>
    <x v="0"/>
    <x v="0"/>
    <x v="0"/>
    <x v="0"/>
    <x v="0"/>
    <x v="1"/>
    <x v="0"/>
    <x v="0"/>
    <x v="13"/>
    <x v="13"/>
  </r>
  <r>
    <x v="412"/>
    <x v="134"/>
    <x v="399"/>
    <x v="134"/>
    <x v="2"/>
    <x v="1"/>
    <x v="2"/>
    <x v="1"/>
    <x v="11"/>
    <x v="9"/>
    <x v="2"/>
    <x v="12"/>
    <x v="1"/>
    <x v="13"/>
    <x v="13"/>
  </r>
  <r>
    <x v="413"/>
    <x v="135"/>
    <x v="400"/>
    <x v="135"/>
    <x v="1"/>
    <x v="3"/>
    <x v="1"/>
    <x v="7"/>
    <x v="12"/>
    <x v="6"/>
    <x v="1"/>
    <x v="13"/>
    <x v="2"/>
    <x v="13"/>
    <x v="13"/>
  </r>
  <r>
    <x v="414"/>
    <x v="135"/>
    <x v="401"/>
    <x v="135"/>
    <x v="1"/>
    <x v="3"/>
    <x v="1"/>
    <x v="7"/>
    <x v="12"/>
    <x v="6"/>
    <x v="1"/>
    <x v="13"/>
    <x v="2"/>
    <x v="13"/>
    <x v="13"/>
  </r>
  <r>
    <x v="415"/>
    <x v="135"/>
    <x v="402"/>
    <x v="135"/>
    <x v="1"/>
    <x v="3"/>
    <x v="1"/>
    <x v="7"/>
    <x v="12"/>
    <x v="6"/>
    <x v="1"/>
    <x v="13"/>
    <x v="2"/>
    <x v="13"/>
    <x v="13"/>
  </r>
</pivotCacheRecords>
</file>

<file path=xl/pivotCache/pivotCacheRecords3.xml><?xml version="1.0" encoding="utf-8"?>
<pivotCacheRecords xmlns="http://schemas.openxmlformats.org/spreadsheetml/2006/main" count="416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0"/>
    <x v="0"/>
  </r>
  <r>
    <x v="2"/>
    <x v="1"/>
    <x v="2"/>
    <x v="1"/>
    <x v="1"/>
    <x v="1"/>
    <x v="0"/>
    <x v="1"/>
    <x v="1"/>
    <x v="1"/>
    <x v="1"/>
    <x v="1"/>
    <x v="1"/>
    <x v="0"/>
    <x v="0"/>
  </r>
  <r>
    <x v="3"/>
    <x v="1"/>
    <x v="3"/>
    <x v="1"/>
    <x v="1"/>
    <x v="1"/>
    <x v="0"/>
    <x v="1"/>
    <x v="1"/>
    <x v="1"/>
    <x v="1"/>
    <x v="1"/>
    <x v="1"/>
    <x v="0"/>
    <x v="0"/>
  </r>
  <r>
    <x v="4"/>
    <x v="2"/>
    <x v="4"/>
    <x v="2"/>
    <x v="0"/>
    <x v="2"/>
    <x v="1"/>
    <x v="2"/>
    <x v="2"/>
    <x v="2"/>
    <x v="0"/>
    <x v="2"/>
    <x v="0"/>
    <x v="0"/>
    <x v="0"/>
  </r>
  <r>
    <x v="5"/>
    <x v="2"/>
    <x v="5"/>
    <x v="2"/>
    <x v="0"/>
    <x v="2"/>
    <x v="1"/>
    <x v="2"/>
    <x v="2"/>
    <x v="2"/>
    <x v="0"/>
    <x v="2"/>
    <x v="0"/>
    <x v="0"/>
    <x v="0"/>
  </r>
  <r>
    <x v="6"/>
    <x v="3"/>
    <x v="6"/>
    <x v="3"/>
    <x v="1"/>
    <x v="2"/>
    <x v="0"/>
    <x v="3"/>
    <x v="3"/>
    <x v="3"/>
    <x v="1"/>
    <x v="3"/>
    <x v="1"/>
    <x v="0"/>
    <x v="0"/>
  </r>
  <r>
    <x v="7"/>
    <x v="3"/>
    <x v="7"/>
    <x v="3"/>
    <x v="1"/>
    <x v="2"/>
    <x v="0"/>
    <x v="3"/>
    <x v="3"/>
    <x v="3"/>
    <x v="1"/>
    <x v="3"/>
    <x v="1"/>
    <x v="0"/>
    <x v="0"/>
  </r>
  <r>
    <x v="8"/>
    <x v="3"/>
    <x v="8"/>
    <x v="3"/>
    <x v="1"/>
    <x v="2"/>
    <x v="0"/>
    <x v="3"/>
    <x v="3"/>
    <x v="3"/>
    <x v="1"/>
    <x v="3"/>
    <x v="1"/>
    <x v="0"/>
    <x v="0"/>
  </r>
  <r>
    <x v="9"/>
    <x v="3"/>
    <x v="9"/>
    <x v="3"/>
    <x v="1"/>
    <x v="2"/>
    <x v="0"/>
    <x v="3"/>
    <x v="3"/>
    <x v="3"/>
    <x v="1"/>
    <x v="3"/>
    <x v="1"/>
    <x v="0"/>
    <x v="0"/>
  </r>
  <r>
    <x v="10"/>
    <x v="4"/>
    <x v="10"/>
    <x v="4"/>
    <x v="0"/>
    <x v="0"/>
    <x v="0"/>
    <x v="4"/>
    <x v="4"/>
    <x v="4"/>
    <x v="1"/>
    <x v="4"/>
    <x v="0"/>
    <x v="0"/>
    <x v="0"/>
  </r>
  <r>
    <x v="11"/>
    <x v="4"/>
    <x v="11"/>
    <x v="4"/>
    <x v="0"/>
    <x v="0"/>
    <x v="0"/>
    <x v="4"/>
    <x v="4"/>
    <x v="4"/>
    <x v="1"/>
    <x v="4"/>
    <x v="0"/>
    <x v="0"/>
    <x v="0"/>
  </r>
  <r>
    <x v="12"/>
    <x v="5"/>
    <x v="12"/>
    <x v="5"/>
    <x v="2"/>
    <x v="1"/>
    <x v="2"/>
    <x v="5"/>
    <x v="5"/>
    <x v="5"/>
    <x v="2"/>
    <x v="5"/>
    <x v="1"/>
    <x v="0"/>
    <x v="0"/>
  </r>
  <r>
    <x v="13"/>
    <x v="5"/>
    <x v="13"/>
    <x v="5"/>
    <x v="2"/>
    <x v="1"/>
    <x v="2"/>
    <x v="5"/>
    <x v="5"/>
    <x v="5"/>
    <x v="2"/>
    <x v="5"/>
    <x v="1"/>
    <x v="0"/>
    <x v="0"/>
  </r>
  <r>
    <x v="14"/>
    <x v="5"/>
    <x v="14"/>
    <x v="5"/>
    <x v="2"/>
    <x v="1"/>
    <x v="2"/>
    <x v="5"/>
    <x v="5"/>
    <x v="5"/>
    <x v="2"/>
    <x v="5"/>
    <x v="1"/>
    <x v="0"/>
    <x v="0"/>
  </r>
  <r>
    <x v="15"/>
    <x v="5"/>
    <x v="15"/>
    <x v="5"/>
    <x v="2"/>
    <x v="1"/>
    <x v="2"/>
    <x v="5"/>
    <x v="5"/>
    <x v="5"/>
    <x v="2"/>
    <x v="5"/>
    <x v="1"/>
    <x v="0"/>
    <x v="0"/>
  </r>
  <r>
    <x v="16"/>
    <x v="6"/>
    <x v="15"/>
    <x v="6"/>
    <x v="1"/>
    <x v="3"/>
    <x v="1"/>
    <x v="3"/>
    <x v="6"/>
    <x v="6"/>
    <x v="1"/>
    <x v="0"/>
    <x v="2"/>
    <x v="0"/>
    <x v="0"/>
  </r>
  <r>
    <x v="17"/>
    <x v="7"/>
    <x v="16"/>
    <x v="7"/>
    <x v="1"/>
    <x v="2"/>
    <x v="0"/>
    <x v="1"/>
    <x v="1"/>
    <x v="3"/>
    <x v="1"/>
    <x v="6"/>
    <x v="0"/>
    <x v="0"/>
    <x v="0"/>
  </r>
  <r>
    <x v="18"/>
    <x v="7"/>
    <x v="17"/>
    <x v="7"/>
    <x v="1"/>
    <x v="2"/>
    <x v="0"/>
    <x v="1"/>
    <x v="1"/>
    <x v="3"/>
    <x v="1"/>
    <x v="6"/>
    <x v="0"/>
    <x v="0"/>
    <x v="0"/>
  </r>
  <r>
    <x v="19"/>
    <x v="8"/>
    <x v="18"/>
    <x v="8"/>
    <x v="0"/>
    <x v="0"/>
    <x v="0"/>
    <x v="4"/>
    <x v="4"/>
    <x v="4"/>
    <x v="0"/>
    <x v="4"/>
    <x v="1"/>
    <x v="0"/>
    <x v="0"/>
  </r>
  <r>
    <x v="20"/>
    <x v="8"/>
    <x v="19"/>
    <x v="8"/>
    <x v="0"/>
    <x v="0"/>
    <x v="0"/>
    <x v="4"/>
    <x v="4"/>
    <x v="4"/>
    <x v="0"/>
    <x v="4"/>
    <x v="1"/>
    <x v="0"/>
    <x v="0"/>
  </r>
  <r>
    <x v="21"/>
    <x v="8"/>
    <x v="20"/>
    <x v="8"/>
    <x v="0"/>
    <x v="0"/>
    <x v="0"/>
    <x v="4"/>
    <x v="4"/>
    <x v="4"/>
    <x v="0"/>
    <x v="4"/>
    <x v="1"/>
    <x v="0"/>
    <x v="0"/>
  </r>
  <r>
    <x v="22"/>
    <x v="8"/>
    <x v="21"/>
    <x v="8"/>
    <x v="0"/>
    <x v="0"/>
    <x v="0"/>
    <x v="4"/>
    <x v="4"/>
    <x v="4"/>
    <x v="0"/>
    <x v="4"/>
    <x v="1"/>
    <x v="0"/>
    <x v="0"/>
  </r>
  <r>
    <x v="23"/>
    <x v="8"/>
    <x v="22"/>
    <x v="8"/>
    <x v="0"/>
    <x v="0"/>
    <x v="0"/>
    <x v="4"/>
    <x v="4"/>
    <x v="4"/>
    <x v="0"/>
    <x v="4"/>
    <x v="1"/>
    <x v="0"/>
    <x v="0"/>
  </r>
  <r>
    <x v="24"/>
    <x v="9"/>
    <x v="23"/>
    <x v="9"/>
    <x v="1"/>
    <x v="1"/>
    <x v="0"/>
    <x v="6"/>
    <x v="7"/>
    <x v="1"/>
    <x v="1"/>
    <x v="7"/>
    <x v="2"/>
    <x v="0"/>
    <x v="0"/>
  </r>
  <r>
    <x v="25"/>
    <x v="10"/>
    <x v="24"/>
    <x v="10"/>
    <x v="2"/>
    <x v="1"/>
    <x v="2"/>
    <x v="3"/>
    <x v="8"/>
    <x v="7"/>
    <x v="2"/>
    <x v="8"/>
    <x v="0"/>
    <x v="0"/>
    <x v="0"/>
  </r>
  <r>
    <x v="26"/>
    <x v="10"/>
    <x v="25"/>
    <x v="10"/>
    <x v="2"/>
    <x v="1"/>
    <x v="2"/>
    <x v="3"/>
    <x v="8"/>
    <x v="7"/>
    <x v="2"/>
    <x v="8"/>
    <x v="0"/>
    <x v="0"/>
    <x v="0"/>
  </r>
  <r>
    <x v="27"/>
    <x v="11"/>
    <x v="26"/>
    <x v="11"/>
    <x v="0"/>
    <x v="2"/>
    <x v="1"/>
    <x v="5"/>
    <x v="9"/>
    <x v="7"/>
    <x v="0"/>
    <x v="9"/>
    <x v="1"/>
    <x v="0"/>
    <x v="0"/>
  </r>
  <r>
    <x v="28"/>
    <x v="11"/>
    <x v="27"/>
    <x v="11"/>
    <x v="0"/>
    <x v="2"/>
    <x v="1"/>
    <x v="5"/>
    <x v="9"/>
    <x v="7"/>
    <x v="0"/>
    <x v="9"/>
    <x v="1"/>
    <x v="0"/>
    <x v="0"/>
  </r>
  <r>
    <x v="29"/>
    <x v="11"/>
    <x v="28"/>
    <x v="11"/>
    <x v="0"/>
    <x v="2"/>
    <x v="1"/>
    <x v="5"/>
    <x v="9"/>
    <x v="7"/>
    <x v="0"/>
    <x v="9"/>
    <x v="1"/>
    <x v="0"/>
    <x v="0"/>
  </r>
  <r>
    <x v="30"/>
    <x v="11"/>
    <x v="29"/>
    <x v="11"/>
    <x v="0"/>
    <x v="2"/>
    <x v="1"/>
    <x v="5"/>
    <x v="9"/>
    <x v="7"/>
    <x v="0"/>
    <x v="9"/>
    <x v="1"/>
    <x v="0"/>
    <x v="0"/>
  </r>
  <r>
    <x v="31"/>
    <x v="11"/>
    <x v="30"/>
    <x v="11"/>
    <x v="0"/>
    <x v="2"/>
    <x v="1"/>
    <x v="5"/>
    <x v="9"/>
    <x v="7"/>
    <x v="0"/>
    <x v="9"/>
    <x v="1"/>
    <x v="1"/>
    <x v="1"/>
  </r>
  <r>
    <x v="32"/>
    <x v="11"/>
    <x v="31"/>
    <x v="11"/>
    <x v="0"/>
    <x v="2"/>
    <x v="1"/>
    <x v="5"/>
    <x v="9"/>
    <x v="7"/>
    <x v="0"/>
    <x v="9"/>
    <x v="1"/>
    <x v="1"/>
    <x v="1"/>
  </r>
  <r>
    <x v="33"/>
    <x v="11"/>
    <x v="32"/>
    <x v="11"/>
    <x v="0"/>
    <x v="2"/>
    <x v="1"/>
    <x v="5"/>
    <x v="9"/>
    <x v="7"/>
    <x v="0"/>
    <x v="9"/>
    <x v="1"/>
    <x v="1"/>
    <x v="1"/>
  </r>
  <r>
    <x v="34"/>
    <x v="12"/>
    <x v="33"/>
    <x v="12"/>
    <x v="1"/>
    <x v="2"/>
    <x v="0"/>
    <x v="7"/>
    <x v="10"/>
    <x v="3"/>
    <x v="1"/>
    <x v="10"/>
    <x v="2"/>
    <x v="1"/>
    <x v="1"/>
  </r>
  <r>
    <x v="35"/>
    <x v="13"/>
    <x v="34"/>
    <x v="13"/>
    <x v="3"/>
    <x v="0"/>
    <x v="0"/>
    <x v="3"/>
    <x v="3"/>
    <x v="8"/>
    <x v="0"/>
    <x v="11"/>
    <x v="0"/>
    <x v="1"/>
    <x v="1"/>
  </r>
  <r>
    <x v="36"/>
    <x v="13"/>
    <x v="35"/>
    <x v="13"/>
    <x v="3"/>
    <x v="0"/>
    <x v="0"/>
    <x v="3"/>
    <x v="3"/>
    <x v="8"/>
    <x v="0"/>
    <x v="11"/>
    <x v="0"/>
    <x v="1"/>
    <x v="1"/>
  </r>
  <r>
    <x v="37"/>
    <x v="13"/>
    <x v="36"/>
    <x v="13"/>
    <x v="3"/>
    <x v="0"/>
    <x v="0"/>
    <x v="3"/>
    <x v="3"/>
    <x v="8"/>
    <x v="0"/>
    <x v="11"/>
    <x v="0"/>
    <x v="1"/>
    <x v="1"/>
  </r>
  <r>
    <x v="38"/>
    <x v="14"/>
    <x v="37"/>
    <x v="14"/>
    <x v="0"/>
    <x v="0"/>
    <x v="0"/>
    <x v="0"/>
    <x v="0"/>
    <x v="0"/>
    <x v="1"/>
    <x v="0"/>
    <x v="1"/>
    <x v="1"/>
    <x v="1"/>
  </r>
  <r>
    <x v="39"/>
    <x v="14"/>
    <x v="38"/>
    <x v="14"/>
    <x v="0"/>
    <x v="0"/>
    <x v="0"/>
    <x v="0"/>
    <x v="0"/>
    <x v="0"/>
    <x v="1"/>
    <x v="0"/>
    <x v="1"/>
    <x v="1"/>
    <x v="1"/>
  </r>
  <r>
    <x v="40"/>
    <x v="14"/>
    <x v="39"/>
    <x v="14"/>
    <x v="0"/>
    <x v="0"/>
    <x v="0"/>
    <x v="0"/>
    <x v="0"/>
    <x v="0"/>
    <x v="1"/>
    <x v="0"/>
    <x v="1"/>
    <x v="1"/>
    <x v="1"/>
  </r>
  <r>
    <x v="41"/>
    <x v="14"/>
    <x v="40"/>
    <x v="14"/>
    <x v="0"/>
    <x v="0"/>
    <x v="0"/>
    <x v="0"/>
    <x v="0"/>
    <x v="0"/>
    <x v="1"/>
    <x v="0"/>
    <x v="1"/>
    <x v="1"/>
    <x v="1"/>
  </r>
  <r>
    <x v="42"/>
    <x v="14"/>
    <x v="41"/>
    <x v="14"/>
    <x v="0"/>
    <x v="0"/>
    <x v="0"/>
    <x v="0"/>
    <x v="0"/>
    <x v="0"/>
    <x v="1"/>
    <x v="0"/>
    <x v="1"/>
    <x v="1"/>
    <x v="1"/>
  </r>
  <r>
    <x v="43"/>
    <x v="14"/>
    <x v="42"/>
    <x v="14"/>
    <x v="0"/>
    <x v="0"/>
    <x v="0"/>
    <x v="0"/>
    <x v="0"/>
    <x v="0"/>
    <x v="1"/>
    <x v="0"/>
    <x v="1"/>
    <x v="1"/>
    <x v="1"/>
  </r>
  <r>
    <x v="44"/>
    <x v="14"/>
    <x v="43"/>
    <x v="14"/>
    <x v="0"/>
    <x v="0"/>
    <x v="0"/>
    <x v="0"/>
    <x v="0"/>
    <x v="0"/>
    <x v="1"/>
    <x v="0"/>
    <x v="1"/>
    <x v="1"/>
    <x v="1"/>
  </r>
  <r>
    <x v="45"/>
    <x v="14"/>
    <x v="44"/>
    <x v="14"/>
    <x v="0"/>
    <x v="0"/>
    <x v="0"/>
    <x v="0"/>
    <x v="0"/>
    <x v="0"/>
    <x v="1"/>
    <x v="0"/>
    <x v="1"/>
    <x v="1"/>
    <x v="1"/>
  </r>
  <r>
    <x v="46"/>
    <x v="14"/>
    <x v="45"/>
    <x v="14"/>
    <x v="0"/>
    <x v="0"/>
    <x v="0"/>
    <x v="0"/>
    <x v="0"/>
    <x v="0"/>
    <x v="1"/>
    <x v="0"/>
    <x v="1"/>
    <x v="1"/>
    <x v="1"/>
  </r>
  <r>
    <x v="47"/>
    <x v="14"/>
    <x v="46"/>
    <x v="14"/>
    <x v="0"/>
    <x v="0"/>
    <x v="0"/>
    <x v="0"/>
    <x v="0"/>
    <x v="0"/>
    <x v="1"/>
    <x v="0"/>
    <x v="1"/>
    <x v="1"/>
    <x v="1"/>
  </r>
  <r>
    <x v="48"/>
    <x v="15"/>
    <x v="46"/>
    <x v="15"/>
    <x v="2"/>
    <x v="1"/>
    <x v="2"/>
    <x v="1"/>
    <x v="11"/>
    <x v="9"/>
    <x v="2"/>
    <x v="12"/>
    <x v="2"/>
    <x v="1"/>
    <x v="1"/>
  </r>
  <r>
    <x v="49"/>
    <x v="16"/>
    <x v="47"/>
    <x v="16"/>
    <x v="1"/>
    <x v="3"/>
    <x v="1"/>
    <x v="7"/>
    <x v="12"/>
    <x v="6"/>
    <x v="1"/>
    <x v="13"/>
    <x v="0"/>
    <x v="1"/>
    <x v="1"/>
  </r>
  <r>
    <x v="50"/>
    <x v="16"/>
    <x v="48"/>
    <x v="16"/>
    <x v="1"/>
    <x v="3"/>
    <x v="1"/>
    <x v="7"/>
    <x v="12"/>
    <x v="6"/>
    <x v="1"/>
    <x v="13"/>
    <x v="0"/>
    <x v="1"/>
    <x v="1"/>
  </r>
  <r>
    <x v="51"/>
    <x v="16"/>
    <x v="49"/>
    <x v="16"/>
    <x v="1"/>
    <x v="3"/>
    <x v="1"/>
    <x v="7"/>
    <x v="12"/>
    <x v="6"/>
    <x v="1"/>
    <x v="13"/>
    <x v="0"/>
    <x v="1"/>
    <x v="1"/>
  </r>
  <r>
    <x v="52"/>
    <x v="17"/>
    <x v="50"/>
    <x v="17"/>
    <x v="0"/>
    <x v="0"/>
    <x v="0"/>
    <x v="0"/>
    <x v="0"/>
    <x v="0"/>
    <x v="0"/>
    <x v="0"/>
    <x v="2"/>
    <x v="1"/>
    <x v="1"/>
  </r>
  <r>
    <x v="53"/>
    <x v="18"/>
    <x v="51"/>
    <x v="18"/>
    <x v="1"/>
    <x v="1"/>
    <x v="0"/>
    <x v="1"/>
    <x v="1"/>
    <x v="1"/>
    <x v="1"/>
    <x v="1"/>
    <x v="0"/>
    <x v="1"/>
    <x v="1"/>
  </r>
  <r>
    <x v="54"/>
    <x v="18"/>
    <x v="52"/>
    <x v="18"/>
    <x v="1"/>
    <x v="1"/>
    <x v="0"/>
    <x v="1"/>
    <x v="1"/>
    <x v="1"/>
    <x v="1"/>
    <x v="1"/>
    <x v="0"/>
    <x v="1"/>
    <x v="1"/>
  </r>
  <r>
    <x v="55"/>
    <x v="18"/>
    <x v="53"/>
    <x v="18"/>
    <x v="1"/>
    <x v="1"/>
    <x v="0"/>
    <x v="1"/>
    <x v="1"/>
    <x v="1"/>
    <x v="1"/>
    <x v="1"/>
    <x v="0"/>
    <x v="1"/>
    <x v="1"/>
  </r>
  <r>
    <x v="56"/>
    <x v="19"/>
    <x v="54"/>
    <x v="19"/>
    <x v="0"/>
    <x v="2"/>
    <x v="1"/>
    <x v="2"/>
    <x v="2"/>
    <x v="2"/>
    <x v="0"/>
    <x v="2"/>
    <x v="2"/>
    <x v="1"/>
    <x v="1"/>
  </r>
  <r>
    <x v="57"/>
    <x v="19"/>
    <x v="55"/>
    <x v="19"/>
    <x v="0"/>
    <x v="2"/>
    <x v="1"/>
    <x v="2"/>
    <x v="2"/>
    <x v="2"/>
    <x v="0"/>
    <x v="2"/>
    <x v="2"/>
    <x v="1"/>
    <x v="1"/>
  </r>
  <r>
    <x v="58"/>
    <x v="20"/>
    <x v="56"/>
    <x v="20"/>
    <x v="1"/>
    <x v="2"/>
    <x v="0"/>
    <x v="3"/>
    <x v="3"/>
    <x v="3"/>
    <x v="1"/>
    <x v="3"/>
    <x v="0"/>
    <x v="1"/>
    <x v="1"/>
  </r>
  <r>
    <x v="59"/>
    <x v="20"/>
    <x v="57"/>
    <x v="20"/>
    <x v="1"/>
    <x v="2"/>
    <x v="0"/>
    <x v="3"/>
    <x v="3"/>
    <x v="3"/>
    <x v="1"/>
    <x v="3"/>
    <x v="0"/>
    <x v="1"/>
    <x v="1"/>
  </r>
  <r>
    <x v="60"/>
    <x v="20"/>
    <x v="58"/>
    <x v="20"/>
    <x v="1"/>
    <x v="2"/>
    <x v="0"/>
    <x v="3"/>
    <x v="3"/>
    <x v="3"/>
    <x v="1"/>
    <x v="3"/>
    <x v="0"/>
    <x v="1"/>
    <x v="1"/>
  </r>
  <r>
    <x v="61"/>
    <x v="20"/>
    <x v="59"/>
    <x v="20"/>
    <x v="1"/>
    <x v="2"/>
    <x v="0"/>
    <x v="3"/>
    <x v="3"/>
    <x v="3"/>
    <x v="1"/>
    <x v="3"/>
    <x v="0"/>
    <x v="1"/>
    <x v="1"/>
  </r>
  <r>
    <x v="62"/>
    <x v="21"/>
    <x v="60"/>
    <x v="21"/>
    <x v="0"/>
    <x v="0"/>
    <x v="0"/>
    <x v="4"/>
    <x v="4"/>
    <x v="4"/>
    <x v="1"/>
    <x v="4"/>
    <x v="2"/>
    <x v="1"/>
    <x v="1"/>
  </r>
  <r>
    <x v="63"/>
    <x v="21"/>
    <x v="61"/>
    <x v="21"/>
    <x v="0"/>
    <x v="0"/>
    <x v="0"/>
    <x v="4"/>
    <x v="4"/>
    <x v="4"/>
    <x v="1"/>
    <x v="4"/>
    <x v="2"/>
    <x v="2"/>
    <x v="2"/>
  </r>
  <r>
    <x v="64"/>
    <x v="22"/>
    <x v="62"/>
    <x v="22"/>
    <x v="2"/>
    <x v="1"/>
    <x v="2"/>
    <x v="5"/>
    <x v="5"/>
    <x v="5"/>
    <x v="2"/>
    <x v="5"/>
    <x v="0"/>
    <x v="2"/>
    <x v="2"/>
  </r>
  <r>
    <x v="65"/>
    <x v="22"/>
    <x v="63"/>
    <x v="22"/>
    <x v="2"/>
    <x v="1"/>
    <x v="2"/>
    <x v="5"/>
    <x v="5"/>
    <x v="5"/>
    <x v="2"/>
    <x v="5"/>
    <x v="0"/>
    <x v="2"/>
    <x v="2"/>
  </r>
  <r>
    <x v="66"/>
    <x v="22"/>
    <x v="64"/>
    <x v="22"/>
    <x v="2"/>
    <x v="1"/>
    <x v="2"/>
    <x v="5"/>
    <x v="5"/>
    <x v="5"/>
    <x v="2"/>
    <x v="5"/>
    <x v="0"/>
    <x v="2"/>
    <x v="2"/>
  </r>
  <r>
    <x v="67"/>
    <x v="22"/>
    <x v="65"/>
    <x v="22"/>
    <x v="2"/>
    <x v="1"/>
    <x v="2"/>
    <x v="5"/>
    <x v="5"/>
    <x v="5"/>
    <x v="2"/>
    <x v="5"/>
    <x v="0"/>
    <x v="2"/>
    <x v="2"/>
  </r>
  <r>
    <x v="68"/>
    <x v="23"/>
    <x v="66"/>
    <x v="23"/>
    <x v="1"/>
    <x v="3"/>
    <x v="1"/>
    <x v="3"/>
    <x v="6"/>
    <x v="6"/>
    <x v="1"/>
    <x v="0"/>
    <x v="1"/>
    <x v="2"/>
    <x v="2"/>
  </r>
  <r>
    <x v="69"/>
    <x v="24"/>
    <x v="67"/>
    <x v="24"/>
    <x v="1"/>
    <x v="2"/>
    <x v="0"/>
    <x v="1"/>
    <x v="1"/>
    <x v="3"/>
    <x v="1"/>
    <x v="6"/>
    <x v="2"/>
    <x v="2"/>
    <x v="2"/>
  </r>
  <r>
    <x v="70"/>
    <x v="24"/>
    <x v="68"/>
    <x v="24"/>
    <x v="1"/>
    <x v="2"/>
    <x v="0"/>
    <x v="1"/>
    <x v="1"/>
    <x v="3"/>
    <x v="1"/>
    <x v="6"/>
    <x v="2"/>
    <x v="2"/>
    <x v="2"/>
  </r>
  <r>
    <x v="71"/>
    <x v="25"/>
    <x v="69"/>
    <x v="25"/>
    <x v="0"/>
    <x v="0"/>
    <x v="0"/>
    <x v="4"/>
    <x v="4"/>
    <x v="4"/>
    <x v="0"/>
    <x v="4"/>
    <x v="0"/>
    <x v="2"/>
    <x v="2"/>
  </r>
  <r>
    <x v="72"/>
    <x v="25"/>
    <x v="70"/>
    <x v="25"/>
    <x v="0"/>
    <x v="0"/>
    <x v="0"/>
    <x v="4"/>
    <x v="4"/>
    <x v="4"/>
    <x v="0"/>
    <x v="4"/>
    <x v="0"/>
    <x v="2"/>
    <x v="2"/>
  </r>
  <r>
    <x v="73"/>
    <x v="25"/>
    <x v="71"/>
    <x v="25"/>
    <x v="0"/>
    <x v="0"/>
    <x v="0"/>
    <x v="4"/>
    <x v="4"/>
    <x v="4"/>
    <x v="0"/>
    <x v="4"/>
    <x v="0"/>
    <x v="2"/>
    <x v="2"/>
  </r>
  <r>
    <x v="74"/>
    <x v="25"/>
    <x v="72"/>
    <x v="25"/>
    <x v="0"/>
    <x v="0"/>
    <x v="0"/>
    <x v="4"/>
    <x v="4"/>
    <x v="4"/>
    <x v="0"/>
    <x v="4"/>
    <x v="0"/>
    <x v="2"/>
    <x v="2"/>
  </r>
  <r>
    <x v="75"/>
    <x v="25"/>
    <x v="73"/>
    <x v="25"/>
    <x v="0"/>
    <x v="0"/>
    <x v="0"/>
    <x v="4"/>
    <x v="4"/>
    <x v="4"/>
    <x v="0"/>
    <x v="4"/>
    <x v="0"/>
    <x v="2"/>
    <x v="2"/>
  </r>
  <r>
    <x v="76"/>
    <x v="26"/>
    <x v="74"/>
    <x v="26"/>
    <x v="1"/>
    <x v="1"/>
    <x v="0"/>
    <x v="6"/>
    <x v="7"/>
    <x v="1"/>
    <x v="1"/>
    <x v="7"/>
    <x v="1"/>
    <x v="2"/>
    <x v="2"/>
  </r>
  <r>
    <x v="77"/>
    <x v="27"/>
    <x v="75"/>
    <x v="27"/>
    <x v="2"/>
    <x v="1"/>
    <x v="2"/>
    <x v="3"/>
    <x v="8"/>
    <x v="7"/>
    <x v="2"/>
    <x v="8"/>
    <x v="2"/>
    <x v="2"/>
    <x v="2"/>
  </r>
  <r>
    <x v="78"/>
    <x v="27"/>
    <x v="76"/>
    <x v="27"/>
    <x v="2"/>
    <x v="1"/>
    <x v="2"/>
    <x v="3"/>
    <x v="8"/>
    <x v="7"/>
    <x v="2"/>
    <x v="8"/>
    <x v="2"/>
    <x v="2"/>
    <x v="2"/>
  </r>
  <r>
    <x v="79"/>
    <x v="28"/>
    <x v="77"/>
    <x v="28"/>
    <x v="0"/>
    <x v="2"/>
    <x v="1"/>
    <x v="5"/>
    <x v="9"/>
    <x v="7"/>
    <x v="0"/>
    <x v="9"/>
    <x v="0"/>
    <x v="2"/>
    <x v="2"/>
  </r>
  <r>
    <x v="80"/>
    <x v="28"/>
    <x v="77"/>
    <x v="28"/>
    <x v="0"/>
    <x v="2"/>
    <x v="1"/>
    <x v="5"/>
    <x v="9"/>
    <x v="7"/>
    <x v="0"/>
    <x v="9"/>
    <x v="0"/>
    <x v="2"/>
    <x v="2"/>
  </r>
  <r>
    <x v="81"/>
    <x v="28"/>
    <x v="78"/>
    <x v="28"/>
    <x v="0"/>
    <x v="2"/>
    <x v="1"/>
    <x v="5"/>
    <x v="9"/>
    <x v="7"/>
    <x v="0"/>
    <x v="9"/>
    <x v="0"/>
    <x v="2"/>
    <x v="2"/>
  </r>
  <r>
    <x v="82"/>
    <x v="28"/>
    <x v="79"/>
    <x v="28"/>
    <x v="0"/>
    <x v="2"/>
    <x v="1"/>
    <x v="5"/>
    <x v="9"/>
    <x v="7"/>
    <x v="0"/>
    <x v="9"/>
    <x v="0"/>
    <x v="2"/>
    <x v="2"/>
  </r>
  <r>
    <x v="83"/>
    <x v="28"/>
    <x v="80"/>
    <x v="28"/>
    <x v="0"/>
    <x v="2"/>
    <x v="1"/>
    <x v="5"/>
    <x v="9"/>
    <x v="7"/>
    <x v="0"/>
    <x v="9"/>
    <x v="0"/>
    <x v="2"/>
    <x v="2"/>
  </r>
  <r>
    <x v="84"/>
    <x v="28"/>
    <x v="81"/>
    <x v="28"/>
    <x v="0"/>
    <x v="2"/>
    <x v="1"/>
    <x v="5"/>
    <x v="9"/>
    <x v="7"/>
    <x v="0"/>
    <x v="9"/>
    <x v="0"/>
    <x v="2"/>
    <x v="2"/>
  </r>
  <r>
    <x v="85"/>
    <x v="28"/>
    <x v="82"/>
    <x v="28"/>
    <x v="0"/>
    <x v="2"/>
    <x v="1"/>
    <x v="5"/>
    <x v="9"/>
    <x v="7"/>
    <x v="0"/>
    <x v="9"/>
    <x v="0"/>
    <x v="2"/>
    <x v="2"/>
  </r>
  <r>
    <x v="86"/>
    <x v="29"/>
    <x v="83"/>
    <x v="29"/>
    <x v="1"/>
    <x v="2"/>
    <x v="0"/>
    <x v="7"/>
    <x v="10"/>
    <x v="3"/>
    <x v="1"/>
    <x v="10"/>
    <x v="1"/>
    <x v="2"/>
    <x v="2"/>
  </r>
  <r>
    <x v="87"/>
    <x v="30"/>
    <x v="84"/>
    <x v="30"/>
    <x v="3"/>
    <x v="0"/>
    <x v="0"/>
    <x v="3"/>
    <x v="3"/>
    <x v="8"/>
    <x v="0"/>
    <x v="11"/>
    <x v="2"/>
    <x v="2"/>
    <x v="2"/>
  </r>
  <r>
    <x v="88"/>
    <x v="30"/>
    <x v="85"/>
    <x v="30"/>
    <x v="3"/>
    <x v="0"/>
    <x v="0"/>
    <x v="3"/>
    <x v="3"/>
    <x v="8"/>
    <x v="0"/>
    <x v="11"/>
    <x v="2"/>
    <x v="2"/>
    <x v="2"/>
  </r>
  <r>
    <x v="89"/>
    <x v="30"/>
    <x v="86"/>
    <x v="30"/>
    <x v="3"/>
    <x v="0"/>
    <x v="0"/>
    <x v="3"/>
    <x v="3"/>
    <x v="8"/>
    <x v="0"/>
    <x v="11"/>
    <x v="2"/>
    <x v="2"/>
    <x v="2"/>
  </r>
  <r>
    <x v="90"/>
    <x v="31"/>
    <x v="87"/>
    <x v="31"/>
    <x v="0"/>
    <x v="0"/>
    <x v="0"/>
    <x v="0"/>
    <x v="0"/>
    <x v="0"/>
    <x v="1"/>
    <x v="0"/>
    <x v="0"/>
    <x v="2"/>
    <x v="2"/>
  </r>
  <r>
    <x v="91"/>
    <x v="31"/>
    <x v="88"/>
    <x v="31"/>
    <x v="0"/>
    <x v="0"/>
    <x v="0"/>
    <x v="0"/>
    <x v="0"/>
    <x v="0"/>
    <x v="1"/>
    <x v="0"/>
    <x v="0"/>
    <x v="2"/>
    <x v="2"/>
  </r>
  <r>
    <x v="92"/>
    <x v="31"/>
    <x v="89"/>
    <x v="31"/>
    <x v="0"/>
    <x v="0"/>
    <x v="0"/>
    <x v="0"/>
    <x v="0"/>
    <x v="0"/>
    <x v="1"/>
    <x v="0"/>
    <x v="0"/>
    <x v="2"/>
    <x v="2"/>
  </r>
  <r>
    <x v="93"/>
    <x v="31"/>
    <x v="90"/>
    <x v="31"/>
    <x v="0"/>
    <x v="0"/>
    <x v="0"/>
    <x v="0"/>
    <x v="0"/>
    <x v="0"/>
    <x v="1"/>
    <x v="0"/>
    <x v="0"/>
    <x v="2"/>
    <x v="2"/>
  </r>
  <r>
    <x v="94"/>
    <x v="31"/>
    <x v="91"/>
    <x v="31"/>
    <x v="0"/>
    <x v="0"/>
    <x v="0"/>
    <x v="0"/>
    <x v="0"/>
    <x v="0"/>
    <x v="1"/>
    <x v="0"/>
    <x v="0"/>
    <x v="3"/>
    <x v="3"/>
  </r>
  <r>
    <x v="95"/>
    <x v="31"/>
    <x v="92"/>
    <x v="31"/>
    <x v="0"/>
    <x v="0"/>
    <x v="0"/>
    <x v="0"/>
    <x v="0"/>
    <x v="0"/>
    <x v="1"/>
    <x v="0"/>
    <x v="0"/>
    <x v="3"/>
    <x v="3"/>
  </r>
  <r>
    <x v="96"/>
    <x v="31"/>
    <x v="93"/>
    <x v="31"/>
    <x v="0"/>
    <x v="0"/>
    <x v="0"/>
    <x v="0"/>
    <x v="0"/>
    <x v="0"/>
    <x v="1"/>
    <x v="0"/>
    <x v="0"/>
    <x v="3"/>
    <x v="3"/>
  </r>
  <r>
    <x v="97"/>
    <x v="31"/>
    <x v="94"/>
    <x v="31"/>
    <x v="0"/>
    <x v="0"/>
    <x v="0"/>
    <x v="0"/>
    <x v="0"/>
    <x v="0"/>
    <x v="1"/>
    <x v="0"/>
    <x v="0"/>
    <x v="3"/>
    <x v="3"/>
  </r>
  <r>
    <x v="98"/>
    <x v="31"/>
    <x v="95"/>
    <x v="31"/>
    <x v="0"/>
    <x v="0"/>
    <x v="0"/>
    <x v="0"/>
    <x v="0"/>
    <x v="0"/>
    <x v="1"/>
    <x v="0"/>
    <x v="0"/>
    <x v="3"/>
    <x v="3"/>
  </r>
  <r>
    <x v="99"/>
    <x v="31"/>
    <x v="96"/>
    <x v="31"/>
    <x v="0"/>
    <x v="0"/>
    <x v="0"/>
    <x v="0"/>
    <x v="0"/>
    <x v="0"/>
    <x v="1"/>
    <x v="0"/>
    <x v="0"/>
    <x v="3"/>
    <x v="3"/>
  </r>
  <r>
    <x v="100"/>
    <x v="32"/>
    <x v="97"/>
    <x v="32"/>
    <x v="2"/>
    <x v="1"/>
    <x v="2"/>
    <x v="1"/>
    <x v="11"/>
    <x v="9"/>
    <x v="2"/>
    <x v="12"/>
    <x v="1"/>
    <x v="3"/>
    <x v="3"/>
  </r>
  <r>
    <x v="101"/>
    <x v="33"/>
    <x v="98"/>
    <x v="33"/>
    <x v="1"/>
    <x v="3"/>
    <x v="1"/>
    <x v="7"/>
    <x v="12"/>
    <x v="6"/>
    <x v="1"/>
    <x v="13"/>
    <x v="2"/>
    <x v="3"/>
    <x v="3"/>
  </r>
  <r>
    <x v="102"/>
    <x v="33"/>
    <x v="99"/>
    <x v="33"/>
    <x v="1"/>
    <x v="3"/>
    <x v="1"/>
    <x v="7"/>
    <x v="12"/>
    <x v="6"/>
    <x v="1"/>
    <x v="13"/>
    <x v="2"/>
    <x v="3"/>
    <x v="3"/>
  </r>
  <r>
    <x v="103"/>
    <x v="33"/>
    <x v="100"/>
    <x v="33"/>
    <x v="1"/>
    <x v="3"/>
    <x v="1"/>
    <x v="7"/>
    <x v="12"/>
    <x v="6"/>
    <x v="1"/>
    <x v="13"/>
    <x v="2"/>
    <x v="3"/>
    <x v="3"/>
  </r>
  <r>
    <x v="104"/>
    <x v="34"/>
    <x v="101"/>
    <x v="34"/>
    <x v="0"/>
    <x v="0"/>
    <x v="0"/>
    <x v="0"/>
    <x v="0"/>
    <x v="0"/>
    <x v="0"/>
    <x v="0"/>
    <x v="1"/>
    <x v="3"/>
    <x v="3"/>
  </r>
  <r>
    <x v="105"/>
    <x v="35"/>
    <x v="102"/>
    <x v="35"/>
    <x v="1"/>
    <x v="1"/>
    <x v="0"/>
    <x v="1"/>
    <x v="1"/>
    <x v="1"/>
    <x v="1"/>
    <x v="1"/>
    <x v="2"/>
    <x v="3"/>
    <x v="3"/>
  </r>
  <r>
    <x v="106"/>
    <x v="35"/>
    <x v="103"/>
    <x v="35"/>
    <x v="1"/>
    <x v="1"/>
    <x v="0"/>
    <x v="1"/>
    <x v="1"/>
    <x v="1"/>
    <x v="1"/>
    <x v="1"/>
    <x v="2"/>
    <x v="3"/>
    <x v="3"/>
  </r>
  <r>
    <x v="107"/>
    <x v="35"/>
    <x v="104"/>
    <x v="35"/>
    <x v="1"/>
    <x v="1"/>
    <x v="0"/>
    <x v="1"/>
    <x v="1"/>
    <x v="1"/>
    <x v="1"/>
    <x v="1"/>
    <x v="2"/>
    <x v="3"/>
    <x v="3"/>
  </r>
  <r>
    <x v="108"/>
    <x v="36"/>
    <x v="105"/>
    <x v="36"/>
    <x v="0"/>
    <x v="2"/>
    <x v="1"/>
    <x v="2"/>
    <x v="2"/>
    <x v="2"/>
    <x v="0"/>
    <x v="2"/>
    <x v="1"/>
    <x v="3"/>
    <x v="3"/>
  </r>
  <r>
    <x v="109"/>
    <x v="36"/>
    <x v="106"/>
    <x v="36"/>
    <x v="0"/>
    <x v="2"/>
    <x v="1"/>
    <x v="2"/>
    <x v="2"/>
    <x v="2"/>
    <x v="0"/>
    <x v="2"/>
    <x v="1"/>
    <x v="3"/>
    <x v="3"/>
  </r>
  <r>
    <x v="110"/>
    <x v="37"/>
    <x v="107"/>
    <x v="37"/>
    <x v="1"/>
    <x v="2"/>
    <x v="0"/>
    <x v="3"/>
    <x v="3"/>
    <x v="3"/>
    <x v="1"/>
    <x v="3"/>
    <x v="2"/>
    <x v="3"/>
    <x v="3"/>
  </r>
  <r>
    <x v="111"/>
    <x v="37"/>
    <x v="108"/>
    <x v="37"/>
    <x v="1"/>
    <x v="2"/>
    <x v="0"/>
    <x v="3"/>
    <x v="3"/>
    <x v="3"/>
    <x v="1"/>
    <x v="3"/>
    <x v="2"/>
    <x v="3"/>
    <x v="3"/>
  </r>
  <r>
    <x v="112"/>
    <x v="37"/>
    <x v="108"/>
    <x v="37"/>
    <x v="1"/>
    <x v="2"/>
    <x v="0"/>
    <x v="3"/>
    <x v="3"/>
    <x v="3"/>
    <x v="1"/>
    <x v="3"/>
    <x v="2"/>
    <x v="3"/>
    <x v="3"/>
  </r>
  <r>
    <x v="113"/>
    <x v="37"/>
    <x v="109"/>
    <x v="37"/>
    <x v="1"/>
    <x v="2"/>
    <x v="0"/>
    <x v="3"/>
    <x v="3"/>
    <x v="3"/>
    <x v="1"/>
    <x v="3"/>
    <x v="2"/>
    <x v="3"/>
    <x v="3"/>
  </r>
  <r>
    <x v="114"/>
    <x v="38"/>
    <x v="110"/>
    <x v="38"/>
    <x v="0"/>
    <x v="0"/>
    <x v="0"/>
    <x v="4"/>
    <x v="4"/>
    <x v="4"/>
    <x v="1"/>
    <x v="4"/>
    <x v="1"/>
    <x v="3"/>
    <x v="3"/>
  </r>
  <r>
    <x v="115"/>
    <x v="38"/>
    <x v="111"/>
    <x v="38"/>
    <x v="0"/>
    <x v="0"/>
    <x v="0"/>
    <x v="4"/>
    <x v="4"/>
    <x v="4"/>
    <x v="1"/>
    <x v="4"/>
    <x v="1"/>
    <x v="3"/>
    <x v="3"/>
  </r>
  <r>
    <x v="116"/>
    <x v="39"/>
    <x v="112"/>
    <x v="39"/>
    <x v="2"/>
    <x v="1"/>
    <x v="2"/>
    <x v="5"/>
    <x v="5"/>
    <x v="5"/>
    <x v="2"/>
    <x v="5"/>
    <x v="2"/>
    <x v="3"/>
    <x v="3"/>
  </r>
  <r>
    <x v="117"/>
    <x v="39"/>
    <x v="113"/>
    <x v="39"/>
    <x v="2"/>
    <x v="1"/>
    <x v="2"/>
    <x v="5"/>
    <x v="5"/>
    <x v="5"/>
    <x v="2"/>
    <x v="5"/>
    <x v="2"/>
    <x v="3"/>
    <x v="3"/>
  </r>
  <r>
    <x v="118"/>
    <x v="39"/>
    <x v="114"/>
    <x v="39"/>
    <x v="2"/>
    <x v="1"/>
    <x v="2"/>
    <x v="5"/>
    <x v="5"/>
    <x v="5"/>
    <x v="2"/>
    <x v="5"/>
    <x v="2"/>
    <x v="3"/>
    <x v="3"/>
  </r>
  <r>
    <x v="119"/>
    <x v="39"/>
    <x v="115"/>
    <x v="39"/>
    <x v="2"/>
    <x v="1"/>
    <x v="2"/>
    <x v="5"/>
    <x v="5"/>
    <x v="5"/>
    <x v="2"/>
    <x v="5"/>
    <x v="2"/>
    <x v="3"/>
    <x v="3"/>
  </r>
  <r>
    <x v="120"/>
    <x v="40"/>
    <x v="116"/>
    <x v="40"/>
    <x v="1"/>
    <x v="3"/>
    <x v="1"/>
    <x v="3"/>
    <x v="6"/>
    <x v="6"/>
    <x v="1"/>
    <x v="0"/>
    <x v="0"/>
    <x v="3"/>
    <x v="3"/>
  </r>
  <r>
    <x v="121"/>
    <x v="41"/>
    <x v="117"/>
    <x v="41"/>
    <x v="1"/>
    <x v="2"/>
    <x v="0"/>
    <x v="1"/>
    <x v="1"/>
    <x v="3"/>
    <x v="1"/>
    <x v="6"/>
    <x v="1"/>
    <x v="3"/>
    <x v="3"/>
  </r>
  <r>
    <x v="122"/>
    <x v="41"/>
    <x v="118"/>
    <x v="41"/>
    <x v="1"/>
    <x v="2"/>
    <x v="0"/>
    <x v="1"/>
    <x v="1"/>
    <x v="3"/>
    <x v="1"/>
    <x v="6"/>
    <x v="1"/>
    <x v="3"/>
    <x v="3"/>
  </r>
  <r>
    <x v="123"/>
    <x v="42"/>
    <x v="119"/>
    <x v="42"/>
    <x v="0"/>
    <x v="0"/>
    <x v="0"/>
    <x v="4"/>
    <x v="4"/>
    <x v="4"/>
    <x v="0"/>
    <x v="4"/>
    <x v="2"/>
    <x v="3"/>
    <x v="3"/>
  </r>
  <r>
    <x v="124"/>
    <x v="42"/>
    <x v="120"/>
    <x v="42"/>
    <x v="0"/>
    <x v="0"/>
    <x v="0"/>
    <x v="4"/>
    <x v="4"/>
    <x v="4"/>
    <x v="0"/>
    <x v="4"/>
    <x v="2"/>
    <x v="3"/>
    <x v="3"/>
  </r>
  <r>
    <x v="125"/>
    <x v="42"/>
    <x v="121"/>
    <x v="42"/>
    <x v="0"/>
    <x v="0"/>
    <x v="0"/>
    <x v="4"/>
    <x v="4"/>
    <x v="4"/>
    <x v="0"/>
    <x v="4"/>
    <x v="2"/>
    <x v="3"/>
    <x v="3"/>
  </r>
  <r>
    <x v="126"/>
    <x v="42"/>
    <x v="122"/>
    <x v="42"/>
    <x v="0"/>
    <x v="0"/>
    <x v="0"/>
    <x v="4"/>
    <x v="4"/>
    <x v="4"/>
    <x v="0"/>
    <x v="4"/>
    <x v="2"/>
    <x v="4"/>
    <x v="4"/>
  </r>
  <r>
    <x v="127"/>
    <x v="42"/>
    <x v="123"/>
    <x v="42"/>
    <x v="0"/>
    <x v="0"/>
    <x v="0"/>
    <x v="4"/>
    <x v="4"/>
    <x v="4"/>
    <x v="0"/>
    <x v="4"/>
    <x v="2"/>
    <x v="4"/>
    <x v="4"/>
  </r>
  <r>
    <x v="128"/>
    <x v="43"/>
    <x v="124"/>
    <x v="43"/>
    <x v="1"/>
    <x v="1"/>
    <x v="0"/>
    <x v="6"/>
    <x v="7"/>
    <x v="1"/>
    <x v="1"/>
    <x v="7"/>
    <x v="0"/>
    <x v="4"/>
    <x v="4"/>
  </r>
  <r>
    <x v="129"/>
    <x v="44"/>
    <x v="125"/>
    <x v="44"/>
    <x v="2"/>
    <x v="1"/>
    <x v="2"/>
    <x v="3"/>
    <x v="8"/>
    <x v="7"/>
    <x v="2"/>
    <x v="8"/>
    <x v="1"/>
    <x v="4"/>
    <x v="4"/>
  </r>
  <r>
    <x v="130"/>
    <x v="44"/>
    <x v="126"/>
    <x v="44"/>
    <x v="2"/>
    <x v="1"/>
    <x v="2"/>
    <x v="3"/>
    <x v="8"/>
    <x v="7"/>
    <x v="2"/>
    <x v="8"/>
    <x v="1"/>
    <x v="4"/>
    <x v="4"/>
  </r>
  <r>
    <x v="131"/>
    <x v="45"/>
    <x v="127"/>
    <x v="45"/>
    <x v="0"/>
    <x v="2"/>
    <x v="1"/>
    <x v="5"/>
    <x v="9"/>
    <x v="7"/>
    <x v="0"/>
    <x v="9"/>
    <x v="2"/>
    <x v="4"/>
    <x v="4"/>
  </r>
  <r>
    <x v="132"/>
    <x v="45"/>
    <x v="128"/>
    <x v="45"/>
    <x v="0"/>
    <x v="2"/>
    <x v="1"/>
    <x v="5"/>
    <x v="9"/>
    <x v="7"/>
    <x v="0"/>
    <x v="9"/>
    <x v="2"/>
    <x v="4"/>
    <x v="4"/>
  </r>
  <r>
    <x v="133"/>
    <x v="45"/>
    <x v="129"/>
    <x v="45"/>
    <x v="0"/>
    <x v="2"/>
    <x v="1"/>
    <x v="5"/>
    <x v="9"/>
    <x v="7"/>
    <x v="0"/>
    <x v="9"/>
    <x v="2"/>
    <x v="4"/>
    <x v="4"/>
  </r>
  <r>
    <x v="134"/>
    <x v="45"/>
    <x v="130"/>
    <x v="45"/>
    <x v="0"/>
    <x v="2"/>
    <x v="1"/>
    <x v="5"/>
    <x v="9"/>
    <x v="7"/>
    <x v="0"/>
    <x v="9"/>
    <x v="2"/>
    <x v="4"/>
    <x v="4"/>
  </r>
  <r>
    <x v="135"/>
    <x v="45"/>
    <x v="131"/>
    <x v="45"/>
    <x v="0"/>
    <x v="2"/>
    <x v="1"/>
    <x v="5"/>
    <x v="9"/>
    <x v="7"/>
    <x v="0"/>
    <x v="9"/>
    <x v="2"/>
    <x v="4"/>
    <x v="4"/>
  </r>
  <r>
    <x v="136"/>
    <x v="45"/>
    <x v="132"/>
    <x v="45"/>
    <x v="0"/>
    <x v="2"/>
    <x v="1"/>
    <x v="5"/>
    <x v="9"/>
    <x v="7"/>
    <x v="0"/>
    <x v="9"/>
    <x v="2"/>
    <x v="4"/>
    <x v="4"/>
  </r>
  <r>
    <x v="137"/>
    <x v="45"/>
    <x v="133"/>
    <x v="45"/>
    <x v="0"/>
    <x v="2"/>
    <x v="1"/>
    <x v="5"/>
    <x v="9"/>
    <x v="7"/>
    <x v="0"/>
    <x v="9"/>
    <x v="2"/>
    <x v="4"/>
    <x v="4"/>
  </r>
  <r>
    <x v="138"/>
    <x v="46"/>
    <x v="134"/>
    <x v="46"/>
    <x v="1"/>
    <x v="2"/>
    <x v="0"/>
    <x v="7"/>
    <x v="10"/>
    <x v="3"/>
    <x v="1"/>
    <x v="10"/>
    <x v="0"/>
    <x v="4"/>
    <x v="4"/>
  </r>
  <r>
    <x v="139"/>
    <x v="47"/>
    <x v="135"/>
    <x v="47"/>
    <x v="3"/>
    <x v="0"/>
    <x v="0"/>
    <x v="3"/>
    <x v="3"/>
    <x v="8"/>
    <x v="0"/>
    <x v="11"/>
    <x v="1"/>
    <x v="4"/>
    <x v="4"/>
  </r>
  <r>
    <x v="140"/>
    <x v="47"/>
    <x v="136"/>
    <x v="47"/>
    <x v="3"/>
    <x v="0"/>
    <x v="0"/>
    <x v="3"/>
    <x v="3"/>
    <x v="8"/>
    <x v="0"/>
    <x v="11"/>
    <x v="1"/>
    <x v="4"/>
    <x v="4"/>
  </r>
  <r>
    <x v="141"/>
    <x v="47"/>
    <x v="137"/>
    <x v="47"/>
    <x v="3"/>
    <x v="0"/>
    <x v="0"/>
    <x v="3"/>
    <x v="3"/>
    <x v="8"/>
    <x v="0"/>
    <x v="11"/>
    <x v="1"/>
    <x v="4"/>
    <x v="4"/>
  </r>
  <r>
    <x v="142"/>
    <x v="48"/>
    <x v="138"/>
    <x v="48"/>
    <x v="0"/>
    <x v="0"/>
    <x v="0"/>
    <x v="0"/>
    <x v="0"/>
    <x v="0"/>
    <x v="1"/>
    <x v="0"/>
    <x v="2"/>
    <x v="4"/>
    <x v="4"/>
  </r>
  <r>
    <x v="143"/>
    <x v="48"/>
    <x v="139"/>
    <x v="48"/>
    <x v="0"/>
    <x v="0"/>
    <x v="0"/>
    <x v="0"/>
    <x v="0"/>
    <x v="0"/>
    <x v="1"/>
    <x v="0"/>
    <x v="2"/>
    <x v="4"/>
    <x v="4"/>
  </r>
  <r>
    <x v="144"/>
    <x v="48"/>
    <x v="139"/>
    <x v="48"/>
    <x v="0"/>
    <x v="0"/>
    <x v="0"/>
    <x v="0"/>
    <x v="0"/>
    <x v="0"/>
    <x v="1"/>
    <x v="0"/>
    <x v="2"/>
    <x v="4"/>
    <x v="4"/>
  </r>
  <r>
    <x v="145"/>
    <x v="48"/>
    <x v="140"/>
    <x v="48"/>
    <x v="0"/>
    <x v="0"/>
    <x v="0"/>
    <x v="0"/>
    <x v="0"/>
    <x v="0"/>
    <x v="1"/>
    <x v="0"/>
    <x v="2"/>
    <x v="4"/>
    <x v="4"/>
  </r>
  <r>
    <x v="146"/>
    <x v="48"/>
    <x v="141"/>
    <x v="48"/>
    <x v="0"/>
    <x v="0"/>
    <x v="0"/>
    <x v="0"/>
    <x v="0"/>
    <x v="0"/>
    <x v="1"/>
    <x v="0"/>
    <x v="2"/>
    <x v="4"/>
    <x v="4"/>
  </r>
  <r>
    <x v="147"/>
    <x v="48"/>
    <x v="142"/>
    <x v="48"/>
    <x v="0"/>
    <x v="0"/>
    <x v="0"/>
    <x v="0"/>
    <x v="0"/>
    <x v="0"/>
    <x v="1"/>
    <x v="0"/>
    <x v="2"/>
    <x v="4"/>
    <x v="4"/>
  </r>
  <r>
    <x v="148"/>
    <x v="48"/>
    <x v="143"/>
    <x v="48"/>
    <x v="0"/>
    <x v="0"/>
    <x v="0"/>
    <x v="0"/>
    <x v="0"/>
    <x v="0"/>
    <x v="1"/>
    <x v="0"/>
    <x v="2"/>
    <x v="4"/>
    <x v="4"/>
  </r>
  <r>
    <x v="149"/>
    <x v="48"/>
    <x v="144"/>
    <x v="48"/>
    <x v="0"/>
    <x v="0"/>
    <x v="0"/>
    <x v="0"/>
    <x v="0"/>
    <x v="0"/>
    <x v="1"/>
    <x v="0"/>
    <x v="2"/>
    <x v="4"/>
    <x v="4"/>
  </r>
  <r>
    <x v="150"/>
    <x v="48"/>
    <x v="145"/>
    <x v="48"/>
    <x v="0"/>
    <x v="0"/>
    <x v="0"/>
    <x v="0"/>
    <x v="0"/>
    <x v="0"/>
    <x v="1"/>
    <x v="0"/>
    <x v="2"/>
    <x v="4"/>
    <x v="4"/>
  </r>
  <r>
    <x v="151"/>
    <x v="48"/>
    <x v="146"/>
    <x v="48"/>
    <x v="0"/>
    <x v="0"/>
    <x v="0"/>
    <x v="0"/>
    <x v="0"/>
    <x v="0"/>
    <x v="1"/>
    <x v="0"/>
    <x v="2"/>
    <x v="4"/>
    <x v="4"/>
  </r>
  <r>
    <x v="152"/>
    <x v="49"/>
    <x v="147"/>
    <x v="49"/>
    <x v="2"/>
    <x v="1"/>
    <x v="2"/>
    <x v="1"/>
    <x v="11"/>
    <x v="9"/>
    <x v="2"/>
    <x v="12"/>
    <x v="0"/>
    <x v="4"/>
    <x v="4"/>
  </r>
  <r>
    <x v="153"/>
    <x v="50"/>
    <x v="148"/>
    <x v="50"/>
    <x v="1"/>
    <x v="3"/>
    <x v="1"/>
    <x v="7"/>
    <x v="12"/>
    <x v="6"/>
    <x v="1"/>
    <x v="13"/>
    <x v="1"/>
    <x v="4"/>
    <x v="4"/>
  </r>
  <r>
    <x v="154"/>
    <x v="50"/>
    <x v="149"/>
    <x v="50"/>
    <x v="1"/>
    <x v="3"/>
    <x v="1"/>
    <x v="7"/>
    <x v="12"/>
    <x v="6"/>
    <x v="1"/>
    <x v="13"/>
    <x v="1"/>
    <x v="4"/>
    <x v="4"/>
  </r>
  <r>
    <x v="155"/>
    <x v="50"/>
    <x v="150"/>
    <x v="50"/>
    <x v="1"/>
    <x v="3"/>
    <x v="1"/>
    <x v="7"/>
    <x v="12"/>
    <x v="6"/>
    <x v="1"/>
    <x v="13"/>
    <x v="1"/>
    <x v="4"/>
    <x v="4"/>
  </r>
  <r>
    <x v="156"/>
    <x v="51"/>
    <x v="151"/>
    <x v="51"/>
    <x v="0"/>
    <x v="0"/>
    <x v="0"/>
    <x v="0"/>
    <x v="0"/>
    <x v="0"/>
    <x v="0"/>
    <x v="0"/>
    <x v="0"/>
    <x v="4"/>
    <x v="4"/>
  </r>
  <r>
    <x v="157"/>
    <x v="52"/>
    <x v="152"/>
    <x v="52"/>
    <x v="1"/>
    <x v="1"/>
    <x v="0"/>
    <x v="1"/>
    <x v="1"/>
    <x v="1"/>
    <x v="1"/>
    <x v="1"/>
    <x v="1"/>
    <x v="4"/>
    <x v="4"/>
  </r>
  <r>
    <x v="158"/>
    <x v="52"/>
    <x v="153"/>
    <x v="52"/>
    <x v="1"/>
    <x v="1"/>
    <x v="0"/>
    <x v="1"/>
    <x v="1"/>
    <x v="1"/>
    <x v="1"/>
    <x v="1"/>
    <x v="1"/>
    <x v="5"/>
    <x v="5"/>
  </r>
  <r>
    <x v="159"/>
    <x v="52"/>
    <x v="154"/>
    <x v="52"/>
    <x v="1"/>
    <x v="1"/>
    <x v="0"/>
    <x v="1"/>
    <x v="1"/>
    <x v="1"/>
    <x v="1"/>
    <x v="1"/>
    <x v="1"/>
    <x v="5"/>
    <x v="5"/>
  </r>
  <r>
    <x v="160"/>
    <x v="53"/>
    <x v="155"/>
    <x v="53"/>
    <x v="0"/>
    <x v="2"/>
    <x v="1"/>
    <x v="2"/>
    <x v="2"/>
    <x v="2"/>
    <x v="0"/>
    <x v="2"/>
    <x v="0"/>
    <x v="5"/>
    <x v="5"/>
  </r>
  <r>
    <x v="161"/>
    <x v="53"/>
    <x v="156"/>
    <x v="53"/>
    <x v="0"/>
    <x v="2"/>
    <x v="1"/>
    <x v="2"/>
    <x v="2"/>
    <x v="2"/>
    <x v="0"/>
    <x v="2"/>
    <x v="0"/>
    <x v="5"/>
    <x v="5"/>
  </r>
  <r>
    <x v="162"/>
    <x v="54"/>
    <x v="157"/>
    <x v="54"/>
    <x v="1"/>
    <x v="2"/>
    <x v="0"/>
    <x v="3"/>
    <x v="3"/>
    <x v="3"/>
    <x v="1"/>
    <x v="3"/>
    <x v="1"/>
    <x v="5"/>
    <x v="5"/>
  </r>
  <r>
    <x v="163"/>
    <x v="54"/>
    <x v="158"/>
    <x v="54"/>
    <x v="1"/>
    <x v="2"/>
    <x v="0"/>
    <x v="3"/>
    <x v="3"/>
    <x v="3"/>
    <x v="1"/>
    <x v="3"/>
    <x v="1"/>
    <x v="5"/>
    <x v="5"/>
  </r>
  <r>
    <x v="164"/>
    <x v="54"/>
    <x v="159"/>
    <x v="54"/>
    <x v="1"/>
    <x v="2"/>
    <x v="0"/>
    <x v="3"/>
    <x v="3"/>
    <x v="3"/>
    <x v="1"/>
    <x v="3"/>
    <x v="1"/>
    <x v="5"/>
    <x v="5"/>
  </r>
  <r>
    <x v="165"/>
    <x v="54"/>
    <x v="160"/>
    <x v="54"/>
    <x v="1"/>
    <x v="2"/>
    <x v="0"/>
    <x v="3"/>
    <x v="3"/>
    <x v="3"/>
    <x v="1"/>
    <x v="3"/>
    <x v="1"/>
    <x v="5"/>
    <x v="5"/>
  </r>
  <r>
    <x v="166"/>
    <x v="55"/>
    <x v="161"/>
    <x v="55"/>
    <x v="0"/>
    <x v="0"/>
    <x v="0"/>
    <x v="4"/>
    <x v="4"/>
    <x v="4"/>
    <x v="1"/>
    <x v="4"/>
    <x v="0"/>
    <x v="5"/>
    <x v="5"/>
  </r>
  <r>
    <x v="167"/>
    <x v="55"/>
    <x v="162"/>
    <x v="55"/>
    <x v="0"/>
    <x v="0"/>
    <x v="0"/>
    <x v="4"/>
    <x v="4"/>
    <x v="4"/>
    <x v="1"/>
    <x v="4"/>
    <x v="0"/>
    <x v="5"/>
    <x v="5"/>
  </r>
  <r>
    <x v="168"/>
    <x v="56"/>
    <x v="163"/>
    <x v="56"/>
    <x v="2"/>
    <x v="1"/>
    <x v="2"/>
    <x v="5"/>
    <x v="5"/>
    <x v="5"/>
    <x v="2"/>
    <x v="5"/>
    <x v="1"/>
    <x v="5"/>
    <x v="5"/>
  </r>
  <r>
    <x v="169"/>
    <x v="56"/>
    <x v="164"/>
    <x v="56"/>
    <x v="2"/>
    <x v="1"/>
    <x v="2"/>
    <x v="5"/>
    <x v="5"/>
    <x v="5"/>
    <x v="2"/>
    <x v="5"/>
    <x v="1"/>
    <x v="5"/>
    <x v="5"/>
  </r>
  <r>
    <x v="170"/>
    <x v="56"/>
    <x v="165"/>
    <x v="56"/>
    <x v="2"/>
    <x v="1"/>
    <x v="2"/>
    <x v="5"/>
    <x v="5"/>
    <x v="5"/>
    <x v="2"/>
    <x v="5"/>
    <x v="1"/>
    <x v="5"/>
    <x v="5"/>
  </r>
  <r>
    <x v="171"/>
    <x v="56"/>
    <x v="166"/>
    <x v="56"/>
    <x v="2"/>
    <x v="1"/>
    <x v="2"/>
    <x v="5"/>
    <x v="5"/>
    <x v="5"/>
    <x v="2"/>
    <x v="5"/>
    <x v="1"/>
    <x v="5"/>
    <x v="5"/>
  </r>
  <r>
    <x v="172"/>
    <x v="57"/>
    <x v="167"/>
    <x v="57"/>
    <x v="1"/>
    <x v="3"/>
    <x v="1"/>
    <x v="3"/>
    <x v="6"/>
    <x v="6"/>
    <x v="1"/>
    <x v="0"/>
    <x v="2"/>
    <x v="5"/>
    <x v="5"/>
  </r>
  <r>
    <x v="173"/>
    <x v="58"/>
    <x v="168"/>
    <x v="58"/>
    <x v="1"/>
    <x v="2"/>
    <x v="0"/>
    <x v="1"/>
    <x v="1"/>
    <x v="3"/>
    <x v="1"/>
    <x v="6"/>
    <x v="0"/>
    <x v="5"/>
    <x v="5"/>
  </r>
  <r>
    <x v="174"/>
    <x v="58"/>
    <x v="169"/>
    <x v="58"/>
    <x v="1"/>
    <x v="2"/>
    <x v="0"/>
    <x v="1"/>
    <x v="1"/>
    <x v="3"/>
    <x v="1"/>
    <x v="6"/>
    <x v="0"/>
    <x v="5"/>
    <x v="5"/>
  </r>
  <r>
    <x v="175"/>
    <x v="59"/>
    <x v="170"/>
    <x v="59"/>
    <x v="0"/>
    <x v="0"/>
    <x v="0"/>
    <x v="4"/>
    <x v="4"/>
    <x v="4"/>
    <x v="0"/>
    <x v="4"/>
    <x v="1"/>
    <x v="5"/>
    <x v="5"/>
  </r>
  <r>
    <x v="176"/>
    <x v="59"/>
    <x v="170"/>
    <x v="59"/>
    <x v="0"/>
    <x v="0"/>
    <x v="0"/>
    <x v="4"/>
    <x v="4"/>
    <x v="4"/>
    <x v="0"/>
    <x v="4"/>
    <x v="1"/>
    <x v="5"/>
    <x v="5"/>
  </r>
  <r>
    <x v="177"/>
    <x v="59"/>
    <x v="171"/>
    <x v="59"/>
    <x v="0"/>
    <x v="0"/>
    <x v="0"/>
    <x v="4"/>
    <x v="4"/>
    <x v="4"/>
    <x v="0"/>
    <x v="4"/>
    <x v="1"/>
    <x v="5"/>
    <x v="5"/>
  </r>
  <r>
    <x v="178"/>
    <x v="59"/>
    <x v="172"/>
    <x v="59"/>
    <x v="0"/>
    <x v="0"/>
    <x v="0"/>
    <x v="4"/>
    <x v="4"/>
    <x v="4"/>
    <x v="0"/>
    <x v="4"/>
    <x v="1"/>
    <x v="5"/>
    <x v="5"/>
  </r>
  <r>
    <x v="179"/>
    <x v="59"/>
    <x v="173"/>
    <x v="59"/>
    <x v="0"/>
    <x v="0"/>
    <x v="0"/>
    <x v="4"/>
    <x v="4"/>
    <x v="4"/>
    <x v="0"/>
    <x v="4"/>
    <x v="1"/>
    <x v="5"/>
    <x v="5"/>
  </r>
  <r>
    <x v="180"/>
    <x v="60"/>
    <x v="174"/>
    <x v="60"/>
    <x v="1"/>
    <x v="1"/>
    <x v="0"/>
    <x v="6"/>
    <x v="7"/>
    <x v="1"/>
    <x v="1"/>
    <x v="7"/>
    <x v="2"/>
    <x v="5"/>
    <x v="5"/>
  </r>
  <r>
    <x v="181"/>
    <x v="61"/>
    <x v="175"/>
    <x v="61"/>
    <x v="2"/>
    <x v="1"/>
    <x v="2"/>
    <x v="3"/>
    <x v="8"/>
    <x v="7"/>
    <x v="2"/>
    <x v="8"/>
    <x v="0"/>
    <x v="5"/>
    <x v="5"/>
  </r>
  <r>
    <x v="182"/>
    <x v="61"/>
    <x v="176"/>
    <x v="61"/>
    <x v="2"/>
    <x v="1"/>
    <x v="2"/>
    <x v="3"/>
    <x v="8"/>
    <x v="7"/>
    <x v="2"/>
    <x v="8"/>
    <x v="0"/>
    <x v="5"/>
    <x v="5"/>
  </r>
  <r>
    <x v="183"/>
    <x v="62"/>
    <x v="177"/>
    <x v="62"/>
    <x v="0"/>
    <x v="2"/>
    <x v="1"/>
    <x v="5"/>
    <x v="9"/>
    <x v="7"/>
    <x v="0"/>
    <x v="9"/>
    <x v="1"/>
    <x v="5"/>
    <x v="5"/>
  </r>
  <r>
    <x v="184"/>
    <x v="62"/>
    <x v="178"/>
    <x v="62"/>
    <x v="0"/>
    <x v="2"/>
    <x v="1"/>
    <x v="5"/>
    <x v="9"/>
    <x v="7"/>
    <x v="0"/>
    <x v="9"/>
    <x v="1"/>
    <x v="5"/>
    <x v="5"/>
  </r>
  <r>
    <x v="185"/>
    <x v="62"/>
    <x v="179"/>
    <x v="62"/>
    <x v="0"/>
    <x v="2"/>
    <x v="1"/>
    <x v="5"/>
    <x v="9"/>
    <x v="7"/>
    <x v="0"/>
    <x v="9"/>
    <x v="1"/>
    <x v="5"/>
    <x v="5"/>
  </r>
  <r>
    <x v="186"/>
    <x v="62"/>
    <x v="180"/>
    <x v="62"/>
    <x v="0"/>
    <x v="2"/>
    <x v="1"/>
    <x v="5"/>
    <x v="9"/>
    <x v="7"/>
    <x v="0"/>
    <x v="9"/>
    <x v="1"/>
    <x v="5"/>
    <x v="5"/>
  </r>
  <r>
    <x v="187"/>
    <x v="62"/>
    <x v="181"/>
    <x v="62"/>
    <x v="0"/>
    <x v="2"/>
    <x v="1"/>
    <x v="5"/>
    <x v="9"/>
    <x v="7"/>
    <x v="0"/>
    <x v="9"/>
    <x v="1"/>
    <x v="6"/>
    <x v="6"/>
  </r>
  <r>
    <x v="188"/>
    <x v="62"/>
    <x v="182"/>
    <x v="62"/>
    <x v="0"/>
    <x v="2"/>
    <x v="1"/>
    <x v="5"/>
    <x v="9"/>
    <x v="7"/>
    <x v="0"/>
    <x v="9"/>
    <x v="1"/>
    <x v="6"/>
    <x v="6"/>
  </r>
  <r>
    <x v="189"/>
    <x v="62"/>
    <x v="183"/>
    <x v="62"/>
    <x v="0"/>
    <x v="2"/>
    <x v="1"/>
    <x v="5"/>
    <x v="9"/>
    <x v="7"/>
    <x v="0"/>
    <x v="9"/>
    <x v="1"/>
    <x v="6"/>
    <x v="6"/>
  </r>
  <r>
    <x v="190"/>
    <x v="63"/>
    <x v="184"/>
    <x v="63"/>
    <x v="1"/>
    <x v="2"/>
    <x v="0"/>
    <x v="7"/>
    <x v="10"/>
    <x v="3"/>
    <x v="1"/>
    <x v="10"/>
    <x v="2"/>
    <x v="6"/>
    <x v="6"/>
  </r>
  <r>
    <x v="191"/>
    <x v="64"/>
    <x v="185"/>
    <x v="64"/>
    <x v="3"/>
    <x v="0"/>
    <x v="0"/>
    <x v="3"/>
    <x v="3"/>
    <x v="8"/>
    <x v="0"/>
    <x v="11"/>
    <x v="0"/>
    <x v="6"/>
    <x v="6"/>
  </r>
  <r>
    <x v="192"/>
    <x v="64"/>
    <x v="186"/>
    <x v="64"/>
    <x v="3"/>
    <x v="0"/>
    <x v="0"/>
    <x v="3"/>
    <x v="3"/>
    <x v="8"/>
    <x v="0"/>
    <x v="11"/>
    <x v="0"/>
    <x v="6"/>
    <x v="6"/>
  </r>
  <r>
    <x v="193"/>
    <x v="64"/>
    <x v="187"/>
    <x v="64"/>
    <x v="3"/>
    <x v="0"/>
    <x v="0"/>
    <x v="3"/>
    <x v="3"/>
    <x v="8"/>
    <x v="0"/>
    <x v="11"/>
    <x v="0"/>
    <x v="6"/>
    <x v="6"/>
  </r>
  <r>
    <x v="194"/>
    <x v="65"/>
    <x v="188"/>
    <x v="65"/>
    <x v="0"/>
    <x v="0"/>
    <x v="0"/>
    <x v="0"/>
    <x v="0"/>
    <x v="0"/>
    <x v="1"/>
    <x v="0"/>
    <x v="1"/>
    <x v="6"/>
    <x v="6"/>
  </r>
  <r>
    <x v="195"/>
    <x v="65"/>
    <x v="189"/>
    <x v="65"/>
    <x v="0"/>
    <x v="0"/>
    <x v="0"/>
    <x v="0"/>
    <x v="0"/>
    <x v="0"/>
    <x v="1"/>
    <x v="0"/>
    <x v="1"/>
    <x v="6"/>
    <x v="6"/>
  </r>
  <r>
    <x v="196"/>
    <x v="65"/>
    <x v="190"/>
    <x v="65"/>
    <x v="0"/>
    <x v="0"/>
    <x v="0"/>
    <x v="0"/>
    <x v="0"/>
    <x v="0"/>
    <x v="1"/>
    <x v="0"/>
    <x v="1"/>
    <x v="6"/>
    <x v="6"/>
  </r>
  <r>
    <x v="197"/>
    <x v="65"/>
    <x v="191"/>
    <x v="65"/>
    <x v="0"/>
    <x v="0"/>
    <x v="0"/>
    <x v="0"/>
    <x v="0"/>
    <x v="0"/>
    <x v="1"/>
    <x v="0"/>
    <x v="1"/>
    <x v="6"/>
    <x v="6"/>
  </r>
  <r>
    <x v="198"/>
    <x v="65"/>
    <x v="192"/>
    <x v="65"/>
    <x v="0"/>
    <x v="0"/>
    <x v="0"/>
    <x v="0"/>
    <x v="0"/>
    <x v="0"/>
    <x v="1"/>
    <x v="0"/>
    <x v="1"/>
    <x v="6"/>
    <x v="6"/>
  </r>
  <r>
    <x v="199"/>
    <x v="65"/>
    <x v="193"/>
    <x v="65"/>
    <x v="0"/>
    <x v="0"/>
    <x v="0"/>
    <x v="0"/>
    <x v="0"/>
    <x v="0"/>
    <x v="1"/>
    <x v="0"/>
    <x v="1"/>
    <x v="6"/>
    <x v="6"/>
  </r>
  <r>
    <x v="200"/>
    <x v="65"/>
    <x v="194"/>
    <x v="65"/>
    <x v="0"/>
    <x v="0"/>
    <x v="0"/>
    <x v="0"/>
    <x v="0"/>
    <x v="0"/>
    <x v="1"/>
    <x v="0"/>
    <x v="1"/>
    <x v="6"/>
    <x v="6"/>
  </r>
  <r>
    <x v="201"/>
    <x v="65"/>
    <x v="195"/>
    <x v="65"/>
    <x v="0"/>
    <x v="0"/>
    <x v="0"/>
    <x v="0"/>
    <x v="0"/>
    <x v="0"/>
    <x v="1"/>
    <x v="0"/>
    <x v="1"/>
    <x v="6"/>
    <x v="6"/>
  </r>
  <r>
    <x v="202"/>
    <x v="65"/>
    <x v="196"/>
    <x v="65"/>
    <x v="0"/>
    <x v="0"/>
    <x v="0"/>
    <x v="0"/>
    <x v="0"/>
    <x v="0"/>
    <x v="1"/>
    <x v="0"/>
    <x v="1"/>
    <x v="6"/>
    <x v="6"/>
  </r>
  <r>
    <x v="203"/>
    <x v="65"/>
    <x v="197"/>
    <x v="65"/>
    <x v="0"/>
    <x v="0"/>
    <x v="0"/>
    <x v="0"/>
    <x v="0"/>
    <x v="0"/>
    <x v="1"/>
    <x v="0"/>
    <x v="1"/>
    <x v="6"/>
    <x v="6"/>
  </r>
  <r>
    <x v="204"/>
    <x v="66"/>
    <x v="198"/>
    <x v="66"/>
    <x v="2"/>
    <x v="1"/>
    <x v="2"/>
    <x v="1"/>
    <x v="11"/>
    <x v="9"/>
    <x v="2"/>
    <x v="12"/>
    <x v="2"/>
    <x v="6"/>
    <x v="6"/>
  </r>
  <r>
    <x v="205"/>
    <x v="67"/>
    <x v="199"/>
    <x v="67"/>
    <x v="1"/>
    <x v="3"/>
    <x v="1"/>
    <x v="7"/>
    <x v="12"/>
    <x v="6"/>
    <x v="1"/>
    <x v="13"/>
    <x v="0"/>
    <x v="6"/>
    <x v="6"/>
  </r>
  <r>
    <x v="206"/>
    <x v="67"/>
    <x v="200"/>
    <x v="67"/>
    <x v="1"/>
    <x v="3"/>
    <x v="1"/>
    <x v="7"/>
    <x v="12"/>
    <x v="6"/>
    <x v="1"/>
    <x v="13"/>
    <x v="0"/>
    <x v="6"/>
    <x v="6"/>
  </r>
  <r>
    <x v="207"/>
    <x v="67"/>
    <x v="201"/>
    <x v="67"/>
    <x v="1"/>
    <x v="3"/>
    <x v="1"/>
    <x v="7"/>
    <x v="12"/>
    <x v="6"/>
    <x v="1"/>
    <x v="13"/>
    <x v="0"/>
    <x v="6"/>
    <x v="6"/>
  </r>
  <r>
    <x v="208"/>
    <x v="68"/>
    <x v="201"/>
    <x v="68"/>
    <x v="0"/>
    <x v="0"/>
    <x v="0"/>
    <x v="0"/>
    <x v="0"/>
    <x v="0"/>
    <x v="0"/>
    <x v="0"/>
    <x v="2"/>
    <x v="6"/>
    <x v="6"/>
  </r>
  <r>
    <x v="209"/>
    <x v="69"/>
    <x v="202"/>
    <x v="69"/>
    <x v="1"/>
    <x v="1"/>
    <x v="0"/>
    <x v="1"/>
    <x v="1"/>
    <x v="1"/>
    <x v="1"/>
    <x v="1"/>
    <x v="0"/>
    <x v="6"/>
    <x v="6"/>
  </r>
  <r>
    <x v="210"/>
    <x v="69"/>
    <x v="203"/>
    <x v="69"/>
    <x v="1"/>
    <x v="1"/>
    <x v="0"/>
    <x v="1"/>
    <x v="1"/>
    <x v="1"/>
    <x v="1"/>
    <x v="1"/>
    <x v="0"/>
    <x v="6"/>
    <x v="6"/>
  </r>
  <r>
    <x v="211"/>
    <x v="69"/>
    <x v="204"/>
    <x v="69"/>
    <x v="1"/>
    <x v="1"/>
    <x v="0"/>
    <x v="1"/>
    <x v="1"/>
    <x v="1"/>
    <x v="1"/>
    <x v="1"/>
    <x v="0"/>
    <x v="6"/>
    <x v="6"/>
  </r>
  <r>
    <x v="212"/>
    <x v="70"/>
    <x v="205"/>
    <x v="70"/>
    <x v="0"/>
    <x v="2"/>
    <x v="1"/>
    <x v="2"/>
    <x v="2"/>
    <x v="2"/>
    <x v="0"/>
    <x v="2"/>
    <x v="2"/>
    <x v="6"/>
    <x v="6"/>
  </r>
  <r>
    <x v="213"/>
    <x v="70"/>
    <x v="206"/>
    <x v="70"/>
    <x v="0"/>
    <x v="2"/>
    <x v="1"/>
    <x v="2"/>
    <x v="2"/>
    <x v="2"/>
    <x v="0"/>
    <x v="2"/>
    <x v="2"/>
    <x v="6"/>
    <x v="6"/>
  </r>
  <r>
    <x v="214"/>
    <x v="71"/>
    <x v="207"/>
    <x v="71"/>
    <x v="1"/>
    <x v="2"/>
    <x v="0"/>
    <x v="3"/>
    <x v="3"/>
    <x v="3"/>
    <x v="1"/>
    <x v="3"/>
    <x v="0"/>
    <x v="6"/>
    <x v="6"/>
  </r>
  <r>
    <x v="215"/>
    <x v="71"/>
    <x v="208"/>
    <x v="71"/>
    <x v="1"/>
    <x v="2"/>
    <x v="0"/>
    <x v="3"/>
    <x v="3"/>
    <x v="3"/>
    <x v="1"/>
    <x v="3"/>
    <x v="0"/>
    <x v="6"/>
    <x v="6"/>
  </r>
  <r>
    <x v="216"/>
    <x v="71"/>
    <x v="209"/>
    <x v="71"/>
    <x v="1"/>
    <x v="2"/>
    <x v="0"/>
    <x v="3"/>
    <x v="3"/>
    <x v="3"/>
    <x v="1"/>
    <x v="3"/>
    <x v="0"/>
    <x v="6"/>
    <x v="6"/>
  </r>
  <r>
    <x v="217"/>
    <x v="71"/>
    <x v="210"/>
    <x v="71"/>
    <x v="1"/>
    <x v="2"/>
    <x v="0"/>
    <x v="3"/>
    <x v="3"/>
    <x v="3"/>
    <x v="1"/>
    <x v="3"/>
    <x v="0"/>
    <x v="6"/>
    <x v="6"/>
  </r>
  <r>
    <x v="218"/>
    <x v="72"/>
    <x v="211"/>
    <x v="72"/>
    <x v="0"/>
    <x v="0"/>
    <x v="0"/>
    <x v="4"/>
    <x v="4"/>
    <x v="4"/>
    <x v="1"/>
    <x v="4"/>
    <x v="2"/>
    <x v="6"/>
    <x v="6"/>
  </r>
  <r>
    <x v="219"/>
    <x v="72"/>
    <x v="212"/>
    <x v="72"/>
    <x v="0"/>
    <x v="0"/>
    <x v="0"/>
    <x v="4"/>
    <x v="4"/>
    <x v="4"/>
    <x v="1"/>
    <x v="4"/>
    <x v="2"/>
    <x v="7"/>
    <x v="7"/>
  </r>
  <r>
    <x v="220"/>
    <x v="73"/>
    <x v="213"/>
    <x v="73"/>
    <x v="2"/>
    <x v="1"/>
    <x v="2"/>
    <x v="5"/>
    <x v="5"/>
    <x v="5"/>
    <x v="2"/>
    <x v="5"/>
    <x v="0"/>
    <x v="7"/>
    <x v="7"/>
  </r>
  <r>
    <x v="221"/>
    <x v="73"/>
    <x v="214"/>
    <x v="73"/>
    <x v="2"/>
    <x v="1"/>
    <x v="2"/>
    <x v="5"/>
    <x v="5"/>
    <x v="5"/>
    <x v="2"/>
    <x v="5"/>
    <x v="0"/>
    <x v="7"/>
    <x v="7"/>
  </r>
  <r>
    <x v="222"/>
    <x v="73"/>
    <x v="215"/>
    <x v="73"/>
    <x v="2"/>
    <x v="1"/>
    <x v="2"/>
    <x v="5"/>
    <x v="5"/>
    <x v="5"/>
    <x v="2"/>
    <x v="5"/>
    <x v="0"/>
    <x v="7"/>
    <x v="7"/>
  </r>
  <r>
    <x v="223"/>
    <x v="73"/>
    <x v="216"/>
    <x v="73"/>
    <x v="2"/>
    <x v="1"/>
    <x v="2"/>
    <x v="5"/>
    <x v="5"/>
    <x v="5"/>
    <x v="2"/>
    <x v="5"/>
    <x v="0"/>
    <x v="7"/>
    <x v="7"/>
  </r>
  <r>
    <x v="224"/>
    <x v="74"/>
    <x v="217"/>
    <x v="74"/>
    <x v="1"/>
    <x v="3"/>
    <x v="1"/>
    <x v="3"/>
    <x v="6"/>
    <x v="6"/>
    <x v="1"/>
    <x v="0"/>
    <x v="1"/>
    <x v="7"/>
    <x v="7"/>
  </r>
  <r>
    <x v="225"/>
    <x v="75"/>
    <x v="218"/>
    <x v="75"/>
    <x v="1"/>
    <x v="2"/>
    <x v="0"/>
    <x v="1"/>
    <x v="1"/>
    <x v="3"/>
    <x v="1"/>
    <x v="6"/>
    <x v="2"/>
    <x v="7"/>
    <x v="7"/>
  </r>
  <r>
    <x v="226"/>
    <x v="75"/>
    <x v="219"/>
    <x v="75"/>
    <x v="1"/>
    <x v="2"/>
    <x v="0"/>
    <x v="1"/>
    <x v="1"/>
    <x v="3"/>
    <x v="1"/>
    <x v="6"/>
    <x v="2"/>
    <x v="7"/>
    <x v="7"/>
  </r>
  <r>
    <x v="227"/>
    <x v="76"/>
    <x v="220"/>
    <x v="76"/>
    <x v="0"/>
    <x v="0"/>
    <x v="0"/>
    <x v="4"/>
    <x v="4"/>
    <x v="4"/>
    <x v="0"/>
    <x v="4"/>
    <x v="0"/>
    <x v="7"/>
    <x v="7"/>
  </r>
  <r>
    <x v="228"/>
    <x v="76"/>
    <x v="221"/>
    <x v="76"/>
    <x v="0"/>
    <x v="0"/>
    <x v="0"/>
    <x v="4"/>
    <x v="4"/>
    <x v="4"/>
    <x v="0"/>
    <x v="4"/>
    <x v="0"/>
    <x v="7"/>
    <x v="7"/>
  </r>
  <r>
    <x v="229"/>
    <x v="76"/>
    <x v="222"/>
    <x v="76"/>
    <x v="0"/>
    <x v="0"/>
    <x v="0"/>
    <x v="4"/>
    <x v="4"/>
    <x v="4"/>
    <x v="0"/>
    <x v="4"/>
    <x v="0"/>
    <x v="7"/>
    <x v="7"/>
  </r>
  <r>
    <x v="230"/>
    <x v="76"/>
    <x v="223"/>
    <x v="76"/>
    <x v="0"/>
    <x v="0"/>
    <x v="0"/>
    <x v="4"/>
    <x v="4"/>
    <x v="4"/>
    <x v="0"/>
    <x v="4"/>
    <x v="0"/>
    <x v="7"/>
    <x v="7"/>
  </r>
  <r>
    <x v="231"/>
    <x v="76"/>
    <x v="224"/>
    <x v="76"/>
    <x v="0"/>
    <x v="0"/>
    <x v="0"/>
    <x v="4"/>
    <x v="4"/>
    <x v="4"/>
    <x v="0"/>
    <x v="4"/>
    <x v="0"/>
    <x v="7"/>
    <x v="7"/>
  </r>
  <r>
    <x v="232"/>
    <x v="77"/>
    <x v="225"/>
    <x v="77"/>
    <x v="1"/>
    <x v="1"/>
    <x v="0"/>
    <x v="6"/>
    <x v="7"/>
    <x v="1"/>
    <x v="1"/>
    <x v="7"/>
    <x v="1"/>
    <x v="7"/>
    <x v="7"/>
  </r>
  <r>
    <x v="233"/>
    <x v="78"/>
    <x v="226"/>
    <x v="78"/>
    <x v="2"/>
    <x v="1"/>
    <x v="2"/>
    <x v="3"/>
    <x v="8"/>
    <x v="7"/>
    <x v="2"/>
    <x v="8"/>
    <x v="2"/>
    <x v="7"/>
    <x v="7"/>
  </r>
  <r>
    <x v="234"/>
    <x v="78"/>
    <x v="227"/>
    <x v="78"/>
    <x v="2"/>
    <x v="1"/>
    <x v="2"/>
    <x v="3"/>
    <x v="8"/>
    <x v="7"/>
    <x v="2"/>
    <x v="8"/>
    <x v="2"/>
    <x v="7"/>
    <x v="7"/>
  </r>
  <r>
    <x v="235"/>
    <x v="79"/>
    <x v="228"/>
    <x v="79"/>
    <x v="0"/>
    <x v="2"/>
    <x v="1"/>
    <x v="5"/>
    <x v="9"/>
    <x v="7"/>
    <x v="0"/>
    <x v="9"/>
    <x v="0"/>
    <x v="7"/>
    <x v="7"/>
  </r>
  <r>
    <x v="236"/>
    <x v="79"/>
    <x v="229"/>
    <x v="79"/>
    <x v="0"/>
    <x v="2"/>
    <x v="1"/>
    <x v="5"/>
    <x v="9"/>
    <x v="7"/>
    <x v="0"/>
    <x v="9"/>
    <x v="0"/>
    <x v="7"/>
    <x v="7"/>
  </r>
  <r>
    <x v="237"/>
    <x v="79"/>
    <x v="230"/>
    <x v="79"/>
    <x v="0"/>
    <x v="2"/>
    <x v="1"/>
    <x v="5"/>
    <x v="9"/>
    <x v="7"/>
    <x v="0"/>
    <x v="9"/>
    <x v="0"/>
    <x v="7"/>
    <x v="7"/>
  </r>
  <r>
    <x v="238"/>
    <x v="79"/>
    <x v="231"/>
    <x v="79"/>
    <x v="0"/>
    <x v="2"/>
    <x v="1"/>
    <x v="5"/>
    <x v="9"/>
    <x v="7"/>
    <x v="0"/>
    <x v="9"/>
    <x v="0"/>
    <x v="7"/>
    <x v="7"/>
  </r>
  <r>
    <x v="239"/>
    <x v="79"/>
    <x v="232"/>
    <x v="79"/>
    <x v="0"/>
    <x v="2"/>
    <x v="1"/>
    <x v="5"/>
    <x v="9"/>
    <x v="7"/>
    <x v="0"/>
    <x v="9"/>
    <x v="0"/>
    <x v="7"/>
    <x v="7"/>
  </r>
  <r>
    <x v="240"/>
    <x v="79"/>
    <x v="232"/>
    <x v="79"/>
    <x v="0"/>
    <x v="2"/>
    <x v="1"/>
    <x v="5"/>
    <x v="9"/>
    <x v="7"/>
    <x v="0"/>
    <x v="9"/>
    <x v="0"/>
    <x v="7"/>
    <x v="7"/>
  </r>
  <r>
    <x v="241"/>
    <x v="79"/>
    <x v="233"/>
    <x v="79"/>
    <x v="0"/>
    <x v="2"/>
    <x v="1"/>
    <x v="5"/>
    <x v="9"/>
    <x v="7"/>
    <x v="0"/>
    <x v="9"/>
    <x v="0"/>
    <x v="7"/>
    <x v="7"/>
  </r>
  <r>
    <x v="242"/>
    <x v="80"/>
    <x v="234"/>
    <x v="80"/>
    <x v="1"/>
    <x v="2"/>
    <x v="0"/>
    <x v="7"/>
    <x v="10"/>
    <x v="3"/>
    <x v="1"/>
    <x v="10"/>
    <x v="1"/>
    <x v="7"/>
    <x v="7"/>
  </r>
  <r>
    <x v="243"/>
    <x v="81"/>
    <x v="235"/>
    <x v="81"/>
    <x v="3"/>
    <x v="0"/>
    <x v="0"/>
    <x v="3"/>
    <x v="3"/>
    <x v="8"/>
    <x v="0"/>
    <x v="11"/>
    <x v="2"/>
    <x v="7"/>
    <x v="7"/>
  </r>
  <r>
    <x v="244"/>
    <x v="81"/>
    <x v="236"/>
    <x v="81"/>
    <x v="3"/>
    <x v="0"/>
    <x v="0"/>
    <x v="3"/>
    <x v="3"/>
    <x v="8"/>
    <x v="0"/>
    <x v="11"/>
    <x v="2"/>
    <x v="7"/>
    <x v="7"/>
  </r>
  <r>
    <x v="245"/>
    <x v="81"/>
    <x v="237"/>
    <x v="81"/>
    <x v="3"/>
    <x v="0"/>
    <x v="0"/>
    <x v="3"/>
    <x v="3"/>
    <x v="8"/>
    <x v="0"/>
    <x v="11"/>
    <x v="2"/>
    <x v="7"/>
    <x v="7"/>
  </r>
  <r>
    <x v="246"/>
    <x v="82"/>
    <x v="238"/>
    <x v="82"/>
    <x v="0"/>
    <x v="0"/>
    <x v="0"/>
    <x v="0"/>
    <x v="0"/>
    <x v="0"/>
    <x v="1"/>
    <x v="0"/>
    <x v="0"/>
    <x v="7"/>
    <x v="7"/>
  </r>
  <r>
    <x v="247"/>
    <x v="82"/>
    <x v="239"/>
    <x v="82"/>
    <x v="0"/>
    <x v="0"/>
    <x v="0"/>
    <x v="0"/>
    <x v="0"/>
    <x v="0"/>
    <x v="1"/>
    <x v="0"/>
    <x v="0"/>
    <x v="7"/>
    <x v="7"/>
  </r>
  <r>
    <x v="248"/>
    <x v="82"/>
    <x v="240"/>
    <x v="82"/>
    <x v="0"/>
    <x v="0"/>
    <x v="0"/>
    <x v="0"/>
    <x v="0"/>
    <x v="0"/>
    <x v="1"/>
    <x v="0"/>
    <x v="0"/>
    <x v="7"/>
    <x v="7"/>
  </r>
  <r>
    <x v="249"/>
    <x v="82"/>
    <x v="241"/>
    <x v="82"/>
    <x v="0"/>
    <x v="0"/>
    <x v="0"/>
    <x v="0"/>
    <x v="0"/>
    <x v="0"/>
    <x v="1"/>
    <x v="0"/>
    <x v="0"/>
    <x v="7"/>
    <x v="7"/>
  </r>
  <r>
    <x v="250"/>
    <x v="82"/>
    <x v="242"/>
    <x v="82"/>
    <x v="0"/>
    <x v="0"/>
    <x v="0"/>
    <x v="0"/>
    <x v="0"/>
    <x v="0"/>
    <x v="1"/>
    <x v="0"/>
    <x v="0"/>
    <x v="8"/>
    <x v="8"/>
  </r>
  <r>
    <x v="251"/>
    <x v="82"/>
    <x v="243"/>
    <x v="82"/>
    <x v="0"/>
    <x v="0"/>
    <x v="0"/>
    <x v="0"/>
    <x v="0"/>
    <x v="0"/>
    <x v="1"/>
    <x v="0"/>
    <x v="0"/>
    <x v="8"/>
    <x v="8"/>
  </r>
  <r>
    <x v="252"/>
    <x v="82"/>
    <x v="244"/>
    <x v="82"/>
    <x v="0"/>
    <x v="0"/>
    <x v="0"/>
    <x v="0"/>
    <x v="0"/>
    <x v="0"/>
    <x v="1"/>
    <x v="0"/>
    <x v="0"/>
    <x v="8"/>
    <x v="8"/>
  </r>
  <r>
    <x v="253"/>
    <x v="82"/>
    <x v="245"/>
    <x v="82"/>
    <x v="0"/>
    <x v="0"/>
    <x v="0"/>
    <x v="0"/>
    <x v="0"/>
    <x v="0"/>
    <x v="1"/>
    <x v="0"/>
    <x v="0"/>
    <x v="8"/>
    <x v="8"/>
  </r>
  <r>
    <x v="254"/>
    <x v="82"/>
    <x v="246"/>
    <x v="82"/>
    <x v="0"/>
    <x v="0"/>
    <x v="0"/>
    <x v="0"/>
    <x v="0"/>
    <x v="0"/>
    <x v="1"/>
    <x v="0"/>
    <x v="0"/>
    <x v="8"/>
    <x v="8"/>
  </r>
  <r>
    <x v="255"/>
    <x v="82"/>
    <x v="247"/>
    <x v="82"/>
    <x v="0"/>
    <x v="0"/>
    <x v="0"/>
    <x v="0"/>
    <x v="0"/>
    <x v="0"/>
    <x v="1"/>
    <x v="0"/>
    <x v="0"/>
    <x v="8"/>
    <x v="8"/>
  </r>
  <r>
    <x v="256"/>
    <x v="83"/>
    <x v="248"/>
    <x v="83"/>
    <x v="2"/>
    <x v="1"/>
    <x v="2"/>
    <x v="1"/>
    <x v="11"/>
    <x v="9"/>
    <x v="2"/>
    <x v="12"/>
    <x v="1"/>
    <x v="8"/>
    <x v="8"/>
  </r>
  <r>
    <x v="257"/>
    <x v="84"/>
    <x v="249"/>
    <x v="84"/>
    <x v="1"/>
    <x v="3"/>
    <x v="1"/>
    <x v="7"/>
    <x v="12"/>
    <x v="6"/>
    <x v="1"/>
    <x v="13"/>
    <x v="2"/>
    <x v="8"/>
    <x v="8"/>
  </r>
  <r>
    <x v="258"/>
    <x v="84"/>
    <x v="250"/>
    <x v="84"/>
    <x v="1"/>
    <x v="3"/>
    <x v="1"/>
    <x v="7"/>
    <x v="12"/>
    <x v="6"/>
    <x v="1"/>
    <x v="13"/>
    <x v="2"/>
    <x v="8"/>
    <x v="8"/>
  </r>
  <r>
    <x v="259"/>
    <x v="84"/>
    <x v="251"/>
    <x v="84"/>
    <x v="1"/>
    <x v="3"/>
    <x v="1"/>
    <x v="7"/>
    <x v="12"/>
    <x v="6"/>
    <x v="1"/>
    <x v="13"/>
    <x v="2"/>
    <x v="8"/>
    <x v="8"/>
  </r>
  <r>
    <x v="260"/>
    <x v="85"/>
    <x v="252"/>
    <x v="85"/>
    <x v="0"/>
    <x v="0"/>
    <x v="0"/>
    <x v="0"/>
    <x v="0"/>
    <x v="0"/>
    <x v="0"/>
    <x v="0"/>
    <x v="1"/>
    <x v="8"/>
    <x v="8"/>
  </r>
  <r>
    <x v="261"/>
    <x v="86"/>
    <x v="253"/>
    <x v="86"/>
    <x v="1"/>
    <x v="1"/>
    <x v="0"/>
    <x v="1"/>
    <x v="1"/>
    <x v="1"/>
    <x v="1"/>
    <x v="1"/>
    <x v="2"/>
    <x v="8"/>
    <x v="8"/>
  </r>
  <r>
    <x v="262"/>
    <x v="86"/>
    <x v="254"/>
    <x v="86"/>
    <x v="1"/>
    <x v="1"/>
    <x v="0"/>
    <x v="1"/>
    <x v="1"/>
    <x v="1"/>
    <x v="1"/>
    <x v="1"/>
    <x v="2"/>
    <x v="8"/>
    <x v="8"/>
  </r>
  <r>
    <x v="263"/>
    <x v="86"/>
    <x v="255"/>
    <x v="86"/>
    <x v="1"/>
    <x v="1"/>
    <x v="0"/>
    <x v="1"/>
    <x v="1"/>
    <x v="1"/>
    <x v="1"/>
    <x v="1"/>
    <x v="2"/>
    <x v="8"/>
    <x v="8"/>
  </r>
  <r>
    <x v="264"/>
    <x v="87"/>
    <x v="256"/>
    <x v="87"/>
    <x v="0"/>
    <x v="2"/>
    <x v="1"/>
    <x v="2"/>
    <x v="2"/>
    <x v="2"/>
    <x v="0"/>
    <x v="2"/>
    <x v="1"/>
    <x v="8"/>
    <x v="8"/>
  </r>
  <r>
    <x v="265"/>
    <x v="87"/>
    <x v="257"/>
    <x v="87"/>
    <x v="0"/>
    <x v="2"/>
    <x v="1"/>
    <x v="2"/>
    <x v="2"/>
    <x v="2"/>
    <x v="0"/>
    <x v="2"/>
    <x v="1"/>
    <x v="8"/>
    <x v="8"/>
  </r>
  <r>
    <x v="266"/>
    <x v="88"/>
    <x v="258"/>
    <x v="88"/>
    <x v="1"/>
    <x v="2"/>
    <x v="0"/>
    <x v="3"/>
    <x v="3"/>
    <x v="3"/>
    <x v="1"/>
    <x v="3"/>
    <x v="2"/>
    <x v="8"/>
    <x v="8"/>
  </r>
  <r>
    <x v="267"/>
    <x v="88"/>
    <x v="259"/>
    <x v="88"/>
    <x v="1"/>
    <x v="2"/>
    <x v="0"/>
    <x v="3"/>
    <x v="3"/>
    <x v="3"/>
    <x v="1"/>
    <x v="3"/>
    <x v="2"/>
    <x v="8"/>
    <x v="8"/>
  </r>
  <r>
    <x v="268"/>
    <x v="88"/>
    <x v="260"/>
    <x v="88"/>
    <x v="1"/>
    <x v="2"/>
    <x v="0"/>
    <x v="3"/>
    <x v="3"/>
    <x v="3"/>
    <x v="1"/>
    <x v="3"/>
    <x v="2"/>
    <x v="8"/>
    <x v="8"/>
  </r>
  <r>
    <x v="269"/>
    <x v="88"/>
    <x v="261"/>
    <x v="88"/>
    <x v="1"/>
    <x v="2"/>
    <x v="0"/>
    <x v="3"/>
    <x v="3"/>
    <x v="3"/>
    <x v="1"/>
    <x v="3"/>
    <x v="2"/>
    <x v="8"/>
    <x v="8"/>
  </r>
  <r>
    <x v="270"/>
    <x v="89"/>
    <x v="262"/>
    <x v="89"/>
    <x v="0"/>
    <x v="0"/>
    <x v="0"/>
    <x v="4"/>
    <x v="4"/>
    <x v="4"/>
    <x v="1"/>
    <x v="4"/>
    <x v="1"/>
    <x v="8"/>
    <x v="8"/>
  </r>
  <r>
    <x v="271"/>
    <x v="89"/>
    <x v="263"/>
    <x v="89"/>
    <x v="0"/>
    <x v="0"/>
    <x v="0"/>
    <x v="4"/>
    <x v="4"/>
    <x v="4"/>
    <x v="1"/>
    <x v="4"/>
    <x v="1"/>
    <x v="8"/>
    <x v="8"/>
  </r>
  <r>
    <x v="272"/>
    <x v="90"/>
    <x v="263"/>
    <x v="90"/>
    <x v="2"/>
    <x v="1"/>
    <x v="2"/>
    <x v="5"/>
    <x v="5"/>
    <x v="5"/>
    <x v="2"/>
    <x v="5"/>
    <x v="2"/>
    <x v="8"/>
    <x v="8"/>
  </r>
  <r>
    <x v="273"/>
    <x v="90"/>
    <x v="264"/>
    <x v="90"/>
    <x v="2"/>
    <x v="1"/>
    <x v="2"/>
    <x v="5"/>
    <x v="5"/>
    <x v="5"/>
    <x v="2"/>
    <x v="5"/>
    <x v="2"/>
    <x v="8"/>
    <x v="8"/>
  </r>
  <r>
    <x v="274"/>
    <x v="90"/>
    <x v="265"/>
    <x v="90"/>
    <x v="2"/>
    <x v="1"/>
    <x v="2"/>
    <x v="5"/>
    <x v="5"/>
    <x v="5"/>
    <x v="2"/>
    <x v="5"/>
    <x v="2"/>
    <x v="8"/>
    <x v="8"/>
  </r>
  <r>
    <x v="275"/>
    <x v="90"/>
    <x v="266"/>
    <x v="90"/>
    <x v="2"/>
    <x v="1"/>
    <x v="2"/>
    <x v="5"/>
    <x v="5"/>
    <x v="5"/>
    <x v="2"/>
    <x v="5"/>
    <x v="2"/>
    <x v="8"/>
    <x v="8"/>
  </r>
  <r>
    <x v="276"/>
    <x v="91"/>
    <x v="267"/>
    <x v="91"/>
    <x v="1"/>
    <x v="3"/>
    <x v="1"/>
    <x v="3"/>
    <x v="6"/>
    <x v="6"/>
    <x v="1"/>
    <x v="0"/>
    <x v="0"/>
    <x v="8"/>
    <x v="8"/>
  </r>
  <r>
    <x v="277"/>
    <x v="92"/>
    <x v="268"/>
    <x v="92"/>
    <x v="1"/>
    <x v="2"/>
    <x v="0"/>
    <x v="1"/>
    <x v="1"/>
    <x v="3"/>
    <x v="1"/>
    <x v="6"/>
    <x v="1"/>
    <x v="8"/>
    <x v="8"/>
  </r>
  <r>
    <x v="278"/>
    <x v="92"/>
    <x v="269"/>
    <x v="92"/>
    <x v="1"/>
    <x v="2"/>
    <x v="0"/>
    <x v="1"/>
    <x v="1"/>
    <x v="3"/>
    <x v="1"/>
    <x v="6"/>
    <x v="1"/>
    <x v="8"/>
    <x v="8"/>
  </r>
  <r>
    <x v="279"/>
    <x v="93"/>
    <x v="270"/>
    <x v="93"/>
    <x v="0"/>
    <x v="0"/>
    <x v="0"/>
    <x v="4"/>
    <x v="4"/>
    <x v="4"/>
    <x v="0"/>
    <x v="4"/>
    <x v="2"/>
    <x v="8"/>
    <x v="8"/>
  </r>
  <r>
    <x v="280"/>
    <x v="93"/>
    <x v="271"/>
    <x v="93"/>
    <x v="0"/>
    <x v="0"/>
    <x v="0"/>
    <x v="4"/>
    <x v="4"/>
    <x v="4"/>
    <x v="0"/>
    <x v="4"/>
    <x v="2"/>
    <x v="8"/>
    <x v="8"/>
  </r>
  <r>
    <x v="281"/>
    <x v="93"/>
    <x v="272"/>
    <x v="93"/>
    <x v="0"/>
    <x v="0"/>
    <x v="0"/>
    <x v="4"/>
    <x v="4"/>
    <x v="4"/>
    <x v="0"/>
    <x v="4"/>
    <x v="2"/>
    <x v="8"/>
    <x v="8"/>
  </r>
  <r>
    <x v="282"/>
    <x v="93"/>
    <x v="273"/>
    <x v="93"/>
    <x v="0"/>
    <x v="0"/>
    <x v="0"/>
    <x v="4"/>
    <x v="4"/>
    <x v="4"/>
    <x v="0"/>
    <x v="4"/>
    <x v="2"/>
    <x v="9"/>
    <x v="9"/>
  </r>
  <r>
    <x v="283"/>
    <x v="93"/>
    <x v="274"/>
    <x v="93"/>
    <x v="0"/>
    <x v="0"/>
    <x v="0"/>
    <x v="4"/>
    <x v="4"/>
    <x v="4"/>
    <x v="0"/>
    <x v="4"/>
    <x v="2"/>
    <x v="9"/>
    <x v="9"/>
  </r>
  <r>
    <x v="284"/>
    <x v="94"/>
    <x v="275"/>
    <x v="94"/>
    <x v="1"/>
    <x v="1"/>
    <x v="0"/>
    <x v="6"/>
    <x v="7"/>
    <x v="1"/>
    <x v="1"/>
    <x v="7"/>
    <x v="0"/>
    <x v="9"/>
    <x v="9"/>
  </r>
  <r>
    <x v="285"/>
    <x v="95"/>
    <x v="276"/>
    <x v="95"/>
    <x v="2"/>
    <x v="1"/>
    <x v="2"/>
    <x v="3"/>
    <x v="8"/>
    <x v="7"/>
    <x v="2"/>
    <x v="8"/>
    <x v="1"/>
    <x v="9"/>
    <x v="9"/>
  </r>
  <r>
    <x v="286"/>
    <x v="95"/>
    <x v="277"/>
    <x v="95"/>
    <x v="2"/>
    <x v="1"/>
    <x v="2"/>
    <x v="3"/>
    <x v="8"/>
    <x v="7"/>
    <x v="2"/>
    <x v="8"/>
    <x v="1"/>
    <x v="9"/>
    <x v="9"/>
  </r>
  <r>
    <x v="287"/>
    <x v="96"/>
    <x v="278"/>
    <x v="96"/>
    <x v="0"/>
    <x v="2"/>
    <x v="1"/>
    <x v="5"/>
    <x v="9"/>
    <x v="7"/>
    <x v="0"/>
    <x v="9"/>
    <x v="2"/>
    <x v="9"/>
    <x v="9"/>
  </r>
  <r>
    <x v="288"/>
    <x v="96"/>
    <x v="279"/>
    <x v="96"/>
    <x v="0"/>
    <x v="2"/>
    <x v="1"/>
    <x v="5"/>
    <x v="9"/>
    <x v="7"/>
    <x v="0"/>
    <x v="9"/>
    <x v="2"/>
    <x v="9"/>
    <x v="9"/>
  </r>
  <r>
    <x v="289"/>
    <x v="96"/>
    <x v="280"/>
    <x v="96"/>
    <x v="0"/>
    <x v="2"/>
    <x v="1"/>
    <x v="5"/>
    <x v="9"/>
    <x v="7"/>
    <x v="0"/>
    <x v="9"/>
    <x v="2"/>
    <x v="9"/>
    <x v="9"/>
  </r>
  <r>
    <x v="290"/>
    <x v="96"/>
    <x v="281"/>
    <x v="96"/>
    <x v="0"/>
    <x v="2"/>
    <x v="1"/>
    <x v="5"/>
    <x v="9"/>
    <x v="7"/>
    <x v="0"/>
    <x v="9"/>
    <x v="2"/>
    <x v="9"/>
    <x v="9"/>
  </r>
  <r>
    <x v="291"/>
    <x v="96"/>
    <x v="282"/>
    <x v="96"/>
    <x v="0"/>
    <x v="2"/>
    <x v="1"/>
    <x v="5"/>
    <x v="9"/>
    <x v="7"/>
    <x v="0"/>
    <x v="9"/>
    <x v="2"/>
    <x v="9"/>
    <x v="9"/>
  </r>
  <r>
    <x v="292"/>
    <x v="96"/>
    <x v="283"/>
    <x v="96"/>
    <x v="0"/>
    <x v="2"/>
    <x v="1"/>
    <x v="5"/>
    <x v="9"/>
    <x v="7"/>
    <x v="0"/>
    <x v="9"/>
    <x v="2"/>
    <x v="9"/>
    <x v="9"/>
  </r>
  <r>
    <x v="293"/>
    <x v="96"/>
    <x v="284"/>
    <x v="96"/>
    <x v="0"/>
    <x v="2"/>
    <x v="1"/>
    <x v="5"/>
    <x v="9"/>
    <x v="7"/>
    <x v="0"/>
    <x v="9"/>
    <x v="2"/>
    <x v="9"/>
    <x v="9"/>
  </r>
  <r>
    <x v="294"/>
    <x v="97"/>
    <x v="285"/>
    <x v="97"/>
    <x v="1"/>
    <x v="2"/>
    <x v="0"/>
    <x v="7"/>
    <x v="10"/>
    <x v="3"/>
    <x v="1"/>
    <x v="10"/>
    <x v="0"/>
    <x v="9"/>
    <x v="9"/>
  </r>
  <r>
    <x v="295"/>
    <x v="98"/>
    <x v="286"/>
    <x v="98"/>
    <x v="3"/>
    <x v="0"/>
    <x v="0"/>
    <x v="3"/>
    <x v="3"/>
    <x v="8"/>
    <x v="0"/>
    <x v="11"/>
    <x v="1"/>
    <x v="9"/>
    <x v="9"/>
  </r>
  <r>
    <x v="296"/>
    <x v="98"/>
    <x v="287"/>
    <x v="98"/>
    <x v="3"/>
    <x v="0"/>
    <x v="0"/>
    <x v="3"/>
    <x v="3"/>
    <x v="8"/>
    <x v="0"/>
    <x v="11"/>
    <x v="1"/>
    <x v="9"/>
    <x v="9"/>
  </r>
  <r>
    <x v="297"/>
    <x v="98"/>
    <x v="288"/>
    <x v="98"/>
    <x v="3"/>
    <x v="0"/>
    <x v="0"/>
    <x v="3"/>
    <x v="3"/>
    <x v="8"/>
    <x v="0"/>
    <x v="11"/>
    <x v="1"/>
    <x v="9"/>
    <x v="9"/>
  </r>
  <r>
    <x v="298"/>
    <x v="99"/>
    <x v="289"/>
    <x v="99"/>
    <x v="0"/>
    <x v="0"/>
    <x v="0"/>
    <x v="0"/>
    <x v="0"/>
    <x v="0"/>
    <x v="1"/>
    <x v="0"/>
    <x v="2"/>
    <x v="9"/>
    <x v="9"/>
  </r>
  <r>
    <x v="299"/>
    <x v="99"/>
    <x v="290"/>
    <x v="99"/>
    <x v="0"/>
    <x v="0"/>
    <x v="0"/>
    <x v="0"/>
    <x v="0"/>
    <x v="0"/>
    <x v="1"/>
    <x v="0"/>
    <x v="2"/>
    <x v="9"/>
    <x v="9"/>
  </r>
  <r>
    <x v="300"/>
    <x v="99"/>
    <x v="291"/>
    <x v="99"/>
    <x v="0"/>
    <x v="0"/>
    <x v="0"/>
    <x v="0"/>
    <x v="0"/>
    <x v="0"/>
    <x v="1"/>
    <x v="0"/>
    <x v="2"/>
    <x v="9"/>
    <x v="9"/>
  </r>
  <r>
    <x v="301"/>
    <x v="99"/>
    <x v="292"/>
    <x v="99"/>
    <x v="0"/>
    <x v="0"/>
    <x v="0"/>
    <x v="0"/>
    <x v="0"/>
    <x v="0"/>
    <x v="1"/>
    <x v="0"/>
    <x v="2"/>
    <x v="9"/>
    <x v="9"/>
  </r>
  <r>
    <x v="302"/>
    <x v="99"/>
    <x v="293"/>
    <x v="99"/>
    <x v="0"/>
    <x v="0"/>
    <x v="0"/>
    <x v="0"/>
    <x v="0"/>
    <x v="0"/>
    <x v="1"/>
    <x v="0"/>
    <x v="2"/>
    <x v="9"/>
    <x v="9"/>
  </r>
  <r>
    <x v="303"/>
    <x v="99"/>
    <x v="294"/>
    <x v="99"/>
    <x v="0"/>
    <x v="0"/>
    <x v="0"/>
    <x v="0"/>
    <x v="0"/>
    <x v="0"/>
    <x v="1"/>
    <x v="0"/>
    <x v="2"/>
    <x v="9"/>
    <x v="9"/>
  </r>
  <r>
    <x v="304"/>
    <x v="99"/>
    <x v="294"/>
    <x v="99"/>
    <x v="0"/>
    <x v="0"/>
    <x v="0"/>
    <x v="0"/>
    <x v="0"/>
    <x v="0"/>
    <x v="1"/>
    <x v="0"/>
    <x v="2"/>
    <x v="9"/>
    <x v="9"/>
  </r>
  <r>
    <x v="305"/>
    <x v="99"/>
    <x v="295"/>
    <x v="99"/>
    <x v="0"/>
    <x v="0"/>
    <x v="0"/>
    <x v="0"/>
    <x v="0"/>
    <x v="0"/>
    <x v="1"/>
    <x v="0"/>
    <x v="2"/>
    <x v="9"/>
    <x v="9"/>
  </r>
  <r>
    <x v="306"/>
    <x v="99"/>
    <x v="296"/>
    <x v="99"/>
    <x v="0"/>
    <x v="0"/>
    <x v="0"/>
    <x v="0"/>
    <x v="0"/>
    <x v="0"/>
    <x v="1"/>
    <x v="0"/>
    <x v="2"/>
    <x v="9"/>
    <x v="9"/>
  </r>
  <r>
    <x v="307"/>
    <x v="99"/>
    <x v="297"/>
    <x v="99"/>
    <x v="0"/>
    <x v="0"/>
    <x v="0"/>
    <x v="0"/>
    <x v="0"/>
    <x v="0"/>
    <x v="1"/>
    <x v="0"/>
    <x v="2"/>
    <x v="9"/>
    <x v="9"/>
  </r>
  <r>
    <x v="308"/>
    <x v="100"/>
    <x v="298"/>
    <x v="100"/>
    <x v="2"/>
    <x v="1"/>
    <x v="2"/>
    <x v="1"/>
    <x v="11"/>
    <x v="9"/>
    <x v="2"/>
    <x v="12"/>
    <x v="0"/>
    <x v="9"/>
    <x v="9"/>
  </r>
  <r>
    <x v="309"/>
    <x v="101"/>
    <x v="299"/>
    <x v="101"/>
    <x v="1"/>
    <x v="3"/>
    <x v="1"/>
    <x v="7"/>
    <x v="12"/>
    <x v="6"/>
    <x v="1"/>
    <x v="13"/>
    <x v="1"/>
    <x v="9"/>
    <x v="9"/>
  </r>
  <r>
    <x v="310"/>
    <x v="101"/>
    <x v="300"/>
    <x v="101"/>
    <x v="1"/>
    <x v="3"/>
    <x v="1"/>
    <x v="7"/>
    <x v="12"/>
    <x v="6"/>
    <x v="1"/>
    <x v="13"/>
    <x v="1"/>
    <x v="9"/>
    <x v="9"/>
  </r>
  <r>
    <x v="311"/>
    <x v="101"/>
    <x v="301"/>
    <x v="101"/>
    <x v="1"/>
    <x v="3"/>
    <x v="1"/>
    <x v="7"/>
    <x v="12"/>
    <x v="6"/>
    <x v="1"/>
    <x v="13"/>
    <x v="1"/>
    <x v="9"/>
    <x v="9"/>
  </r>
  <r>
    <x v="312"/>
    <x v="102"/>
    <x v="302"/>
    <x v="102"/>
    <x v="0"/>
    <x v="0"/>
    <x v="0"/>
    <x v="0"/>
    <x v="0"/>
    <x v="0"/>
    <x v="0"/>
    <x v="0"/>
    <x v="0"/>
    <x v="9"/>
    <x v="9"/>
  </r>
  <r>
    <x v="313"/>
    <x v="103"/>
    <x v="303"/>
    <x v="103"/>
    <x v="1"/>
    <x v="1"/>
    <x v="0"/>
    <x v="1"/>
    <x v="1"/>
    <x v="1"/>
    <x v="1"/>
    <x v="1"/>
    <x v="1"/>
    <x v="10"/>
    <x v="10"/>
  </r>
  <r>
    <x v="314"/>
    <x v="103"/>
    <x v="304"/>
    <x v="103"/>
    <x v="1"/>
    <x v="1"/>
    <x v="0"/>
    <x v="1"/>
    <x v="1"/>
    <x v="1"/>
    <x v="1"/>
    <x v="1"/>
    <x v="1"/>
    <x v="10"/>
    <x v="10"/>
  </r>
  <r>
    <x v="315"/>
    <x v="103"/>
    <x v="305"/>
    <x v="103"/>
    <x v="1"/>
    <x v="1"/>
    <x v="0"/>
    <x v="1"/>
    <x v="1"/>
    <x v="1"/>
    <x v="1"/>
    <x v="1"/>
    <x v="1"/>
    <x v="10"/>
    <x v="10"/>
  </r>
  <r>
    <x v="316"/>
    <x v="104"/>
    <x v="306"/>
    <x v="104"/>
    <x v="0"/>
    <x v="2"/>
    <x v="1"/>
    <x v="2"/>
    <x v="2"/>
    <x v="2"/>
    <x v="0"/>
    <x v="2"/>
    <x v="0"/>
    <x v="10"/>
    <x v="10"/>
  </r>
  <r>
    <x v="317"/>
    <x v="104"/>
    <x v="307"/>
    <x v="104"/>
    <x v="0"/>
    <x v="2"/>
    <x v="1"/>
    <x v="2"/>
    <x v="2"/>
    <x v="2"/>
    <x v="0"/>
    <x v="2"/>
    <x v="0"/>
    <x v="10"/>
    <x v="10"/>
  </r>
  <r>
    <x v="318"/>
    <x v="105"/>
    <x v="308"/>
    <x v="105"/>
    <x v="1"/>
    <x v="2"/>
    <x v="0"/>
    <x v="3"/>
    <x v="3"/>
    <x v="3"/>
    <x v="1"/>
    <x v="3"/>
    <x v="1"/>
    <x v="10"/>
    <x v="10"/>
  </r>
  <r>
    <x v="319"/>
    <x v="105"/>
    <x v="309"/>
    <x v="105"/>
    <x v="1"/>
    <x v="2"/>
    <x v="0"/>
    <x v="3"/>
    <x v="3"/>
    <x v="3"/>
    <x v="1"/>
    <x v="3"/>
    <x v="1"/>
    <x v="10"/>
    <x v="10"/>
  </r>
  <r>
    <x v="320"/>
    <x v="105"/>
    <x v="310"/>
    <x v="105"/>
    <x v="1"/>
    <x v="2"/>
    <x v="0"/>
    <x v="3"/>
    <x v="3"/>
    <x v="3"/>
    <x v="1"/>
    <x v="3"/>
    <x v="1"/>
    <x v="10"/>
    <x v="10"/>
  </r>
  <r>
    <x v="321"/>
    <x v="105"/>
    <x v="311"/>
    <x v="105"/>
    <x v="1"/>
    <x v="2"/>
    <x v="0"/>
    <x v="3"/>
    <x v="3"/>
    <x v="3"/>
    <x v="1"/>
    <x v="3"/>
    <x v="1"/>
    <x v="10"/>
    <x v="10"/>
  </r>
  <r>
    <x v="322"/>
    <x v="106"/>
    <x v="312"/>
    <x v="106"/>
    <x v="0"/>
    <x v="0"/>
    <x v="0"/>
    <x v="4"/>
    <x v="4"/>
    <x v="4"/>
    <x v="1"/>
    <x v="4"/>
    <x v="0"/>
    <x v="10"/>
    <x v="10"/>
  </r>
  <r>
    <x v="323"/>
    <x v="106"/>
    <x v="313"/>
    <x v="106"/>
    <x v="0"/>
    <x v="0"/>
    <x v="0"/>
    <x v="4"/>
    <x v="4"/>
    <x v="4"/>
    <x v="1"/>
    <x v="4"/>
    <x v="0"/>
    <x v="10"/>
    <x v="10"/>
  </r>
  <r>
    <x v="324"/>
    <x v="107"/>
    <x v="314"/>
    <x v="107"/>
    <x v="2"/>
    <x v="1"/>
    <x v="2"/>
    <x v="5"/>
    <x v="5"/>
    <x v="5"/>
    <x v="2"/>
    <x v="5"/>
    <x v="1"/>
    <x v="10"/>
    <x v="10"/>
  </r>
  <r>
    <x v="325"/>
    <x v="107"/>
    <x v="315"/>
    <x v="107"/>
    <x v="2"/>
    <x v="1"/>
    <x v="2"/>
    <x v="5"/>
    <x v="5"/>
    <x v="5"/>
    <x v="2"/>
    <x v="5"/>
    <x v="1"/>
    <x v="10"/>
    <x v="10"/>
  </r>
  <r>
    <x v="326"/>
    <x v="107"/>
    <x v="316"/>
    <x v="107"/>
    <x v="2"/>
    <x v="1"/>
    <x v="2"/>
    <x v="5"/>
    <x v="5"/>
    <x v="5"/>
    <x v="2"/>
    <x v="5"/>
    <x v="1"/>
    <x v="10"/>
    <x v="10"/>
  </r>
  <r>
    <x v="327"/>
    <x v="107"/>
    <x v="317"/>
    <x v="107"/>
    <x v="2"/>
    <x v="1"/>
    <x v="2"/>
    <x v="5"/>
    <x v="5"/>
    <x v="5"/>
    <x v="2"/>
    <x v="5"/>
    <x v="1"/>
    <x v="10"/>
    <x v="10"/>
  </r>
  <r>
    <x v="328"/>
    <x v="108"/>
    <x v="318"/>
    <x v="108"/>
    <x v="1"/>
    <x v="3"/>
    <x v="1"/>
    <x v="3"/>
    <x v="6"/>
    <x v="6"/>
    <x v="1"/>
    <x v="0"/>
    <x v="2"/>
    <x v="10"/>
    <x v="10"/>
  </r>
  <r>
    <x v="329"/>
    <x v="109"/>
    <x v="319"/>
    <x v="109"/>
    <x v="1"/>
    <x v="2"/>
    <x v="0"/>
    <x v="1"/>
    <x v="1"/>
    <x v="3"/>
    <x v="1"/>
    <x v="6"/>
    <x v="0"/>
    <x v="10"/>
    <x v="10"/>
  </r>
  <r>
    <x v="330"/>
    <x v="109"/>
    <x v="320"/>
    <x v="109"/>
    <x v="1"/>
    <x v="2"/>
    <x v="0"/>
    <x v="1"/>
    <x v="1"/>
    <x v="3"/>
    <x v="1"/>
    <x v="6"/>
    <x v="0"/>
    <x v="10"/>
    <x v="10"/>
  </r>
  <r>
    <x v="331"/>
    <x v="110"/>
    <x v="321"/>
    <x v="110"/>
    <x v="0"/>
    <x v="0"/>
    <x v="0"/>
    <x v="4"/>
    <x v="4"/>
    <x v="4"/>
    <x v="0"/>
    <x v="4"/>
    <x v="1"/>
    <x v="10"/>
    <x v="10"/>
  </r>
  <r>
    <x v="332"/>
    <x v="110"/>
    <x v="322"/>
    <x v="110"/>
    <x v="0"/>
    <x v="0"/>
    <x v="0"/>
    <x v="4"/>
    <x v="4"/>
    <x v="4"/>
    <x v="0"/>
    <x v="4"/>
    <x v="1"/>
    <x v="10"/>
    <x v="10"/>
  </r>
  <r>
    <x v="333"/>
    <x v="110"/>
    <x v="323"/>
    <x v="110"/>
    <x v="0"/>
    <x v="0"/>
    <x v="0"/>
    <x v="4"/>
    <x v="4"/>
    <x v="4"/>
    <x v="0"/>
    <x v="4"/>
    <x v="1"/>
    <x v="10"/>
    <x v="10"/>
  </r>
  <r>
    <x v="334"/>
    <x v="110"/>
    <x v="324"/>
    <x v="110"/>
    <x v="0"/>
    <x v="0"/>
    <x v="0"/>
    <x v="4"/>
    <x v="4"/>
    <x v="4"/>
    <x v="0"/>
    <x v="4"/>
    <x v="1"/>
    <x v="10"/>
    <x v="10"/>
  </r>
  <r>
    <x v="335"/>
    <x v="110"/>
    <x v="325"/>
    <x v="110"/>
    <x v="0"/>
    <x v="0"/>
    <x v="0"/>
    <x v="4"/>
    <x v="4"/>
    <x v="4"/>
    <x v="0"/>
    <x v="4"/>
    <x v="1"/>
    <x v="10"/>
    <x v="10"/>
  </r>
  <r>
    <x v="336"/>
    <x v="111"/>
    <x v="325"/>
    <x v="111"/>
    <x v="1"/>
    <x v="1"/>
    <x v="0"/>
    <x v="6"/>
    <x v="7"/>
    <x v="1"/>
    <x v="1"/>
    <x v="7"/>
    <x v="2"/>
    <x v="10"/>
    <x v="10"/>
  </r>
  <r>
    <x v="337"/>
    <x v="112"/>
    <x v="326"/>
    <x v="112"/>
    <x v="2"/>
    <x v="1"/>
    <x v="2"/>
    <x v="3"/>
    <x v="8"/>
    <x v="7"/>
    <x v="2"/>
    <x v="8"/>
    <x v="0"/>
    <x v="10"/>
    <x v="10"/>
  </r>
  <r>
    <x v="338"/>
    <x v="112"/>
    <x v="327"/>
    <x v="112"/>
    <x v="2"/>
    <x v="1"/>
    <x v="2"/>
    <x v="3"/>
    <x v="8"/>
    <x v="7"/>
    <x v="2"/>
    <x v="8"/>
    <x v="0"/>
    <x v="10"/>
    <x v="10"/>
  </r>
  <r>
    <x v="339"/>
    <x v="113"/>
    <x v="328"/>
    <x v="113"/>
    <x v="0"/>
    <x v="2"/>
    <x v="1"/>
    <x v="5"/>
    <x v="9"/>
    <x v="7"/>
    <x v="0"/>
    <x v="9"/>
    <x v="1"/>
    <x v="10"/>
    <x v="10"/>
  </r>
  <r>
    <x v="340"/>
    <x v="113"/>
    <x v="329"/>
    <x v="113"/>
    <x v="0"/>
    <x v="2"/>
    <x v="1"/>
    <x v="5"/>
    <x v="9"/>
    <x v="7"/>
    <x v="0"/>
    <x v="9"/>
    <x v="1"/>
    <x v="10"/>
    <x v="10"/>
  </r>
  <r>
    <x v="341"/>
    <x v="113"/>
    <x v="330"/>
    <x v="113"/>
    <x v="0"/>
    <x v="2"/>
    <x v="1"/>
    <x v="5"/>
    <x v="9"/>
    <x v="7"/>
    <x v="0"/>
    <x v="9"/>
    <x v="1"/>
    <x v="10"/>
    <x v="10"/>
  </r>
  <r>
    <x v="342"/>
    <x v="113"/>
    <x v="331"/>
    <x v="113"/>
    <x v="0"/>
    <x v="2"/>
    <x v="1"/>
    <x v="5"/>
    <x v="9"/>
    <x v="7"/>
    <x v="0"/>
    <x v="9"/>
    <x v="1"/>
    <x v="10"/>
    <x v="10"/>
  </r>
  <r>
    <x v="343"/>
    <x v="113"/>
    <x v="332"/>
    <x v="113"/>
    <x v="0"/>
    <x v="2"/>
    <x v="1"/>
    <x v="5"/>
    <x v="9"/>
    <x v="7"/>
    <x v="0"/>
    <x v="9"/>
    <x v="1"/>
    <x v="10"/>
    <x v="10"/>
  </r>
  <r>
    <x v="344"/>
    <x v="113"/>
    <x v="333"/>
    <x v="113"/>
    <x v="0"/>
    <x v="2"/>
    <x v="1"/>
    <x v="5"/>
    <x v="9"/>
    <x v="7"/>
    <x v="0"/>
    <x v="9"/>
    <x v="1"/>
    <x v="10"/>
    <x v="10"/>
  </r>
  <r>
    <x v="345"/>
    <x v="113"/>
    <x v="334"/>
    <x v="113"/>
    <x v="0"/>
    <x v="2"/>
    <x v="1"/>
    <x v="5"/>
    <x v="9"/>
    <x v="7"/>
    <x v="0"/>
    <x v="9"/>
    <x v="1"/>
    <x v="11"/>
    <x v="11"/>
  </r>
  <r>
    <x v="346"/>
    <x v="114"/>
    <x v="335"/>
    <x v="114"/>
    <x v="1"/>
    <x v="2"/>
    <x v="0"/>
    <x v="7"/>
    <x v="10"/>
    <x v="3"/>
    <x v="1"/>
    <x v="10"/>
    <x v="2"/>
    <x v="11"/>
    <x v="11"/>
  </r>
  <r>
    <x v="347"/>
    <x v="115"/>
    <x v="336"/>
    <x v="115"/>
    <x v="3"/>
    <x v="0"/>
    <x v="0"/>
    <x v="3"/>
    <x v="3"/>
    <x v="8"/>
    <x v="0"/>
    <x v="11"/>
    <x v="0"/>
    <x v="11"/>
    <x v="11"/>
  </r>
  <r>
    <x v="348"/>
    <x v="115"/>
    <x v="337"/>
    <x v="115"/>
    <x v="3"/>
    <x v="0"/>
    <x v="0"/>
    <x v="3"/>
    <x v="3"/>
    <x v="8"/>
    <x v="0"/>
    <x v="11"/>
    <x v="0"/>
    <x v="11"/>
    <x v="11"/>
  </r>
  <r>
    <x v="349"/>
    <x v="115"/>
    <x v="338"/>
    <x v="115"/>
    <x v="3"/>
    <x v="0"/>
    <x v="0"/>
    <x v="3"/>
    <x v="3"/>
    <x v="8"/>
    <x v="0"/>
    <x v="11"/>
    <x v="0"/>
    <x v="11"/>
    <x v="11"/>
  </r>
  <r>
    <x v="350"/>
    <x v="116"/>
    <x v="339"/>
    <x v="116"/>
    <x v="0"/>
    <x v="0"/>
    <x v="0"/>
    <x v="0"/>
    <x v="0"/>
    <x v="0"/>
    <x v="1"/>
    <x v="0"/>
    <x v="1"/>
    <x v="11"/>
    <x v="11"/>
  </r>
  <r>
    <x v="351"/>
    <x v="116"/>
    <x v="340"/>
    <x v="116"/>
    <x v="0"/>
    <x v="0"/>
    <x v="0"/>
    <x v="0"/>
    <x v="0"/>
    <x v="0"/>
    <x v="1"/>
    <x v="0"/>
    <x v="1"/>
    <x v="11"/>
    <x v="11"/>
  </r>
  <r>
    <x v="352"/>
    <x v="116"/>
    <x v="341"/>
    <x v="116"/>
    <x v="0"/>
    <x v="0"/>
    <x v="0"/>
    <x v="0"/>
    <x v="0"/>
    <x v="0"/>
    <x v="1"/>
    <x v="0"/>
    <x v="1"/>
    <x v="11"/>
    <x v="11"/>
  </r>
  <r>
    <x v="353"/>
    <x v="116"/>
    <x v="342"/>
    <x v="116"/>
    <x v="0"/>
    <x v="0"/>
    <x v="0"/>
    <x v="0"/>
    <x v="0"/>
    <x v="0"/>
    <x v="1"/>
    <x v="0"/>
    <x v="1"/>
    <x v="11"/>
    <x v="11"/>
  </r>
  <r>
    <x v="354"/>
    <x v="116"/>
    <x v="343"/>
    <x v="116"/>
    <x v="0"/>
    <x v="0"/>
    <x v="0"/>
    <x v="0"/>
    <x v="0"/>
    <x v="0"/>
    <x v="1"/>
    <x v="0"/>
    <x v="1"/>
    <x v="11"/>
    <x v="11"/>
  </r>
  <r>
    <x v="355"/>
    <x v="116"/>
    <x v="344"/>
    <x v="116"/>
    <x v="0"/>
    <x v="0"/>
    <x v="0"/>
    <x v="0"/>
    <x v="0"/>
    <x v="0"/>
    <x v="1"/>
    <x v="0"/>
    <x v="1"/>
    <x v="11"/>
    <x v="11"/>
  </r>
  <r>
    <x v="356"/>
    <x v="116"/>
    <x v="345"/>
    <x v="116"/>
    <x v="0"/>
    <x v="0"/>
    <x v="0"/>
    <x v="0"/>
    <x v="0"/>
    <x v="0"/>
    <x v="1"/>
    <x v="0"/>
    <x v="1"/>
    <x v="11"/>
    <x v="11"/>
  </r>
  <r>
    <x v="357"/>
    <x v="116"/>
    <x v="346"/>
    <x v="116"/>
    <x v="0"/>
    <x v="0"/>
    <x v="0"/>
    <x v="0"/>
    <x v="0"/>
    <x v="0"/>
    <x v="1"/>
    <x v="0"/>
    <x v="1"/>
    <x v="11"/>
    <x v="11"/>
  </r>
  <r>
    <x v="358"/>
    <x v="116"/>
    <x v="347"/>
    <x v="116"/>
    <x v="0"/>
    <x v="0"/>
    <x v="0"/>
    <x v="0"/>
    <x v="0"/>
    <x v="0"/>
    <x v="1"/>
    <x v="0"/>
    <x v="1"/>
    <x v="11"/>
    <x v="11"/>
  </r>
  <r>
    <x v="359"/>
    <x v="116"/>
    <x v="348"/>
    <x v="116"/>
    <x v="0"/>
    <x v="0"/>
    <x v="0"/>
    <x v="0"/>
    <x v="0"/>
    <x v="0"/>
    <x v="1"/>
    <x v="0"/>
    <x v="1"/>
    <x v="11"/>
    <x v="11"/>
  </r>
  <r>
    <x v="360"/>
    <x v="117"/>
    <x v="349"/>
    <x v="117"/>
    <x v="2"/>
    <x v="1"/>
    <x v="2"/>
    <x v="1"/>
    <x v="11"/>
    <x v="9"/>
    <x v="2"/>
    <x v="12"/>
    <x v="2"/>
    <x v="11"/>
    <x v="11"/>
  </r>
  <r>
    <x v="361"/>
    <x v="118"/>
    <x v="350"/>
    <x v="118"/>
    <x v="1"/>
    <x v="3"/>
    <x v="1"/>
    <x v="7"/>
    <x v="12"/>
    <x v="6"/>
    <x v="1"/>
    <x v="13"/>
    <x v="0"/>
    <x v="11"/>
    <x v="11"/>
  </r>
  <r>
    <x v="362"/>
    <x v="118"/>
    <x v="351"/>
    <x v="118"/>
    <x v="1"/>
    <x v="3"/>
    <x v="1"/>
    <x v="7"/>
    <x v="12"/>
    <x v="6"/>
    <x v="1"/>
    <x v="13"/>
    <x v="0"/>
    <x v="11"/>
    <x v="11"/>
  </r>
  <r>
    <x v="363"/>
    <x v="118"/>
    <x v="352"/>
    <x v="118"/>
    <x v="1"/>
    <x v="3"/>
    <x v="1"/>
    <x v="7"/>
    <x v="12"/>
    <x v="6"/>
    <x v="1"/>
    <x v="13"/>
    <x v="0"/>
    <x v="11"/>
    <x v="11"/>
  </r>
  <r>
    <x v="364"/>
    <x v="119"/>
    <x v="353"/>
    <x v="119"/>
    <x v="0"/>
    <x v="0"/>
    <x v="0"/>
    <x v="0"/>
    <x v="0"/>
    <x v="0"/>
    <x v="0"/>
    <x v="0"/>
    <x v="2"/>
    <x v="11"/>
    <x v="11"/>
  </r>
  <r>
    <x v="365"/>
    <x v="120"/>
    <x v="354"/>
    <x v="120"/>
    <x v="1"/>
    <x v="1"/>
    <x v="0"/>
    <x v="1"/>
    <x v="1"/>
    <x v="1"/>
    <x v="1"/>
    <x v="1"/>
    <x v="0"/>
    <x v="11"/>
    <x v="11"/>
  </r>
  <r>
    <x v="366"/>
    <x v="120"/>
    <x v="355"/>
    <x v="120"/>
    <x v="1"/>
    <x v="1"/>
    <x v="0"/>
    <x v="1"/>
    <x v="1"/>
    <x v="1"/>
    <x v="1"/>
    <x v="1"/>
    <x v="0"/>
    <x v="11"/>
    <x v="11"/>
  </r>
  <r>
    <x v="367"/>
    <x v="120"/>
    <x v="356"/>
    <x v="120"/>
    <x v="1"/>
    <x v="1"/>
    <x v="0"/>
    <x v="1"/>
    <x v="1"/>
    <x v="1"/>
    <x v="1"/>
    <x v="1"/>
    <x v="0"/>
    <x v="11"/>
    <x v="11"/>
  </r>
  <r>
    <x v="368"/>
    <x v="121"/>
    <x v="356"/>
    <x v="121"/>
    <x v="0"/>
    <x v="2"/>
    <x v="1"/>
    <x v="2"/>
    <x v="2"/>
    <x v="2"/>
    <x v="0"/>
    <x v="2"/>
    <x v="2"/>
    <x v="11"/>
    <x v="11"/>
  </r>
  <r>
    <x v="369"/>
    <x v="121"/>
    <x v="357"/>
    <x v="121"/>
    <x v="0"/>
    <x v="2"/>
    <x v="1"/>
    <x v="2"/>
    <x v="2"/>
    <x v="2"/>
    <x v="0"/>
    <x v="2"/>
    <x v="2"/>
    <x v="11"/>
    <x v="11"/>
  </r>
  <r>
    <x v="370"/>
    <x v="122"/>
    <x v="358"/>
    <x v="122"/>
    <x v="1"/>
    <x v="2"/>
    <x v="0"/>
    <x v="3"/>
    <x v="3"/>
    <x v="3"/>
    <x v="1"/>
    <x v="3"/>
    <x v="0"/>
    <x v="11"/>
    <x v="11"/>
  </r>
  <r>
    <x v="371"/>
    <x v="122"/>
    <x v="359"/>
    <x v="122"/>
    <x v="1"/>
    <x v="2"/>
    <x v="0"/>
    <x v="3"/>
    <x v="3"/>
    <x v="3"/>
    <x v="1"/>
    <x v="3"/>
    <x v="0"/>
    <x v="11"/>
    <x v="11"/>
  </r>
  <r>
    <x v="372"/>
    <x v="122"/>
    <x v="360"/>
    <x v="122"/>
    <x v="1"/>
    <x v="2"/>
    <x v="0"/>
    <x v="3"/>
    <x v="3"/>
    <x v="3"/>
    <x v="1"/>
    <x v="3"/>
    <x v="0"/>
    <x v="11"/>
    <x v="11"/>
  </r>
  <r>
    <x v="373"/>
    <x v="122"/>
    <x v="361"/>
    <x v="122"/>
    <x v="1"/>
    <x v="2"/>
    <x v="0"/>
    <x v="3"/>
    <x v="3"/>
    <x v="3"/>
    <x v="1"/>
    <x v="3"/>
    <x v="0"/>
    <x v="11"/>
    <x v="11"/>
  </r>
  <r>
    <x v="374"/>
    <x v="123"/>
    <x v="362"/>
    <x v="123"/>
    <x v="0"/>
    <x v="0"/>
    <x v="0"/>
    <x v="4"/>
    <x v="4"/>
    <x v="4"/>
    <x v="1"/>
    <x v="4"/>
    <x v="2"/>
    <x v="11"/>
    <x v="11"/>
  </r>
  <r>
    <x v="375"/>
    <x v="123"/>
    <x v="363"/>
    <x v="123"/>
    <x v="0"/>
    <x v="0"/>
    <x v="0"/>
    <x v="4"/>
    <x v="4"/>
    <x v="4"/>
    <x v="1"/>
    <x v="4"/>
    <x v="2"/>
    <x v="11"/>
    <x v="11"/>
  </r>
  <r>
    <x v="376"/>
    <x v="124"/>
    <x v="364"/>
    <x v="124"/>
    <x v="2"/>
    <x v="1"/>
    <x v="2"/>
    <x v="5"/>
    <x v="5"/>
    <x v="5"/>
    <x v="2"/>
    <x v="5"/>
    <x v="0"/>
    <x v="11"/>
    <x v="11"/>
  </r>
  <r>
    <x v="377"/>
    <x v="124"/>
    <x v="365"/>
    <x v="124"/>
    <x v="2"/>
    <x v="1"/>
    <x v="2"/>
    <x v="5"/>
    <x v="5"/>
    <x v="5"/>
    <x v="2"/>
    <x v="5"/>
    <x v="0"/>
    <x v="12"/>
    <x v="12"/>
  </r>
  <r>
    <x v="378"/>
    <x v="124"/>
    <x v="366"/>
    <x v="124"/>
    <x v="2"/>
    <x v="1"/>
    <x v="2"/>
    <x v="5"/>
    <x v="5"/>
    <x v="5"/>
    <x v="2"/>
    <x v="5"/>
    <x v="0"/>
    <x v="12"/>
    <x v="12"/>
  </r>
  <r>
    <x v="379"/>
    <x v="124"/>
    <x v="367"/>
    <x v="124"/>
    <x v="2"/>
    <x v="1"/>
    <x v="2"/>
    <x v="5"/>
    <x v="5"/>
    <x v="5"/>
    <x v="2"/>
    <x v="5"/>
    <x v="0"/>
    <x v="12"/>
    <x v="12"/>
  </r>
  <r>
    <x v="380"/>
    <x v="125"/>
    <x v="368"/>
    <x v="125"/>
    <x v="1"/>
    <x v="3"/>
    <x v="1"/>
    <x v="3"/>
    <x v="6"/>
    <x v="6"/>
    <x v="1"/>
    <x v="0"/>
    <x v="1"/>
    <x v="12"/>
    <x v="12"/>
  </r>
  <r>
    <x v="381"/>
    <x v="126"/>
    <x v="369"/>
    <x v="126"/>
    <x v="1"/>
    <x v="2"/>
    <x v="0"/>
    <x v="1"/>
    <x v="1"/>
    <x v="3"/>
    <x v="1"/>
    <x v="6"/>
    <x v="2"/>
    <x v="12"/>
    <x v="12"/>
  </r>
  <r>
    <x v="382"/>
    <x v="126"/>
    <x v="370"/>
    <x v="126"/>
    <x v="1"/>
    <x v="2"/>
    <x v="0"/>
    <x v="1"/>
    <x v="1"/>
    <x v="3"/>
    <x v="1"/>
    <x v="6"/>
    <x v="2"/>
    <x v="12"/>
    <x v="12"/>
  </r>
  <r>
    <x v="383"/>
    <x v="127"/>
    <x v="371"/>
    <x v="127"/>
    <x v="0"/>
    <x v="0"/>
    <x v="0"/>
    <x v="4"/>
    <x v="4"/>
    <x v="4"/>
    <x v="0"/>
    <x v="4"/>
    <x v="0"/>
    <x v="12"/>
    <x v="12"/>
  </r>
  <r>
    <x v="384"/>
    <x v="127"/>
    <x v="372"/>
    <x v="127"/>
    <x v="0"/>
    <x v="0"/>
    <x v="0"/>
    <x v="4"/>
    <x v="4"/>
    <x v="4"/>
    <x v="0"/>
    <x v="4"/>
    <x v="0"/>
    <x v="12"/>
    <x v="12"/>
  </r>
  <r>
    <x v="385"/>
    <x v="127"/>
    <x v="373"/>
    <x v="127"/>
    <x v="0"/>
    <x v="0"/>
    <x v="0"/>
    <x v="4"/>
    <x v="4"/>
    <x v="4"/>
    <x v="0"/>
    <x v="4"/>
    <x v="0"/>
    <x v="12"/>
    <x v="12"/>
  </r>
  <r>
    <x v="386"/>
    <x v="127"/>
    <x v="374"/>
    <x v="127"/>
    <x v="0"/>
    <x v="0"/>
    <x v="0"/>
    <x v="4"/>
    <x v="4"/>
    <x v="4"/>
    <x v="0"/>
    <x v="4"/>
    <x v="0"/>
    <x v="12"/>
    <x v="12"/>
  </r>
  <r>
    <x v="387"/>
    <x v="127"/>
    <x v="375"/>
    <x v="127"/>
    <x v="0"/>
    <x v="0"/>
    <x v="0"/>
    <x v="4"/>
    <x v="4"/>
    <x v="4"/>
    <x v="0"/>
    <x v="4"/>
    <x v="0"/>
    <x v="12"/>
    <x v="12"/>
  </r>
  <r>
    <x v="388"/>
    <x v="128"/>
    <x v="376"/>
    <x v="128"/>
    <x v="1"/>
    <x v="1"/>
    <x v="0"/>
    <x v="6"/>
    <x v="7"/>
    <x v="1"/>
    <x v="1"/>
    <x v="7"/>
    <x v="1"/>
    <x v="12"/>
    <x v="12"/>
  </r>
  <r>
    <x v="389"/>
    <x v="129"/>
    <x v="377"/>
    <x v="129"/>
    <x v="2"/>
    <x v="1"/>
    <x v="2"/>
    <x v="3"/>
    <x v="8"/>
    <x v="7"/>
    <x v="2"/>
    <x v="8"/>
    <x v="2"/>
    <x v="12"/>
    <x v="12"/>
  </r>
  <r>
    <x v="390"/>
    <x v="129"/>
    <x v="378"/>
    <x v="129"/>
    <x v="2"/>
    <x v="1"/>
    <x v="2"/>
    <x v="3"/>
    <x v="8"/>
    <x v="7"/>
    <x v="2"/>
    <x v="8"/>
    <x v="2"/>
    <x v="12"/>
    <x v="12"/>
  </r>
  <r>
    <x v="391"/>
    <x v="130"/>
    <x v="379"/>
    <x v="130"/>
    <x v="0"/>
    <x v="2"/>
    <x v="1"/>
    <x v="5"/>
    <x v="9"/>
    <x v="7"/>
    <x v="0"/>
    <x v="9"/>
    <x v="0"/>
    <x v="12"/>
    <x v="12"/>
  </r>
  <r>
    <x v="392"/>
    <x v="130"/>
    <x v="380"/>
    <x v="130"/>
    <x v="0"/>
    <x v="2"/>
    <x v="1"/>
    <x v="5"/>
    <x v="9"/>
    <x v="7"/>
    <x v="0"/>
    <x v="9"/>
    <x v="0"/>
    <x v="12"/>
    <x v="12"/>
  </r>
  <r>
    <x v="393"/>
    <x v="130"/>
    <x v="381"/>
    <x v="130"/>
    <x v="0"/>
    <x v="2"/>
    <x v="1"/>
    <x v="5"/>
    <x v="9"/>
    <x v="7"/>
    <x v="0"/>
    <x v="9"/>
    <x v="0"/>
    <x v="12"/>
    <x v="12"/>
  </r>
  <r>
    <x v="394"/>
    <x v="130"/>
    <x v="382"/>
    <x v="130"/>
    <x v="0"/>
    <x v="2"/>
    <x v="1"/>
    <x v="5"/>
    <x v="9"/>
    <x v="7"/>
    <x v="0"/>
    <x v="9"/>
    <x v="0"/>
    <x v="12"/>
    <x v="12"/>
  </r>
  <r>
    <x v="395"/>
    <x v="130"/>
    <x v="383"/>
    <x v="130"/>
    <x v="0"/>
    <x v="2"/>
    <x v="1"/>
    <x v="5"/>
    <x v="9"/>
    <x v="7"/>
    <x v="0"/>
    <x v="9"/>
    <x v="0"/>
    <x v="12"/>
    <x v="12"/>
  </r>
  <r>
    <x v="396"/>
    <x v="130"/>
    <x v="384"/>
    <x v="130"/>
    <x v="0"/>
    <x v="2"/>
    <x v="1"/>
    <x v="5"/>
    <x v="9"/>
    <x v="7"/>
    <x v="0"/>
    <x v="9"/>
    <x v="0"/>
    <x v="12"/>
    <x v="12"/>
  </r>
  <r>
    <x v="397"/>
    <x v="130"/>
    <x v="385"/>
    <x v="130"/>
    <x v="0"/>
    <x v="2"/>
    <x v="1"/>
    <x v="5"/>
    <x v="9"/>
    <x v="7"/>
    <x v="0"/>
    <x v="9"/>
    <x v="0"/>
    <x v="12"/>
    <x v="12"/>
  </r>
  <r>
    <x v="398"/>
    <x v="131"/>
    <x v="386"/>
    <x v="131"/>
    <x v="1"/>
    <x v="2"/>
    <x v="0"/>
    <x v="7"/>
    <x v="10"/>
    <x v="3"/>
    <x v="1"/>
    <x v="10"/>
    <x v="1"/>
    <x v="12"/>
    <x v="12"/>
  </r>
  <r>
    <x v="399"/>
    <x v="132"/>
    <x v="387"/>
    <x v="132"/>
    <x v="3"/>
    <x v="0"/>
    <x v="0"/>
    <x v="3"/>
    <x v="3"/>
    <x v="8"/>
    <x v="0"/>
    <x v="11"/>
    <x v="2"/>
    <x v="12"/>
    <x v="12"/>
  </r>
  <r>
    <x v="400"/>
    <x v="132"/>
    <x v="387"/>
    <x v="132"/>
    <x v="3"/>
    <x v="0"/>
    <x v="0"/>
    <x v="3"/>
    <x v="3"/>
    <x v="8"/>
    <x v="0"/>
    <x v="11"/>
    <x v="2"/>
    <x v="12"/>
    <x v="12"/>
  </r>
  <r>
    <x v="401"/>
    <x v="132"/>
    <x v="388"/>
    <x v="132"/>
    <x v="3"/>
    <x v="0"/>
    <x v="0"/>
    <x v="3"/>
    <x v="3"/>
    <x v="8"/>
    <x v="0"/>
    <x v="11"/>
    <x v="2"/>
    <x v="12"/>
    <x v="12"/>
  </r>
  <r>
    <x v="402"/>
    <x v="133"/>
    <x v="389"/>
    <x v="133"/>
    <x v="0"/>
    <x v="0"/>
    <x v="0"/>
    <x v="0"/>
    <x v="0"/>
    <x v="0"/>
    <x v="1"/>
    <x v="0"/>
    <x v="0"/>
    <x v="12"/>
    <x v="12"/>
  </r>
  <r>
    <x v="403"/>
    <x v="133"/>
    <x v="390"/>
    <x v="133"/>
    <x v="0"/>
    <x v="0"/>
    <x v="0"/>
    <x v="0"/>
    <x v="0"/>
    <x v="0"/>
    <x v="1"/>
    <x v="0"/>
    <x v="0"/>
    <x v="12"/>
    <x v="12"/>
  </r>
  <r>
    <x v="404"/>
    <x v="133"/>
    <x v="391"/>
    <x v="133"/>
    <x v="0"/>
    <x v="0"/>
    <x v="0"/>
    <x v="0"/>
    <x v="0"/>
    <x v="0"/>
    <x v="1"/>
    <x v="0"/>
    <x v="0"/>
    <x v="12"/>
    <x v="12"/>
  </r>
  <r>
    <x v="405"/>
    <x v="133"/>
    <x v="392"/>
    <x v="133"/>
    <x v="0"/>
    <x v="0"/>
    <x v="0"/>
    <x v="0"/>
    <x v="0"/>
    <x v="0"/>
    <x v="1"/>
    <x v="0"/>
    <x v="0"/>
    <x v="12"/>
    <x v="12"/>
  </r>
  <r>
    <x v="406"/>
    <x v="133"/>
    <x v="393"/>
    <x v="133"/>
    <x v="0"/>
    <x v="0"/>
    <x v="0"/>
    <x v="0"/>
    <x v="0"/>
    <x v="0"/>
    <x v="1"/>
    <x v="0"/>
    <x v="0"/>
    <x v="12"/>
    <x v="12"/>
  </r>
  <r>
    <x v="407"/>
    <x v="133"/>
    <x v="394"/>
    <x v="133"/>
    <x v="0"/>
    <x v="0"/>
    <x v="0"/>
    <x v="0"/>
    <x v="0"/>
    <x v="0"/>
    <x v="1"/>
    <x v="0"/>
    <x v="0"/>
    <x v="12"/>
    <x v="12"/>
  </r>
  <r>
    <x v="408"/>
    <x v="133"/>
    <x v="395"/>
    <x v="133"/>
    <x v="0"/>
    <x v="0"/>
    <x v="0"/>
    <x v="0"/>
    <x v="0"/>
    <x v="0"/>
    <x v="1"/>
    <x v="0"/>
    <x v="0"/>
    <x v="13"/>
    <x v="13"/>
  </r>
  <r>
    <x v="409"/>
    <x v="133"/>
    <x v="396"/>
    <x v="133"/>
    <x v="0"/>
    <x v="0"/>
    <x v="0"/>
    <x v="0"/>
    <x v="0"/>
    <x v="0"/>
    <x v="1"/>
    <x v="0"/>
    <x v="0"/>
    <x v="13"/>
    <x v="13"/>
  </r>
  <r>
    <x v="410"/>
    <x v="133"/>
    <x v="397"/>
    <x v="133"/>
    <x v="0"/>
    <x v="0"/>
    <x v="0"/>
    <x v="0"/>
    <x v="0"/>
    <x v="0"/>
    <x v="1"/>
    <x v="0"/>
    <x v="0"/>
    <x v="13"/>
    <x v="13"/>
  </r>
  <r>
    <x v="411"/>
    <x v="133"/>
    <x v="398"/>
    <x v="133"/>
    <x v="0"/>
    <x v="0"/>
    <x v="0"/>
    <x v="0"/>
    <x v="0"/>
    <x v="0"/>
    <x v="1"/>
    <x v="0"/>
    <x v="0"/>
    <x v="13"/>
    <x v="13"/>
  </r>
  <r>
    <x v="412"/>
    <x v="134"/>
    <x v="399"/>
    <x v="134"/>
    <x v="2"/>
    <x v="1"/>
    <x v="2"/>
    <x v="1"/>
    <x v="11"/>
    <x v="9"/>
    <x v="2"/>
    <x v="12"/>
    <x v="1"/>
    <x v="13"/>
    <x v="13"/>
  </r>
  <r>
    <x v="413"/>
    <x v="135"/>
    <x v="400"/>
    <x v="135"/>
    <x v="1"/>
    <x v="3"/>
    <x v="1"/>
    <x v="7"/>
    <x v="12"/>
    <x v="6"/>
    <x v="1"/>
    <x v="13"/>
    <x v="2"/>
    <x v="13"/>
    <x v="13"/>
  </r>
  <r>
    <x v="414"/>
    <x v="135"/>
    <x v="401"/>
    <x v="135"/>
    <x v="1"/>
    <x v="3"/>
    <x v="1"/>
    <x v="7"/>
    <x v="12"/>
    <x v="6"/>
    <x v="1"/>
    <x v="13"/>
    <x v="2"/>
    <x v="13"/>
    <x v="13"/>
  </r>
  <r>
    <x v="415"/>
    <x v="135"/>
    <x v="402"/>
    <x v="135"/>
    <x v="1"/>
    <x v="3"/>
    <x v="1"/>
    <x v="7"/>
    <x v="12"/>
    <x v="6"/>
    <x v="1"/>
    <x v="13"/>
    <x v="2"/>
    <x v="13"/>
    <x v="13"/>
  </r>
</pivotCacheRecords>
</file>

<file path=xl/pivotCache/pivotCacheRecords4.xml><?xml version="1.0" encoding="utf-8"?>
<pivotCacheRecords xmlns="http://schemas.openxmlformats.org/spreadsheetml/2006/main" count="1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0"/>
    <x v="2"/>
    <x v="0"/>
    <x v="2"/>
    <x v="2"/>
    <x v="2"/>
    <x v="0"/>
    <x v="2"/>
    <x v="2"/>
    <x v="0"/>
    <x v="0"/>
    <x v="0"/>
    <x v="0"/>
    <x v="0"/>
    <x v="0"/>
    <x v="2"/>
    <x v="2"/>
    <x v="2"/>
    <x v="2"/>
    <x v="2"/>
    <x v="2"/>
    <x v="2"/>
    <x v="2"/>
    <x v="2"/>
    <x v="2"/>
  </r>
  <r>
    <x v="3"/>
    <x v="3"/>
    <x v="2"/>
    <x v="2"/>
    <x v="1"/>
    <x v="3"/>
    <x v="3"/>
    <x v="3"/>
    <x v="2"/>
    <x v="3"/>
    <x v="0"/>
    <x v="2"/>
    <x v="2"/>
    <x v="2"/>
    <x v="2"/>
    <x v="2"/>
    <x v="2"/>
    <x v="0"/>
    <x v="0"/>
    <x v="3"/>
    <x v="3"/>
    <x v="3"/>
    <x v="0"/>
    <x v="0"/>
    <x v="0"/>
    <x v="0"/>
    <x v="0"/>
  </r>
  <r>
    <x v="4"/>
    <x v="4"/>
    <x v="1"/>
    <x v="0"/>
    <x v="2"/>
    <x v="4"/>
    <x v="4"/>
    <x v="4"/>
    <x v="1"/>
    <x v="4"/>
    <x v="1"/>
    <x v="1"/>
    <x v="1"/>
    <x v="1"/>
    <x v="1"/>
    <x v="1"/>
    <x v="1"/>
    <x v="3"/>
    <x v="3"/>
    <x v="4"/>
    <x v="4"/>
    <x v="4"/>
    <x v="2"/>
    <x v="3"/>
    <x v="3"/>
    <x v="3"/>
    <x v="2"/>
  </r>
  <r>
    <x v="5"/>
    <x v="5"/>
    <x v="0"/>
    <x v="0"/>
    <x v="0"/>
    <x v="5"/>
    <x v="5"/>
    <x v="0"/>
    <x v="0"/>
    <x v="5"/>
    <x v="2"/>
    <x v="0"/>
    <x v="0"/>
    <x v="0"/>
    <x v="0"/>
    <x v="0"/>
    <x v="0"/>
    <x v="4"/>
    <x v="4"/>
    <x v="5"/>
    <x v="5"/>
    <x v="5"/>
    <x v="2"/>
    <x v="4"/>
    <x v="4"/>
    <x v="4"/>
    <x v="2"/>
  </r>
  <r>
    <x v="6"/>
    <x v="6"/>
    <x v="3"/>
    <x v="1"/>
    <x v="0"/>
    <x v="3"/>
    <x v="6"/>
    <x v="5"/>
    <x v="1"/>
    <x v="6"/>
    <x v="0"/>
    <x v="1"/>
    <x v="1"/>
    <x v="1"/>
    <x v="1"/>
    <x v="1"/>
    <x v="1"/>
    <x v="0"/>
    <x v="0"/>
    <x v="6"/>
    <x v="6"/>
    <x v="6"/>
    <x v="0"/>
    <x v="0"/>
    <x v="0"/>
    <x v="0"/>
    <x v="0"/>
  </r>
  <r>
    <x v="7"/>
    <x v="7"/>
    <x v="1"/>
    <x v="1"/>
    <x v="0"/>
    <x v="6"/>
    <x v="7"/>
    <x v="6"/>
    <x v="0"/>
    <x v="7"/>
    <x v="1"/>
    <x v="0"/>
    <x v="0"/>
    <x v="0"/>
    <x v="0"/>
    <x v="0"/>
    <x v="0"/>
    <x v="3"/>
    <x v="5"/>
    <x v="7"/>
    <x v="7"/>
    <x v="7"/>
    <x v="2"/>
    <x v="5"/>
    <x v="3"/>
    <x v="5"/>
    <x v="3"/>
  </r>
  <r>
    <x v="8"/>
    <x v="8"/>
    <x v="2"/>
    <x v="2"/>
    <x v="1"/>
    <x v="7"/>
    <x v="8"/>
    <x v="7"/>
    <x v="2"/>
    <x v="8"/>
    <x v="2"/>
    <x v="2"/>
    <x v="2"/>
    <x v="2"/>
    <x v="2"/>
    <x v="2"/>
    <x v="2"/>
    <x v="4"/>
    <x v="6"/>
    <x v="8"/>
    <x v="8"/>
    <x v="8"/>
    <x v="2"/>
    <x v="6"/>
    <x v="4"/>
    <x v="6"/>
    <x v="3"/>
  </r>
  <r>
    <x v="9"/>
    <x v="9"/>
    <x v="0"/>
    <x v="3"/>
    <x v="2"/>
    <x v="5"/>
    <x v="9"/>
    <x v="8"/>
    <x v="0"/>
    <x v="1"/>
    <x v="0"/>
    <x v="0"/>
    <x v="0"/>
    <x v="0"/>
    <x v="0"/>
    <x v="0"/>
    <x v="0"/>
    <x v="1"/>
    <x v="1"/>
    <x v="9"/>
    <x v="9"/>
    <x v="9"/>
    <x v="2"/>
    <x v="1"/>
    <x v="1"/>
    <x v="1"/>
    <x v="1"/>
  </r>
  <r>
    <x v="10"/>
    <x v="10"/>
    <x v="0"/>
    <x v="0"/>
    <x v="0"/>
    <x v="2"/>
    <x v="2"/>
    <x v="0"/>
    <x v="0"/>
    <x v="9"/>
    <x v="1"/>
    <x v="0"/>
    <x v="0"/>
    <x v="0"/>
    <x v="0"/>
    <x v="0"/>
    <x v="0"/>
    <x v="3"/>
    <x v="7"/>
    <x v="10"/>
    <x v="10"/>
    <x v="10"/>
    <x v="2"/>
    <x v="7"/>
    <x v="3"/>
    <x v="7"/>
    <x v="3"/>
  </r>
  <r>
    <x v="11"/>
    <x v="11"/>
    <x v="1"/>
    <x v="1"/>
    <x v="0"/>
    <x v="6"/>
    <x v="7"/>
    <x v="6"/>
    <x v="1"/>
    <x v="7"/>
    <x v="2"/>
    <x v="1"/>
    <x v="1"/>
    <x v="1"/>
    <x v="1"/>
    <x v="1"/>
    <x v="1"/>
    <x v="5"/>
    <x v="8"/>
    <x v="11"/>
    <x v="11"/>
    <x v="11"/>
    <x v="2"/>
    <x v="5"/>
    <x v="5"/>
    <x v="5"/>
    <x v="3"/>
  </r>
  <r>
    <x v="12"/>
    <x v="12"/>
    <x v="0"/>
    <x v="2"/>
    <x v="0"/>
    <x v="0"/>
    <x v="0"/>
    <x v="2"/>
    <x v="0"/>
    <x v="10"/>
    <x v="0"/>
    <x v="0"/>
    <x v="0"/>
    <x v="0"/>
    <x v="0"/>
    <x v="0"/>
    <x v="0"/>
    <x v="1"/>
    <x v="9"/>
    <x v="12"/>
    <x v="12"/>
    <x v="12"/>
    <x v="2"/>
    <x v="8"/>
    <x v="1"/>
    <x v="8"/>
    <x v="1"/>
  </r>
  <r>
    <x v="13"/>
    <x v="13"/>
    <x v="2"/>
    <x v="2"/>
    <x v="1"/>
    <x v="5"/>
    <x v="10"/>
    <x v="9"/>
    <x v="2"/>
    <x v="11"/>
    <x v="1"/>
    <x v="2"/>
    <x v="2"/>
    <x v="2"/>
    <x v="2"/>
    <x v="2"/>
    <x v="2"/>
    <x v="3"/>
    <x v="10"/>
    <x v="13"/>
    <x v="13"/>
    <x v="13"/>
    <x v="2"/>
    <x v="9"/>
    <x v="3"/>
    <x v="9"/>
    <x v="3"/>
  </r>
  <r>
    <x v="14"/>
    <x v="14"/>
    <x v="1"/>
    <x v="0"/>
    <x v="2"/>
    <x v="7"/>
    <x v="11"/>
    <x v="9"/>
    <x v="1"/>
    <x v="12"/>
    <x v="2"/>
    <x v="1"/>
    <x v="1"/>
    <x v="1"/>
    <x v="1"/>
    <x v="1"/>
    <x v="1"/>
    <x v="6"/>
    <x v="11"/>
    <x v="14"/>
    <x v="14"/>
    <x v="14"/>
    <x v="2"/>
    <x v="10"/>
    <x v="6"/>
    <x v="10"/>
    <x v="3"/>
  </r>
  <r>
    <x v="15"/>
    <x v="15"/>
    <x v="0"/>
    <x v="0"/>
    <x v="0"/>
    <x v="8"/>
    <x v="12"/>
    <x v="0"/>
    <x v="0"/>
    <x v="13"/>
    <x v="0"/>
    <x v="0"/>
    <x v="0"/>
    <x v="0"/>
    <x v="0"/>
    <x v="0"/>
    <x v="0"/>
    <x v="1"/>
    <x v="12"/>
    <x v="15"/>
    <x v="15"/>
    <x v="15"/>
    <x v="2"/>
    <x v="11"/>
    <x v="1"/>
    <x v="11"/>
    <x v="4"/>
  </r>
  <r>
    <x v="16"/>
    <x v="16"/>
    <x v="3"/>
    <x v="1"/>
    <x v="0"/>
    <x v="5"/>
    <x v="5"/>
    <x v="10"/>
    <x v="1"/>
    <x v="14"/>
    <x v="1"/>
    <x v="1"/>
    <x v="1"/>
    <x v="1"/>
    <x v="1"/>
    <x v="1"/>
    <x v="1"/>
    <x v="2"/>
    <x v="13"/>
    <x v="16"/>
    <x v="16"/>
    <x v="16"/>
    <x v="2"/>
    <x v="12"/>
    <x v="2"/>
    <x v="12"/>
    <x v="2"/>
  </r>
  <r>
    <x v="17"/>
    <x v="17"/>
    <x v="1"/>
    <x v="1"/>
    <x v="0"/>
    <x v="1"/>
    <x v="1"/>
    <x v="1"/>
    <x v="0"/>
    <x v="1"/>
    <x v="2"/>
    <x v="0"/>
    <x v="0"/>
    <x v="0"/>
    <x v="0"/>
    <x v="0"/>
    <x v="0"/>
    <x v="7"/>
    <x v="14"/>
    <x v="17"/>
    <x v="17"/>
    <x v="17"/>
    <x v="2"/>
    <x v="1"/>
    <x v="7"/>
    <x v="1"/>
    <x v="2"/>
  </r>
  <r>
    <x v="18"/>
    <x v="18"/>
    <x v="2"/>
    <x v="2"/>
    <x v="1"/>
    <x v="2"/>
    <x v="13"/>
    <x v="11"/>
    <x v="2"/>
    <x v="15"/>
    <x v="0"/>
    <x v="2"/>
    <x v="2"/>
    <x v="2"/>
    <x v="2"/>
    <x v="2"/>
    <x v="2"/>
    <x v="1"/>
    <x v="15"/>
    <x v="18"/>
    <x v="18"/>
    <x v="18"/>
    <x v="2"/>
    <x v="13"/>
    <x v="1"/>
    <x v="13"/>
    <x v="4"/>
  </r>
  <r>
    <x v="19"/>
    <x v="19"/>
    <x v="0"/>
    <x v="3"/>
    <x v="2"/>
    <x v="8"/>
    <x v="14"/>
    <x v="8"/>
    <x v="0"/>
    <x v="16"/>
    <x v="1"/>
    <x v="0"/>
    <x v="0"/>
    <x v="0"/>
    <x v="0"/>
    <x v="0"/>
    <x v="0"/>
    <x v="2"/>
    <x v="16"/>
    <x v="19"/>
    <x v="19"/>
    <x v="19"/>
    <x v="2"/>
    <x v="14"/>
    <x v="2"/>
    <x v="14"/>
    <x v="3"/>
  </r>
  <r>
    <x v="20"/>
    <x v="2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21"/>
    <x v="21"/>
    <x v="1"/>
    <x v="1"/>
    <x v="0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22"/>
    <x v="22"/>
    <x v="0"/>
    <x v="2"/>
    <x v="0"/>
    <x v="2"/>
    <x v="2"/>
    <x v="2"/>
    <x v="0"/>
    <x v="2"/>
    <x v="1"/>
    <x v="0"/>
    <x v="0"/>
    <x v="0"/>
    <x v="0"/>
    <x v="0"/>
    <x v="0"/>
    <x v="2"/>
    <x v="2"/>
    <x v="2"/>
    <x v="2"/>
    <x v="2"/>
    <x v="2"/>
    <x v="2"/>
    <x v="2"/>
    <x v="2"/>
    <x v="2"/>
  </r>
  <r>
    <x v="23"/>
    <x v="23"/>
    <x v="2"/>
    <x v="2"/>
    <x v="1"/>
    <x v="3"/>
    <x v="3"/>
    <x v="3"/>
    <x v="2"/>
    <x v="3"/>
    <x v="2"/>
    <x v="2"/>
    <x v="2"/>
    <x v="2"/>
    <x v="2"/>
    <x v="2"/>
    <x v="2"/>
    <x v="0"/>
    <x v="0"/>
    <x v="3"/>
    <x v="3"/>
    <x v="3"/>
    <x v="0"/>
    <x v="0"/>
    <x v="0"/>
    <x v="0"/>
    <x v="0"/>
  </r>
  <r>
    <x v="24"/>
    <x v="24"/>
    <x v="1"/>
    <x v="0"/>
    <x v="2"/>
    <x v="4"/>
    <x v="4"/>
    <x v="4"/>
    <x v="1"/>
    <x v="4"/>
    <x v="0"/>
    <x v="1"/>
    <x v="1"/>
    <x v="1"/>
    <x v="1"/>
    <x v="1"/>
    <x v="1"/>
    <x v="3"/>
    <x v="3"/>
    <x v="4"/>
    <x v="4"/>
    <x v="4"/>
    <x v="2"/>
    <x v="3"/>
    <x v="3"/>
    <x v="3"/>
    <x v="2"/>
  </r>
  <r>
    <x v="25"/>
    <x v="25"/>
    <x v="0"/>
    <x v="0"/>
    <x v="0"/>
    <x v="5"/>
    <x v="5"/>
    <x v="0"/>
    <x v="0"/>
    <x v="5"/>
    <x v="1"/>
    <x v="0"/>
    <x v="0"/>
    <x v="0"/>
    <x v="0"/>
    <x v="0"/>
    <x v="0"/>
    <x v="4"/>
    <x v="4"/>
    <x v="5"/>
    <x v="5"/>
    <x v="5"/>
    <x v="2"/>
    <x v="4"/>
    <x v="4"/>
    <x v="4"/>
    <x v="2"/>
  </r>
  <r>
    <x v="26"/>
    <x v="26"/>
    <x v="3"/>
    <x v="1"/>
    <x v="0"/>
    <x v="3"/>
    <x v="6"/>
    <x v="5"/>
    <x v="1"/>
    <x v="6"/>
    <x v="2"/>
    <x v="1"/>
    <x v="1"/>
    <x v="1"/>
    <x v="1"/>
    <x v="1"/>
    <x v="1"/>
    <x v="0"/>
    <x v="0"/>
    <x v="6"/>
    <x v="6"/>
    <x v="6"/>
    <x v="0"/>
    <x v="0"/>
    <x v="0"/>
    <x v="0"/>
    <x v="0"/>
  </r>
  <r>
    <x v="27"/>
    <x v="27"/>
    <x v="1"/>
    <x v="1"/>
    <x v="0"/>
    <x v="6"/>
    <x v="7"/>
    <x v="6"/>
    <x v="0"/>
    <x v="7"/>
    <x v="0"/>
    <x v="0"/>
    <x v="0"/>
    <x v="0"/>
    <x v="0"/>
    <x v="0"/>
    <x v="0"/>
    <x v="3"/>
    <x v="5"/>
    <x v="7"/>
    <x v="7"/>
    <x v="7"/>
    <x v="2"/>
    <x v="5"/>
    <x v="3"/>
    <x v="5"/>
    <x v="3"/>
  </r>
  <r>
    <x v="28"/>
    <x v="28"/>
    <x v="2"/>
    <x v="2"/>
    <x v="1"/>
    <x v="7"/>
    <x v="8"/>
    <x v="7"/>
    <x v="2"/>
    <x v="8"/>
    <x v="1"/>
    <x v="2"/>
    <x v="2"/>
    <x v="2"/>
    <x v="2"/>
    <x v="2"/>
    <x v="2"/>
    <x v="4"/>
    <x v="6"/>
    <x v="8"/>
    <x v="8"/>
    <x v="8"/>
    <x v="2"/>
    <x v="6"/>
    <x v="4"/>
    <x v="6"/>
    <x v="3"/>
  </r>
  <r>
    <x v="29"/>
    <x v="29"/>
    <x v="0"/>
    <x v="3"/>
    <x v="2"/>
    <x v="5"/>
    <x v="9"/>
    <x v="8"/>
    <x v="0"/>
    <x v="1"/>
    <x v="2"/>
    <x v="0"/>
    <x v="0"/>
    <x v="0"/>
    <x v="0"/>
    <x v="0"/>
    <x v="0"/>
    <x v="1"/>
    <x v="1"/>
    <x v="9"/>
    <x v="9"/>
    <x v="9"/>
    <x v="2"/>
    <x v="1"/>
    <x v="1"/>
    <x v="1"/>
    <x v="1"/>
  </r>
  <r>
    <x v="30"/>
    <x v="30"/>
    <x v="0"/>
    <x v="0"/>
    <x v="0"/>
    <x v="2"/>
    <x v="2"/>
    <x v="0"/>
    <x v="0"/>
    <x v="9"/>
    <x v="0"/>
    <x v="0"/>
    <x v="0"/>
    <x v="0"/>
    <x v="0"/>
    <x v="0"/>
    <x v="0"/>
    <x v="3"/>
    <x v="7"/>
    <x v="10"/>
    <x v="10"/>
    <x v="10"/>
    <x v="2"/>
    <x v="7"/>
    <x v="3"/>
    <x v="7"/>
    <x v="3"/>
  </r>
  <r>
    <x v="31"/>
    <x v="31"/>
    <x v="1"/>
    <x v="1"/>
    <x v="0"/>
    <x v="6"/>
    <x v="7"/>
    <x v="6"/>
    <x v="1"/>
    <x v="7"/>
    <x v="1"/>
    <x v="1"/>
    <x v="1"/>
    <x v="1"/>
    <x v="1"/>
    <x v="1"/>
    <x v="1"/>
    <x v="5"/>
    <x v="8"/>
    <x v="11"/>
    <x v="11"/>
    <x v="11"/>
    <x v="2"/>
    <x v="5"/>
    <x v="5"/>
    <x v="5"/>
    <x v="3"/>
  </r>
  <r>
    <x v="32"/>
    <x v="32"/>
    <x v="0"/>
    <x v="2"/>
    <x v="0"/>
    <x v="0"/>
    <x v="0"/>
    <x v="2"/>
    <x v="0"/>
    <x v="10"/>
    <x v="2"/>
    <x v="0"/>
    <x v="0"/>
    <x v="0"/>
    <x v="0"/>
    <x v="0"/>
    <x v="0"/>
    <x v="1"/>
    <x v="9"/>
    <x v="12"/>
    <x v="12"/>
    <x v="12"/>
    <x v="2"/>
    <x v="8"/>
    <x v="1"/>
    <x v="8"/>
    <x v="1"/>
  </r>
  <r>
    <x v="33"/>
    <x v="33"/>
    <x v="2"/>
    <x v="2"/>
    <x v="1"/>
    <x v="5"/>
    <x v="10"/>
    <x v="9"/>
    <x v="2"/>
    <x v="11"/>
    <x v="0"/>
    <x v="2"/>
    <x v="2"/>
    <x v="2"/>
    <x v="2"/>
    <x v="2"/>
    <x v="2"/>
    <x v="3"/>
    <x v="10"/>
    <x v="13"/>
    <x v="13"/>
    <x v="13"/>
    <x v="2"/>
    <x v="9"/>
    <x v="3"/>
    <x v="9"/>
    <x v="3"/>
  </r>
  <r>
    <x v="34"/>
    <x v="34"/>
    <x v="1"/>
    <x v="0"/>
    <x v="2"/>
    <x v="7"/>
    <x v="11"/>
    <x v="9"/>
    <x v="1"/>
    <x v="12"/>
    <x v="1"/>
    <x v="1"/>
    <x v="1"/>
    <x v="1"/>
    <x v="1"/>
    <x v="1"/>
    <x v="1"/>
    <x v="6"/>
    <x v="11"/>
    <x v="14"/>
    <x v="14"/>
    <x v="14"/>
    <x v="2"/>
    <x v="10"/>
    <x v="6"/>
    <x v="10"/>
    <x v="3"/>
  </r>
  <r>
    <x v="35"/>
    <x v="35"/>
    <x v="0"/>
    <x v="0"/>
    <x v="0"/>
    <x v="8"/>
    <x v="12"/>
    <x v="0"/>
    <x v="0"/>
    <x v="13"/>
    <x v="2"/>
    <x v="0"/>
    <x v="0"/>
    <x v="0"/>
    <x v="0"/>
    <x v="0"/>
    <x v="0"/>
    <x v="1"/>
    <x v="12"/>
    <x v="15"/>
    <x v="15"/>
    <x v="15"/>
    <x v="2"/>
    <x v="11"/>
    <x v="1"/>
    <x v="11"/>
    <x v="4"/>
  </r>
  <r>
    <x v="36"/>
    <x v="36"/>
    <x v="3"/>
    <x v="1"/>
    <x v="0"/>
    <x v="5"/>
    <x v="5"/>
    <x v="10"/>
    <x v="1"/>
    <x v="14"/>
    <x v="0"/>
    <x v="1"/>
    <x v="1"/>
    <x v="1"/>
    <x v="1"/>
    <x v="1"/>
    <x v="1"/>
    <x v="2"/>
    <x v="13"/>
    <x v="16"/>
    <x v="16"/>
    <x v="16"/>
    <x v="2"/>
    <x v="12"/>
    <x v="2"/>
    <x v="12"/>
    <x v="2"/>
  </r>
  <r>
    <x v="37"/>
    <x v="37"/>
    <x v="1"/>
    <x v="1"/>
    <x v="0"/>
    <x v="1"/>
    <x v="1"/>
    <x v="1"/>
    <x v="0"/>
    <x v="1"/>
    <x v="1"/>
    <x v="0"/>
    <x v="0"/>
    <x v="0"/>
    <x v="0"/>
    <x v="0"/>
    <x v="0"/>
    <x v="7"/>
    <x v="14"/>
    <x v="17"/>
    <x v="17"/>
    <x v="17"/>
    <x v="2"/>
    <x v="1"/>
    <x v="7"/>
    <x v="1"/>
    <x v="2"/>
  </r>
  <r>
    <x v="38"/>
    <x v="38"/>
    <x v="2"/>
    <x v="2"/>
    <x v="1"/>
    <x v="2"/>
    <x v="13"/>
    <x v="11"/>
    <x v="2"/>
    <x v="15"/>
    <x v="2"/>
    <x v="2"/>
    <x v="2"/>
    <x v="2"/>
    <x v="2"/>
    <x v="2"/>
    <x v="2"/>
    <x v="1"/>
    <x v="15"/>
    <x v="18"/>
    <x v="18"/>
    <x v="18"/>
    <x v="2"/>
    <x v="13"/>
    <x v="1"/>
    <x v="13"/>
    <x v="4"/>
  </r>
  <r>
    <x v="39"/>
    <x v="39"/>
    <x v="0"/>
    <x v="3"/>
    <x v="2"/>
    <x v="8"/>
    <x v="14"/>
    <x v="8"/>
    <x v="0"/>
    <x v="16"/>
    <x v="0"/>
    <x v="0"/>
    <x v="0"/>
    <x v="0"/>
    <x v="0"/>
    <x v="0"/>
    <x v="0"/>
    <x v="2"/>
    <x v="16"/>
    <x v="19"/>
    <x v="19"/>
    <x v="19"/>
    <x v="2"/>
    <x v="14"/>
    <x v="2"/>
    <x v="14"/>
    <x v="3"/>
  </r>
  <r>
    <x v="40"/>
    <x v="4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41"/>
    <x v="41"/>
    <x v="1"/>
    <x v="1"/>
    <x v="0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</r>
  <r>
    <x v="42"/>
    <x v="42"/>
    <x v="0"/>
    <x v="2"/>
    <x v="0"/>
    <x v="2"/>
    <x v="2"/>
    <x v="2"/>
    <x v="0"/>
    <x v="2"/>
    <x v="0"/>
    <x v="0"/>
    <x v="0"/>
    <x v="0"/>
    <x v="0"/>
    <x v="0"/>
    <x v="0"/>
    <x v="2"/>
    <x v="2"/>
    <x v="2"/>
    <x v="2"/>
    <x v="2"/>
    <x v="2"/>
    <x v="2"/>
    <x v="2"/>
    <x v="2"/>
    <x v="2"/>
  </r>
  <r>
    <x v="43"/>
    <x v="43"/>
    <x v="2"/>
    <x v="2"/>
    <x v="1"/>
    <x v="3"/>
    <x v="3"/>
    <x v="3"/>
    <x v="2"/>
    <x v="3"/>
    <x v="1"/>
    <x v="2"/>
    <x v="2"/>
    <x v="2"/>
    <x v="2"/>
    <x v="2"/>
    <x v="2"/>
    <x v="0"/>
    <x v="0"/>
    <x v="3"/>
    <x v="3"/>
    <x v="3"/>
    <x v="0"/>
    <x v="0"/>
    <x v="0"/>
    <x v="0"/>
    <x v="0"/>
  </r>
  <r>
    <x v="44"/>
    <x v="44"/>
    <x v="1"/>
    <x v="0"/>
    <x v="2"/>
    <x v="4"/>
    <x v="4"/>
    <x v="4"/>
    <x v="1"/>
    <x v="4"/>
    <x v="2"/>
    <x v="1"/>
    <x v="1"/>
    <x v="1"/>
    <x v="1"/>
    <x v="1"/>
    <x v="1"/>
    <x v="3"/>
    <x v="3"/>
    <x v="4"/>
    <x v="4"/>
    <x v="4"/>
    <x v="2"/>
    <x v="3"/>
    <x v="3"/>
    <x v="3"/>
    <x v="2"/>
  </r>
  <r>
    <x v="45"/>
    <x v="45"/>
    <x v="0"/>
    <x v="0"/>
    <x v="0"/>
    <x v="5"/>
    <x v="5"/>
    <x v="0"/>
    <x v="0"/>
    <x v="5"/>
    <x v="0"/>
    <x v="0"/>
    <x v="0"/>
    <x v="0"/>
    <x v="0"/>
    <x v="0"/>
    <x v="0"/>
    <x v="4"/>
    <x v="4"/>
    <x v="5"/>
    <x v="5"/>
    <x v="5"/>
    <x v="2"/>
    <x v="4"/>
    <x v="4"/>
    <x v="4"/>
    <x v="2"/>
  </r>
  <r>
    <x v="46"/>
    <x v="46"/>
    <x v="3"/>
    <x v="1"/>
    <x v="0"/>
    <x v="3"/>
    <x v="6"/>
    <x v="5"/>
    <x v="1"/>
    <x v="6"/>
    <x v="1"/>
    <x v="1"/>
    <x v="1"/>
    <x v="1"/>
    <x v="1"/>
    <x v="1"/>
    <x v="1"/>
    <x v="0"/>
    <x v="0"/>
    <x v="6"/>
    <x v="6"/>
    <x v="6"/>
    <x v="0"/>
    <x v="0"/>
    <x v="0"/>
    <x v="0"/>
    <x v="0"/>
  </r>
  <r>
    <x v="47"/>
    <x v="47"/>
    <x v="1"/>
    <x v="1"/>
    <x v="0"/>
    <x v="6"/>
    <x v="7"/>
    <x v="6"/>
    <x v="0"/>
    <x v="7"/>
    <x v="2"/>
    <x v="0"/>
    <x v="0"/>
    <x v="0"/>
    <x v="0"/>
    <x v="0"/>
    <x v="0"/>
    <x v="3"/>
    <x v="5"/>
    <x v="7"/>
    <x v="7"/>
    <x v="7"/>
    <x v="2"/>
    <x v="5"/>
    <x v="3"/>
    <x v="5"/>
    <x v="3"/>
  </r>
  <r>
    <x v="48"/>
    <x v="48"/>
    <x v="2"/>
    <x v="2"/>
    <x v="1"/>
    <x v="7"/>
    <x v="8"/>
    <x v="7"/>
    <x v="2"/>
    <x v="8"/>
    <x v="0"/>
    <x v="2"/>
    <x v="2"/>
    <x v="2"/>
    <x v="2"/>
    <x v="2"/>
    <x v="2"/>
    <x v="4"/>
    <x v="6"/>
    <x v="8"/>
    <x v="8"/>
    <x v="8"/>
    <x v="2"/>
    <x v="6"/>
    <x v="4"/>
    <x v="6"/>
    <x v="3"/>
  </r>
  <r>
    <x v="49"/>
    <x v="49"/>
    <x v="0"/>
    <x v="3"/>
    <x v="2"/>
    <x v="5"/>
    <x v="9"/>
    <x v="8"/>
    <x v="0"/>
    <x v="1"/>
    <x v="1"/>
    <x v="0"/>
    <x v="0"/>
    <x v="0"/>
    <x v="0"/>
    <x v="0"/>
    <x v="0"/>
    <x v="1"/>
    <x v="1"/>
    <x v="9"/>
    <x v="9"/>
    <x v="9"/>
    <x v="2"/>
    <x v="1"/>
    <x v="1"/>
    <x v="1"/>
    <x v="1"/>
  </r>
  <r>
    <x v="50"/>
    <x v="50"/>
    <x v="0"/>
    <x v="0"/>
    <x v="0"/>
    <x v="2"/>
    <x v="2"/>
    <x v="0"/>
    <x v="0"/>
    <x v="9"/>
    <x v="2"/>
    <x v="0"/>
    <x v="0"/>
    <x v="0"/>
    <x v="0"/>
    <x v="0"/>
    <x v="0"/>
    <x v="3"/>
    <x v="7"/>
    <x v="10"/>
    <x v="10"/>
    <x v="10"/>
    <x v="2"/>
    <x v="7"/>
    <x v="3"/>
    <x v="7"/>
    <x v="3"/>
  </r>
  <r>
    <x v="51"/>
    <x v="51"/>
    <x v="1"/>
    <x v="1"/>
    <x v="0"/>
    <x v="6"/>
    <x v="7"/>
    <x v="6"/>
    <x v="1"/>
    <x v="7"/>
    <x v="0"/>
    <x v="1"/>
    <x v="1"/>
    <x v="1"/>
    <x v="1"/>
    <x v="1"/>
    <x v="1"/>
    <x v="5"/>
    <x v="8"/>
    <x v="11"/>
    <x v="11"/>
    <x v="11"/>
    <x v="2"/>
    <x v="5"/>
    <x v="5"/>
    <x v="5"/>
    <x v="3"/>
  </r>
  <r>
    <x v="52"/>
    <x v="52"/>
    <x v="0"/>
    <x v="2"/>
    <x v="0"/>
    <x v="0"/>
    <x v="0"/>
    <x v="2"/>
    <x v="0"/>
    <x v="10"/>
    <x v="1"/>
    <x v="0"/>
    <x v="0"/>
    <x v="0"/>
    <x v="0"/>
    <x v="0"/>
    <x v="0"/>
    <x v="1"/>
    <x v="9"/>
    <x v="12"/>
    <x v="12"/>
    <x v="12"/>
    <x v="2"/>
    <x v="8"/>
    <x v="1"/>
    <x v="8"/>
    <x v="1"/>
  </r>
  <r>
    <x v="53"/>
    <x v="53"/>
    <x v="2"/>
    <x v="2"/>
    <x v="1"/>
    <x v="5"/>
    <x v="10"/>
    <x v="9"/>
    <x v="2"/>
    <x v="11"/>
    <x v="2"/>
    <x v="2"/>
    <x v="2"/>
    <x v="2"/>
    <x v="2"/>
    <x v="2"/>
    <x v="2"/>
    <x v="3"/>
    <x v="10"/>
    <x v="13"/>
    <x v="13"/>
    <x v="13"/>
    <x v="2"/>
    <x v="9"/>
    <x v="3"/>
    <x v="9"/>
    <x v="3"/>
  </r>
  <r>
    <x v="54"/>
    <x v="54"/>
    <x v="1"/>
    <x v="0"/>
    <x v="2"/>
    <x v="7"/>
    <x v="11"/>
    <x v="9"/>
    <x v="1"/>
    <x v="12"/>
    <x v="0"/>
    <x v="1"/>
    <x v="1"/>
    <x v="1"/>
    <x v="1"/>
    <x v="1"/>
    <x v="1"/>
    <x v="6"/>
    <x v="11"/>
    <x v="14"/>
    <x v="14"/>
    <x v="14"/>
    <x v="2"/>
    <x v="10"/>
    <x v="6"/>
    <x v="10"/>
    <x v="3"/>
  </r>
  <r>
    <x v="55"/>
    <x v="55"/>
    <x v="0"/>
    <x v="0"/>
    <x v="0"/>
    <x v="8"/>
    <x v="12"/>
    <x v="0"/>
    <x v="0"/>
    <x v="13"/>
    <x v="1"/>
    <x v="0"/>
    <x v="0"/>
    <x v="0"/>
    <x v="0"/>
    <x v="0"/>
    <x v="0"/>
    <x v="1"/>
    <x v="12"/>
    <x v="15"/>
    <x v="15"/>
    <x v="15"/>
    <x v="2"/>
    <x v="11"/>
    <x v="1"/>
    <x v="11"/>
    <x v="4"/>
  </r>
  <r>
    <x v="56"/>
    <x v="56"/>
    <x v="3"/>
    <x v="1"/>
    <x v="0"/>
    <x v="5"/>
    <x v="5"/>
    <x v="10"/>
    <x v="1"/>
    <x v="14"/>
    <x v="2"/>
    <x v="1"/>
    <x v="1"/>
    <x v="1"/>
    <x v="1"/>
    <x v="1"/>
    <x v="1"/>
    <x v="2"/>
    <x v="13"/>
    <x v="16"/>
    <x v="16"/>
    <x v="16"/>
    <x v="2"/>
    <x v="12"/>
    <x v="2"/>
    <x v="12"/>
    <x v="2"/>
  </r>
  <r>
    <x v="57"/>
    <x v="57"/>
    <x v="1"/>
    <x v="1"/>
    <x v="0"/>
    <x v="1"/>
    <x v="1"/>
    <x v="1"/>
    <x v="0"/>
    <x v="1"/>
    <x v="0"/>
    <x v="0"/>
    <x v="0"/>
    <x v="0"/>
    <x v="0"/>
    <x v="0"/>
    <x v="0"/>
    <x v="7"/>
    <x v="14"/>
    <x v="17"/>
    <x v="17"/>
    <x v="17"/>
    <x v="2"/>
    <x v="1"/>
    <x v="7"/>
    <x v="1"/>
    <x v="2"/>
  </r>
  <r>
    <x v="58"/>
    <x v="58"/>
    <x v="2"/>
    <x v="2"/>
    <x v="1"/>
    <x v="2"/>
    <x v="13"/>
    <x v="11"/>
    <x v="2"/>
    <x v="15"/>
    <x v="1"/>
    <x v="2"/>
    <x v="2"/>
    <x v="2"/>
    <x v="2"/>
    <x v="2"/>
    <x v="2"/>
    <x v="1"/>
    <x v="15"/>
    <x v="18"/>
    <x v="18"/>
    <x v="18"/>
    <x v="2"/>
    <x v="13"/>
    <x v="1"/>
    <x v="13"/>
    <x v="4"/>
  </r>
  <r>
    <x v="59"/>
    <x v="59"/>
    <x v="0"/>
    <x v="3"/>
    <x v="2"/>
    <x v="8"/>
    <x v="14"/>
    <x v="8"/>
    <x v="0"/>
    <x v="16"/>
    <x v="2"/>
    <x v="0"/>
    <x v="0"/>
    <x v="0"/>
    <x v="0"/>
    <x v="0"/>
    <x v="0"/>
    <x v="2"/>
    <x v="16"/>
    <x v="19"/>
    <x v="19"/>
    <x v="19"/>
    <x v="2"/>
    <x v="14"/>
    <x v="2"/>
    <x v="14"/>
    <x v="3"/>
  </r>
  <r>
    <x v="60"/>
    <x v="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"/>
    <x v="6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2"/>
    <x v="62"/>
    <x v="0"/>
    <x v="2"/>
    <x v="0"/>
    <x v="2"/>
    <x v="2"/>
    <x v="2"/>
    <x v="0"/>
    <x v="2"/>
    <x v="2"/>
    <x v="0"/>
    <x v="0"/>
    <x v="0"/>
    <x v="0"/>
    <x v="0"/>
    <x v="0"/>
    <x v="2"/>
    <x v="2"/>
    <x v="2"/>
    <x v="2"/>
    <x v="2"/>
    <x v="2"/>
    <x v="2"/>
    <x v="2"/>
    <x v="2"/>
    <x v="2"/>
  </r>
  <r>
    <x v="63"/>
    <x v="63"/>
    <x v="2"/>
    <x v="2"/>
    <x v="1"/>
    <x v="3"/>
    <x v="3"/>
    <x v="3"/>
    <x v="2"/>
    <x v="3"/>
    <x v="0"/>
    <x v="2"/>
    <x v="2"/>
    <x v="2"/>
    <x v="2"/>
    <x v="2"/>
    <x v="2"/>
    <x v="0"/>
    <x v="0"/>
    <x v="3"/>
    <x v="3"/>
    <x v="3"/>
    <x v="0"/>
    <x v="0"/>
    <x v="0"/>
    <x v="0"/>
    <x v="0"/>
  </r>
  <r>
    <x v="64"/>
    <x v="64"/>
    <x v="1"/>
    <x v="0"/>
    <x v="2"/>
    <x v="4"/>
    <x v="4"/>
    <x v="4"/>
    <x v="1"/>
    <x v="4"/>
    <x v="1"/>
    <x v="1"/>
    <x v="1"/>
    <x v="1"/>
    <x v="1"/>
    <x v="1"/>
    <x v="1"/>
    <x v="3"/>
    <x v="3"/>
    <x v="4"/>
    <x v="4"/>
    <x v="4"/>
    <x v="2"/>
    <x v="3"/>
    <x v="3"/>
    <x v="3"/>
    <x v="2"/>
  </r>
  <r>
    <x v="65"/>
    <x v="65"/>
    <x v="0"/>
    <x v="0"/>
    <x v="0"/>
    <x v="5"/>
    <x v="5"/>
    <x v="0"/>
    <x v="0"/>
    <x v="5"/>
    <x v="2"/>
    <x v="0"/>
    <x v="0"/>
    <x v="0"/>
    <x v="0"/>
    <x v="0"/>
    <x v="0"/>
    <x v="4"/>
    <x v="4"/>
    <x v="5"/>
    <x v="5"/>
    <x v="5"/>
    <x v="2"/>
    <x v="4"/>
    <x v="4"/>
    <x v="4"/>
    <x v="2"/>
  </r>
  <r>
    <x v="66"/>
    <x v="66"/>
    <x v="3"/>
    <x v="1"/>
    <x v="0"/>
    <x v="3"/>
    <x v="6"/>
    <x v="5"/>
    <x v="1"/>
    <x v="6"/>
    <x v="0"/>
    <x v="1"/>
    <x v="1"/>
    <x v="1"/>
    <x v="1"/>
    <x v="1"/>
    <x v="1"/>
    <x v="0"/>
    <x v="0"/>
    <x v="6"/>
    <x v="6"/>
    <x v="6"/>
    <x v="0"/>
    <x v="0"/>
    <x v="0"/>
    <x v="0"/>
    <x v="0"/>
  </r>
  <r>
    <x v="67"/>
    <x v="67"/>
    <x v="1"/>
    <x v="1"/>
    <x v="0"/>
    <x v="6"/>
    <x v="7"/>
    <x v="6"/>
    <x v="0"/>
    <x v="7"/>
    <x v="1"/>
    <x v="0"/>
    <x v="0"/>
    <x v="0"/>
    <x v="0"/>
    <x v="0"/>
    <x v="0"/>
    <x v="3"/>
    <x v="5"/>
    <x v="7"/>
    <x v="7"/>
    <x v="7"/>
    <x v="2"/>
    <x v="5"/>
    <x v="3"/>
    <x v="5"/>
    <x v="3"/>
  </r>
  <r>
    <x v="68"/>
    <x v="68"/>
    <x v="2"/>
    <x v="2"/>
    <x v="1"/>
    <x v="7"/>
    <x v="8"/>
    <x v="7"/>
    <x v="2"/>
    <x v="8"/>
    <x v="2"/>
    <x v="2"/>
    <x v="2"/>
    <x v="2"/>
    <x v="2"/>
    <x v="2"/>
    <x v="2"/>
    <x v="4"/>
    <x v="6"/>
    <x v="8"/>
    <x v="8"/>
    <x v="8"/>
    <x v="2"/>
    <x v="6"/>
    <x v="4"/>
    <x v="6"/>
    <x v="3"/>
  </r>
  <r>
    <x v="69"/>
    <x v="69"/>
    <x v="0"/>
    <x v="3"/>
    <x v="2"/>
    <x v="5"/>
    <x v="9"/>
    <x v="8"/>
    <x v="0"/>
    <x v="1"/>
    <x v="0"/>
    <x v="0"/>
    <x v="0"/>
    <x v="0"/>
    <x v="0"/>
    <x v="0"/>
    <x v="0"/>
    <x v="1"/>
    <x v="1"/>
    <x v="9"/>
    <x v="9"/>
    <x v="9"/>
    <x v="2"/>
    <x v="1"/>
    <x v="1"/>
    <x v="1"/>
    <x v="1"/>
  </r>
  <r>
    <x v="70"/>
    <x v="70"/>
    <x v="0"/>
    <x v="0"/>
    <x v="0"/>
    <x v="2"/>
    <x v="2"/>
    <x v="0"/>
    <x v="0"/>
    <x v="9"/>
    <x v="1"/>
    <x v="0"/>
    <x v="0"/>
    <x v="0"/>
    <x v="0"/>
    <x v="0"/>
    <x v="0"/>
    <x v="3"/>
    <x v="7"/>
    <x v="10"/>
    <x v="10"/>
    <x v="10"/>
    <x v="2"/>
    <x v="7"/>
    <x v="3"/>
    <x v="7"/>
    <x v="3"/>
  </r>
  <r>
    <x v="71"/>
    <x v="71"/>
    <x v="1"/>
    <x v="1"/>
    <x v="0"/>
    <x v="6"/>
    <x v="7"/>
    <x v="6"/>
    <x v="1"/>
    <x v="7"/>
    <x v="2"/>
    <x v="1"/>
    <x v="1"/>
    <x v="1"/>
    <x v="1"/>
    <x v="1"/>
    <x v="1"/>
    <x v="5"/>
    <x v="8"/>
    <x v="11"/>
    <x v="11"/>
    <x v="11"/>
    <x v="2"/>
    <x v="5"/>
    <x v="5"/>
    <x v="5"/>
    <x v="3"/>
  </r>
  <r>
    <x v="72"/>
    <x v="72"/>
    <x v="0"/>
    <x v="2"/>
    <x v="0"/>
    <x v="0"/>
    <x v="0"/>
    <x v="2"/>
    <x v="0"/>
    <x v="10"/>
    <x v="0"/>
    <x v="0"/>
    <x v="0"/>
    <x v="0"/>
    <x v="0"/>
    <x v="0"/>
    <x v="0"/>
    <x v="1"/>
    <x v="9"/>
    <x v="12"/>
    <x v="12"/>
    <x v="12"/>
    <x v="2"/>
    <x v="8"/>
    <x v="1"/>
    <x v="8"/>
    <x v="1"/>
  </r>
  <r>
    <x v="73"/>
    <x v="73"/>
    <x v="2"/>
    <x v="2"/>
    <x v="1"/>
    <x v="5"/>
    <x v="10"/>
    <x v="9"/>
    <x v="2"/>
    <x v="11"/>
    <x v="1"/>
    <x v="2"/>
    <x v="2"/>
    <x v="2"/>
    <x v="2"/>
    <x v="2"/>
    <x v="2"/>
    <x v="3"/>
    <x v="10"/>
    <x v="13"/>
    <x v="13"/>
    <x v="13"/>
    <x v="2"/>
    <x v="9"/>
    <x v="3"/>
    <x v="9"/>
    <x v="3"/>
  </r>
  <r>
    <x v="74"/>
    <x v="74"/>
    <x v="1"/>
    <x v="0"/>
    <x v="2"/>
    <x v="7"/>
    <x v="11"/>
    <x v="9"/>
    <x v="1"/>
    <x v="12"/>
    <x v="2"/>
    <x v="1"/>
    <x v="1"/>
    <x v="1"/>
    <x v="1"/>
    <x v="1"/>
    <x v="1"/>
    <x v="6"/>
    <x v="11"/>
    <x v="14"/>
    <x v="14"/>
    <x v="14"/>
    <x v="2"/>
    <x v="10"/>
    <x v="6"/>
    <x v="10"/>
    <x v="3"/>
  </r>
  <r>
    <x v="75"/>
    <x v="75"/>
    <x v="0"/>
    <x v="0"/>
    <x v="0"/>
    <x v="8"/>
    <x v="12"/>
    <x v="0"/>
    <x v="0"/>
    <x v="13"/>
    <x v="0"/>
    <x v="0"/>
    <x v="0"/>
    <x v="0"/>
    <x v="0"/>
    <x v="0"/>
    <x v="0"/>
    <x v="1"/>
    <x v="12"/>
    <x v="15"/>
    <x v="15"/>
    <x v="15"/>
    <x v="2"/>
    <x v="11"/>
    <x v="1"/>
    <x v="11"/>
    <x v="4"/>
  </r>
  <r>
    <x v="76"/>
    <x v="76"/>
    <x v="3"/>
    <x v="1"/>
    <x v="0"/>
    <x v="5"/>
    <x v="5"/>
    <x v="10"/>
    <x v="1"/>
    <x v="14"/>
    <x v="1"/>
    <x v="1"/>
    <x v="1"/>
    <x v="1"/>
    <x v="1"/>
    <x v="1"/>
    <x v="1"/>
    <x v="2"/>
    <x v="13"/>
    <x v="16"/>
    <x v="16"/>
    <x v="16"/>
    <x v="2"/>
    <x v="12"/>
    <x v="2"/>
    <x v="12"/>
    <x v="2"/>
  </r>
  <r>
    <x v="77"/>
    <x v="77"/>
    <x v="1"/>
    <x v="1"/>
    <x v="0"/>
    <x v="1"/>
    <x v="1"/>
    <x v="1"/>
    <x v="0"/>
    <x v="1"/>
    <x v="2"/>
    <x v="0"/>
    <x v="0"/>
    <x v="0"/>
    <x v="0"/>
    <x v="0"/>
    <x v="0"/>
    <x v="7"/>
    <x v="14"/>
    <x v="17"/>
    <x v="17"/>
    <x v="17"/>
    <x v="2"/>
    <x v="1"/>
    <x v="7"/>
    <x v="1"/>
    <x v="2"/>
  </r>
  <r>
    <x v="78"/>
    <x v="78"/>
    <x v="2"/>
    <x v="2"/>
    <x v="1"/>
    <x v="2"/>
    <x v="13"/>
    <x v="11"/>
    <x v="2"/>
    <x v="15"/>
    <x v="0"/>
    <x v="2"/>
    <x v="2"/>
    <x v="2"/>
    <x v="2"/>
    <x v="2"/>
    <x v="2"/>
    <x v="1"/>
    <x v="15"/>
    <x v="18"/>
    <x v="18"/>
    <x v="18"/>
    <x v="2"/>
    <x v="13"/>
    <x v="1"/>
    <x v="13"/>
    <x v="4"/>
  </r>
  <r>
    <x v="79"/>
    <x v="79"/>
    <x v="0"/>
    <x v="3"/>
    <x v="2"/>
    <x v="8"/>
    <x v="14"/>
    <x v="8"/>
    <x v="0"/>
    <x v="16"/>
    <x v="1"/>
    <x v="0"/>
    <x v="0"/>
    <x v="0"/>
    <x v="0"/>
    <x v="0"/>
    <x v="0"/>
    <x v="2"/>
    <x v="16"/>
    <x v="19"/>
    <x v="19"/>
    <x v="19"/>
    <x v="2"/>
    <x v="14"/>
    <x v="2"/>
    <x v="14"/>
    <x v="3"/>
  </r>
  <r>
    <x v="80"/>
    <x v="8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81"/>
    <x v="81"/>
    <x v="1"/>
    <x v="1"/>
    <x v="0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82"/>
    <x v="82"/>
    <x v="0"/>
    <x v="2"/>
    <x v="0"/>
    <x v="2"/>
    <x v="2"/>
    <x v="2"/>
    <x v="0"/>
    <x v="2"/>
    <x v="1"/>
    <x v="0"/>
    <x v="0"/>
    <x v="0"/>
    <x v="0"/>
    <x v="0"/>
    <x v="0"/>
    <x v="2"/>
    <x v="2"/>
    <x v="2"/>
    <x v="2"/>
    <x v="2"/>
    <x v="2"/>
    <x v="2"/>
    <x v="2"/>
    <x v="2"/>
    <x v="2"/>
  </r>
  <r>
    <x v="83"/>
    <x v="83"/>
    <x v="2"/>
    <x v="2"/>
    <x v="1"/>
    <x v="3"/>
    <x v="3"/>
    <x v="3"/>
    <x v="2"/>
    <x v="3"/>
    <x v="2"/>
    <x v="2"/>
    <x v="2"/>
    <x v="2"/>
    <x v="2"/>
    <x v="2"/>
    <x v="2"/>
    <x v="0"/>
    <x v="0"/>
    <x v="3"/>
    <x v="3"/>
    <x v="3"/>
    <x v="0"/>
    <x v="0"/>
    <x v="0"/>
    <x v="0"/>
    <x v="0"/>
  </r>
  <r>
    <x v="84"/>
    <x v="84"/>
    <x v="1"/>
    <x v="0"/>
    <x v="2"/>
    <x v="4"/>
    <x v="4"/>
    <x v="4"/>
    <x v="1"/>
    <x v="4"/>
    <x v="0"/>
    <x v="1"/>
    <x v="1"/>
    <x v="1"/>
    <x v="1"/>
    <x v="1"/>
    <x v="1"/>
    <x v="3"/>
    <x v="3"/>
    <x v="4"/>
    <x v="4"/>
    <x v="4"/>
    <x v="2"/>
    <x v="3"/>
    <x v="3"/>
    <x v="3"/>
    <x v="2"/>
  </r>
  <r>
    <x v="85"/>
    <x v="85"/>
    <x v="0"/>
    <x v="0"/>
    <x v="0"/>
    <x v="5"/>
    <x v="5"/>
    <x v="0"/>
    <x v="0"/>
    <x v="5"/>
    <x v="1"/>
    <x v="0"/>
    <x v="0"/>
    <x v="0"/>
    <x v="0"/>
    <x v="0"/>
    <x v="0"/>
    <x v="4"/>
    <x v="4"/>
    <x v="5"/>
    <x v="5"/>
    <x v="5"/>
    <x v="2"/>
    <x v="4"/>
    <x v="4"/>
    <x v="4"/>
    <x v="2"/>
  </r>
  <r>
    <x v="86"/>
    <x v="86"/>
    <x v="3"/>
    <x v="1"/>
    <x v="0"/>
    <x v="3"/>
    <x v="6"/>
    <x v="5"/>
    <x v="1"/>
    <x v="6"/>
    <x v="2"/>
    <x v="1"/>
    <x v="1"/>
    <x v="1"/>
    <x v="1"/>
    <x v="1"/>
    <x v="1"/>
    <x v="0"/>
    <x v="0"/>
    <x v="6"/>
    <x v="6"/>
    <x v="6"/>
    <x v="0"/>
    <x v="0"/>
    <x v="0"/>
    <x v="0"/>
    <x v="0"/>
  </r>
  <r>
    <x v="87"/>
    <x v="87"/>
    <x v="1"/>
    <x v="1"/>
    <x v="0"/>
    <x v="6"/>
    <x v="7"/>
    <x v="6"/>
    <x v="0"/>
    <x v="7"/>
    <x v="0"/>
    <x v="0"/>
    <x v="0"/>
    <x v="0"/>
    <x v="0"/>
    <x v="0"/>
    <x v="0"/>
    <x v="3"/>
    <x v="5"/>
    <x v="7"/>
    <x v="7"/>
    <x v="7"/>
    <x v="2"/>
    <x v="5"/>
    <x v="3"/>
    <x v="5"/>
    <x v="3"/>
  </r>
  <r>
    <x v="88"/>
    <x v="88"/>
    <x v="2"/>
    <x v="2"/>
    <x v="1"/>
    <x v="7"/>
    <x v="8"/>
    <x v="7"/>
    <x v="2"/>
    <x v="8"/>
    <x v="1"/>
    <x v="2"/>
    <x v="2"/>
    <x v="2"/>
    <x v="2"/>
    <x v="2"/>
    <x v="2"/>
    <x v="4"/>
    <x v="6"/>
    <x v="8"/>
    <x v="8"/>
    <x v="8"/>
    <x v="2"/>
    <x v="6"/>
    <x v="4"/>
    <x v="6"/>
    <x v="3"/>
  </r>
  <r>
    <x v="89"/>
    <x v="89"/>
    <x v="0"/>
    <x v="3"/>
    <x v="2"/>
    <x v="5"/>
    <x v="9"/>
    <x v="8"/>
    <x v="0"/>
    <x v="1"/>
    <x v="2"/>
    <x v="0"/>
    <x v="0"/>
    <x v="0"/>
    <x v="0"/>
    <x v="0"/>
    <x v="0"/>
    <x v="1"/>
    <x v="1"/>
    <x v="9"/>
    <x v="9"/>
    <x v="9"/>
    <x v="2"/>
    <x v="1"/>
    <x v="1"/>
    <x v="1"/>
    <x v="1"/>
  </r>
  <r>
    <x v="90"/>
    <x v="90"/>
    <x v="0"/>
    <x v="0"/>
    <x v="0"/>
    <x v="2"/>
    <x v="2"/>
    <x v="0"/>
    <x v="0"/>
    <x v="9"/>
    <x v="0"/>
    <x v="0"/>
    <x v="0"/>
    <x v="0"/>
    <x v="0"/>
    <x v="0"/>
    <x v="0"/>
    <x v="3"/>
    <x v="7"/>
    <x v="10"/>
    <x v="10"/>
    <x v="10"/>
    <x v="2"/>
    <x v="7"/>
    <x v="3"/>
    <x v="7"/>
    <x v="3"/>
  </r>
  <r>
    <x v="91"/>
    <x v="91"/>
    <x v="1"/>
    <x v="1"/>
    <x v="0"/>
    <x v="6"/>
    <x v="7"/>
    <x v="6"/>
    <x v="1"/>
    <x v="7"/>
    <x v="1"/>
    <x v="1"/>
    <x v="1"/>
    <x v="1"/>
    <x v="1"/>
    <x v="1"/>
    <x v="1"/>
    <x v="5"/>
    <x v="8"/>
    <x v="11"/>
    <x v="11"/>
    <x v="11"/>
    <x v="2"/>
    <x v="5"/>
    <x v="5"/>
    <x v="5"/>
    <x v="3"/>
  </r>
  <r>
    <x v="92"/>
    <x v="92"/>
    <x v="0"/>
    <x v="2"/>
    <x v="0"/>
    <x v="0"/>
    <x v="0"/>
    <x v="2"/>
    <x v="0"/>
    <x v="10"/>
    <x v="2"/>
    <x v="0"/>
    <x v="0"/>
    <x v="0"/>
    <x v="0"/>
    <x v="0"/>
    <x v="0"/>
    <x v="1"/>
    <x v="9"/>
    <x v="12"/>
    <x v="12"/>
    <x v="12"/>
    <x v="2"/>
    <x v="8"/>
    <x v="1"/>
    <x v="8"/>
    <x v="1"/>
  </r>
  <r>
    <x v="93"/>
    <x v="93"/>
    <x v="2"/>
    <x v="2"/>
    <x v="1"/>
    <x v="5"/>
    <x v="10"/>
    <x v="9"/>
    <x v="2"/>
    <x v="11"/>
    <x v="0"/>
    <x v="2"/>
    <x v="2"/>
    <x v="2"/>
    <x v="2"/>
    <x v="2"/>
    <x v="2"/>
    <x v="3"/>
    <x v="10"/>
    <x v="13"/>
    <x v="13"/>
    <x v="13"/>
    <x v="2"/>
    <x v="9"/>
    <x v="3"/>
    <x v="9"/>
    <x v="3"/>
  </r>
  <r>
    <x v="94"/>
    <x v="94"/>
    <x v="1"/>
    <x v="0"/>
    <x v="2"/>
    <x v="7"/>
    <x v="11"/>
    <x v="9"/>
    <x v="1"/>
    <x v="12"/>
    <x v="1"/>
    <x v="1"/>
    <x v="1"/>
    <x v="1"/>
    <x v="1"/>
    <x v="1"/>
    <x v="1"/>
    <x v="6"/>
    <x v="11"/>
    <x v="14"/>
    <x v="14"/>
    <x v="14"/>
    <x v="2"/>
    <x v="10"/>
    <x v="6"/>
    <x v="10"/>
    <x v="3"/>
  </r>
  <r>
    <x v="95"/>
    <x v="95"/>
    <x v="0"/>
    <x v="0"/>
    <x v="0"/>
    <x v="8"/>
    <x v="12"/>
    <x v="0"/>
    <x v="0"/>
    <x v="13"/>
    <x v="2"/>
    <x v="0"/>
    <x v="0"/>
    <x v="0"/>
    <x v="0"/>
    <x v="0"/>
    <x v="0"/>
    <x v="1"/>
    <x v="12"/>
    <x v="15"/>
    <x v="15"/>
    <x v="15"/>
    <x v="2"/>
    <x v="11"/>
    <x v="1"/>
    <x v="11"/>
    <x v="4"/>
  </r>
  <r>
    <x v="96"/>
    <x v="96"/>
    <x v="3"/>
    <x v="1"/>
    <x v="0"/>
    <x v="5"/>
    <x v="5"/>
    <x v="10"/>
    <x v="1"/>
    <x v="14"/>
    <x v="0"/>
    <x v="1"/>
    <x v="1"/>
    <x v="1"/>
    <x v="1"/>
    <x v="1"/>
    <x v="1"/>
    <x v="2"/>
    <x v="13"/>
    <x v="16"/>
    <x v="16"/>
    <x v="16"/>
    <x v="2"/>
    <x v="12"/>
    <x v="2"/>
    <x v="12"/>
    <x v="2"/>
  </r>
  <r>
    <x v="97"/>
    <x v="97"/>
    <x v="1"/>
    <x v="1"/>
    <x v="0"/>
    <x v="1"/>
    <x v="1"/>
    <x v="1"/>
    <x v="0"/>
    <x v="1"/>
    <x v="1"/>
    <x v="0"/>
    <x v="0"/>
    <x v="0"/>
    <x v="0"/>
    <x v="0"/>
    <x v="0"/>
    <x v="7"/>
    <x v="14"/>
    <x v="17"/>
    <x v="17"/>
    <x v="17"/>
    <x v="2"/>
    <x v="1"/>
    <x v="7"/>
    <x v="1"/>
    <x v="2"/>
  </r>
  <r>
    <x v="98"/>
    <x v="98"/>
    <x v="2"/>
    <x v="2"/>
    <x v="1"/>
    <x v="2"/>
    <x v="13"/>
    <x v="11"/>
    <x v="2"/>
    <x v="15"/>
    <x v="2"/>
    <x v="2"/>
    <x v="2"/>
    <x v="2"/>
    <x v="2"/>
    <x v="2"/>
    <x v="2"/>
    <x v="1"/>
    <x v="15"/>
    <x v="18"/>
    <x v="18"/>
    <x v="18"/>
    <x v="2"/>
    <x v="13"/>
    <x v="1"/>
    <x v="13"/>
    <x v="4"/>
  </r>
  <r>
    <x v="99"/>
    <x v="99"/>
    <x v="0"/>
    <x v="3"/>
    <x v="2"/>
    <x v="8"/>
    <x v="14"/>
    <x v="8"/>
    <x v="0"/>
    <x v="16"/>
    <x v="0"/>
    <x v="0"/>
    <x v="0"/>
    <x v="0"/>
    <x v="0"/>
    <x v="0"/>
    <x v="0"/>
    <x v="2"/>
    <x v="16"/>
    <x v="19"/>
    <x v="19"/>
    <x v="19"/>
    <x v="2"/>
    <x v="14"/>
    <x v="2"/>
    <x v="14"/>
    <x v="3"/>
  </r>
  <r>
    <x v="100"/>
    <x v="10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01"/>
    <x v="101"/>
    <x v="1"/>
    <x v="1"/>
    <x v="0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</r>
  <r>
    <x v="102"/>
    <x v="102"/>
    <x v="0"/>
    <x v="2"/>
    <x v="0"/>
    <x v="2"/>
    <x v="2"/>
    <x v="2"/>
    <x v="0"/>
    <x v="2"/>
    <x v="0"/>
    <x v="0"/>
    <x v="0"/>
    <x v="0"/>
    <x v="0"/>
    <x v="0"/>
    <x v="0"/>
    <x v="2"/>
    <x v="2"/>
    <x v="2"/>
    <x v="2"/>
    <x v="2"/>
    <x v="2"/>
    <x v="2"/>
    <x v="2"/>
    <x v="2"/>
    <x v="2"/>
  </r>
  <r>
    <x v="103"/>
    <x v="103"/>
    <x v="2"/>
    <x v="2"/>
    <x v="1"/>
    <x v="3"/>
    <x v="3"/>
    <x v="3"/>
    <x v="2"/>
    <x v="3"/>
    <x v="1"/>
    <x v="2"/>
    <x v="2"/>
    <x v="2"/>
    <x v="2"/>
    <x v="2"/>
    <x v="2"/>
    <x v="0"/>
    <x v="0"/>
    <x v="3"/>
    <x v="3"/>
    <x v="3"/>
    <x v="0"/>
    <x v="0"/>
    <x v="0"/>
    <x v="0"/>
    <x v="0"/>
  </r>
  <r>
    <x v="104"/>
    <x v="104"/>
    <x v="1"/>
    <x v="0"/>
    <x v="2"/>
    <x v="4"/>
    <x v="4"/>
    <x v="4"/>
    <x v="1"/>
    <x v="4"/>
    <x v="2"/>
    <x v="1"/>
    <x v="1"/>
    <x v="1"/>
    <x v="1"/>
    <x v="1"/>
    <x v="1"/>
    <x v="3"/>
    <x v="3"/>
    <x v="4"/>
    <x v="4"/>
    <x v="4"/>
    <x v="2"/>
    <x v="3"/>
    <x v="3"/>
    <x v="3"/>
    <x v="2"/>
  </r>
  <r>
    <x v="105"/>
    <x v="105"/>
    <x v="0"/>
    <x v="0"/>
    <x v="0"/>
    <x v="5"/>
    <x v="5"/>
    <x v="0"/>
    <x v="0"/>
    <x v="5"/>
    <x v="0"/>
    <x v="0"/>
    <x v="0"/>
    <x v="0"/>
    <x v="0"/>
    <x v="0"/>
    <x v="0"/>
    <x v="4"/>
    <x v="4"/>
    <x v="5"/>
    <x v="5"/>
    <x v="5"/>
    <x v="2"/>
    <x v="4"/>
    <x v="4"/>
    <x v="4"/>
    <x v="2"/>
  </r>
  <r>
    <x v="106"/>
    <x v="106"/>
    <x v="3"/>
    <x v="1"/>
    <x v="0"/>
    <x v="3"/>
    <x v="6"/>
    <x v="5"/>
    <x v="1"/>
    <x v="6"/>
    <x v="1"/>
    <x v="1"/>
    <x v="1"/>
    <x v="1"/>
    <x v="1"/>
    <x v="1"/>
    <x v="1"/>
    <x v="0"/>
    <x v="0"/>
    <x v="6"/>
    <x v="6"/>
    <x v="6"/>
    <x v="0"/>
    <x v="0"/>
    <x v="0"/>
    <x v="0"/>
    <x v="0"/>
  </r>
  <r>
    <x v="107"/>
    <x v="107"/>
    <x v="1"/>
    <x v="1"/>
    <x v="0"/>
    <x v="6"/>
    <x v="7"/>
    <x v="6"/>
    <x v="0"/>
    <x v="7"/>
    <x v="2"/>
    <x v="0"/>
    <x v="0"/>
    <x v="0"/>
    <x v="0"/>
    <x v="0"/>
    <x v="0"/>
    <x v="3"/>
    <x v="5"/>
    <x v="7"/>
    <x v="7"/>
    <x v="7"/>
    <x v="2"/>
    <x v="5"/>
    <x v="3"/>
    <x v="5"/>
    <x v="3"/>
  </r>
  <r>
    <x v="108"/>
    <x v="108"/>
    <x v="2"/>
    <x v="2"/>
    <x v="1"/>
    <x v="7"/>
    <x v="8"/>
    <x v="7"/>
    <x v="2"/>
    <x v="8"/>
    <x v="0"/>
    <x v="2"/>
    <x v="2"/>
    <x v="2"/>
    <x v="2"/>
    <x v="2"/>
    <x v="2"/>
    <x v="4"/>
    <x v="6"/>
    <x v="8"/>
    <x v="8"/>
    <x v="8"/>
    <x v="2"/>
    <x v="6"/>
    <x v="4"/>
    <x v="6"/>
    <x v="3"/>
  </r>
  <r>
    <x v="109"/>
    <x v="109"/>
    <x v="0"/>
    <x v="3"/>
    <x v="2"/>
    <x v="5"/>
    <x v="9"/>
    <x v="8"/>
    <x v="0"/>
    <x v="1"/>
    <x v="1"/>
    <x v="0"/>
    <x v="0"/>
    <x v="0"/>
    <x v="0"/>
    <x v="0"/>
    <x v="0"/>
    <x v="1"/>
    <x v="1"/>
    <x v="9"/>
    <x v="9"/>
    <x v="9"/>
    <x v="2"/>
    <x v="1"/>
    <x v="1"/>
    <x v="1"/>
    <x v="1"/>
  </r>
  <r>
    <x v="110"/>
    <x v="110"/>
    <x v="0"/>
    <x v="0"/>
    <x v="0"/>
    <x v="2"/>
    <x v="2"/>
    <x v="0"/>
    <x v="0"/>
    <x v="9"/>
    <x v="2"/>
    <x v="0"/>
    <x v="0"/>
    <x v="0"/>
    <x v="0"/>
    <x v="0"/>
    <x v="0"/>
    <x v="3"/>
    <x v="7"/>
    <x v="10"/>
    <x v="10"/>
    <x v="10"/>
    <x v="2"/>
    <x v="7"/>
    <x v="3"/>
    <x v="7"/>
    <x v="3"/>
  </r>
  <r>
    <x v="111"/>
    <x v="111"/>
    <x v="1"/>
    <x v="1"/>
    <x v="0"/>
    <x v="6"/>
    <x v="7"/>
    <x v="6"/>
    <x v="1"/>
    <x v="7"/>
    <x v="0"/>
    <x v="1"/>
    <x v="1"/>
    <x v="1"/>
    <x v="1"/>
    <x v="1"/>
    <x v="1"/>
    <x v="5"/>
    <x v="8"/>
    <x v="11"/>
    <x v="11"/>
    <x v="11"/>
    <x v="2"/>
    <x v="5"/>
    <x v="5"/>
    <x v="5"/>
    <x v="3"/>
  </r>
  <r>
    <x v="112"/>
    <x v="112"/>
    <x v="0"/>
    <x v="2"/>
    <x v="0"/>
    <x v="0"/>
    <x v="0"/>
    <x v="2"/>
    <x v="0"/>
    <x v="10"/>
    <x v="1"/>
    <x v="0"/>
    <x v="0"/>
    <x v="0"/>
    <x v="0"/>
    <x v="0"/>
    <x v="0"/>
    <x v="1"/>
    <x v="9"/>
    <x v="12"/>
    <x v="12"/>
    <x v="12"/>
    <x v="2"/>
    <x v="8"/>
    <x v="1"/>
    <x v="8"/>
    <x v="1"/>
  </r>
  <r>
    <x v="113"/>
    <x v="113"/>
    <x v="2"/>
    <x v="2"/>
    <x v="1"/>
    <x v="5"/>
    <x v="10"/>
    <x v="9"/>
    <x v="2"/>
    <x v="11"/>
    <x v="2"/>
    <x v="2"/>
    <x v="2"/>
    <x v="2"/>
    <x v="2"/>
    <x v="2"/>
    <x v="2"/>
    <x v="3"/>
    <x v="10"/>
    <x v="13"/>
    <x v="13"/>
    <x v="13"/>
    <x v="2"/>
    <x v="9"/>
    <x v="3"/>
    <x v="9"/>
    <x v="3"/>
  </r>
  <r>
    <x v="114"/>
    <x v="114"/>
    <x v="1"/>
    <x v="0"/>
    <x v="2"/>
    <x v="7"/>
    <x v="11"/>
    <x v="9"/>
    <x v="1"/>
    <x v="12"/>
    <x v="0"/>
    <x v="1"/>
    <x v="1"/>
    <x v="1"/>
    <x v="1"/>
    <x v="1"/>
    <x v="1"/>
    <x v="6"/>
    <x v="11"/>
    <x v="14"/>
    <x v="14"/>
    <x v="14"/>
    <x v="2"/>
    <x v="10"/>
    <x v="6"/>
    <x v="10"/>
    <x v="3"/>
  </r>
  <r>
    <x v="115"/>
    <x v="115"/>
    <x v="0"/>
    <x v="0"/>
    <x v="0"/>
    <x v="8"/>
    <x v="12"/>
    <x v="0"/>
    <x v="0"/>
    <x v="13"/>
    <x v="1"/>
    <x v="0"/>
    <x v="0"/>
    <x v="0"/>
    <x v="0"/>
    <x v="0"/>
    <x v="0"/>
    <x v="1"/>
    <x v="12"/>
    <x v="15"/>
    <x v="15"/>
    <x v="15"/>
    <x v="2"/>
    <x v="11"/>
    <x v="1"/>
    <x v="11"/>
    <x v="4"/>
  </r>
  <r>
    <x v="116"/>
    <x v="116"/>
    <x v="3"/>
    <x v="1"/>
    <x v="0"/>
    <x v="5"/>
    <x v="5"/>
    <x v="10"/>
    <x v="1"/>
    <x v="14"/>
    <x v="2"/>
    <x v="1"/>
    <x v="1"/>
    <x v="1"/>
    <x v="1"/>
    <x v="1"/>
    <x v="1"/>
    <x v="2"/>
    <x v="13"/>
    <x v="16"/>
    <x v="16"/>
    <x v="16"/>
    <x v="2"/>
    <x v="12"/>
    <x v="2"/>
    <x v="12"/>
    <x v="2"/>
  </r>
  <r>
    <x v="117"/>
    <x v="117"/>
    <x v="1"/>
    <x v="1"/>
    <x v="0"/>
    <x v="1"/>
    <x v="1"/>
    <x v="1"/>
    <x v="0"/>
    <x v="1"/>
    <x v="0"/>
    <x v="0"/>
    <x v="0"/>
    <x v="0"/>
    <x v="0"/>
    <x v="0"/>
    <x v="0"/>
    <x v="7"/>
    <x v="14"/>
    <x v="17"/>
    <x v="17"/>
    <x v="17"/>
    <x v="2"/>
    <x v="1"/>
    <x v="7"/>
    <x v="1"/>
    <x v="2"/>
  </r>
  <r>
    <x v="118"/>
    <x v="118"/>
    <x v="2"/>
    <x v="2"/>
    <x v="1"/>
    <x v="2"/>
    <x v="13"/>
    <x v="11"/>
    <x v="2"/>
    <x v="15"/>
    <x v="1"/>
    <x v="2"/>
    <x v="2"/>
    <x v="2"/>
    <x v="2"/>
    <x v="2"/>
    <x v="2"/>
    <x v="1"/>
    <x v="15"/>
    <x v="18"/>
    <x v="18"/>
    <x v="18"/>
    <x v="2"/>
    <x v="13"/>
    <x v="1"/>
    <x v="13"/>
    <x v="4"/>
  </r>
  <r>
    <x v="119"/>
    <x v="119"/>
    <x v="0"/>
    <x v="3"/>
    <x v="2"/>
    <x v="8"/>
    <x v="14"/>
    <x v="8"/>
    <x v="0"/>
    <x v="16"/>
    <x v="2"/>
    <x v="0"/>
    <x v="0"/>
    <x v="0"/>
    <x v="0"/>
    <x v="0"/>
    <x v="0"/>
    <x v="2"/>
    <x v="16"/>
    <x v="19"/>
    <x v="19"/>
    <x v="19"/>
    <x v="2"/>
    <x v="14"/>
    <x v="2"/>
    <x v="14"/>
    <x v="3"/>
  </r>
  <r>
    <x v="120"/>
    <x v="1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1"/>
    <x v="12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2"/>
    <x v="122"/>
    <x v="0"/>
    <x v="2"/>
    <x v="0"/>
    <x v="2"/>
    <x v="2"/>
    <x v="2"/>
    <x v="0"/>
    <x v="2"/>
    <x v="2"/>
    <x v="0"/>
    <x v="0"/>
    <x v="0"/>
    <x v="0"/>
    <x v="0"/>
    <x v="0"/>
    <x v="2"/>
    <x v="2"/>
    <x v="2"/>
    <x v="2"/>
    <x v="2"/>
    <x v="2"/>
    <x v="2"/>
    <x v="2"/>
    <x v="2"/>
    <x v="2"/>
  </r>
  <r>
    <x v="123"/>
    <x v="123"/>
    <x v="2"/>
    <x v="2"/>
    <x v="1"/>
    <x v="3"/>
    <x v="3"/>
    <x v="3"/>
    <x v="2"/>
    <x v="3"/>
    <x v="0"/>
    <x v="2"/>
    <x v="2"/>
    <x v="2"/>
    <x v="2"/>
    <x v="2"/>
    <x v="2"/>
    <x v="0"/>
    <x v="0"/>
    <x v="3"/>
    <x v="3"/>
    <x v="3"/>
    <x v="0"/>
    <x v="0"/>
    <x v="0"/>
    <x v="0"/>
    <x v="0"/>
  </r>
  <r>
    <x v="124"/>
    <x v="124"/>
    <x v="1"/>
    <x v="0"/>
    <x v="2"/>
    <x v="4"/>
    <x v="4"/>
    <x v="4"/>
    <x v="1"/>
    <x v="4"/>
    <x v="1"/>
    <x v="1"/>
    <x v="1"/>
    <x v="1"/>
    <x v="1"/>
    <x v="1"/>
    <x v="1"/>
    <x v="3"/>
    <x v="3"/>
    <x v="4"/>
    <x v="4"/>
    <x v="4"/>
    <x v="2"/>
    <x v="3"/>
    <x v="3"/>
    <x v="3"/>
    <x v="2"/>
  </r>
  <r>
    <x v="125"/>
    <x v="125"/>
    <x v="0"/>
    <x v="0"/>
    <x v="0"/>
    <x v="5"/>
    <x v="5"/>
    <x v="0"/>
    <x v="0"/>
    <x v="5"/>
    <x v="2"/>
    <x v="0"/>
    <x v="0"/>
    <x v="0"/>
    <x v="0"/>
    <x v="0"/>
    <x v="0"/>
    <x v="4"/>
    <x v="4"/>
    <x v="5"/>
    <x v="5"/>
    <x v="5"/>
    <x v="2"/>
    <x v="4"/>
    <x v="4"/>
    <x v="4"/>
    <x v="2"/>
  </r>
  <r>
    <x v="126"/>
    <x v="126"/>
    <x v="3"/>
    <x v="1"/>
    <x v="0"/>
    <x v="3"/>
    <x v="6"/>
    <x v="5"/>
    <x v="1"/>
    <x v="6"/>
    <x v="0"/>
    <x v="1"/>
    <x v="1"/>
    <x v="1"/>
    <x v="1"/>
    <x v="1"/>
    <x v="1"/>
    <x v="0"/>
    <x v="0"/>
    <x v="6"/>
    <x v="6"/>
    <x v="6"/>
    <x v="0"/>
    <x v="0"/>
    <x v="0"/>
    <x v="0"/>
    <x v="0"/>
  </r>
  <r>
    <x v="127"/>
    <x v="127"/>
    <x v="1"/>
    <x v="1"/>
    <x v="0"/>
    <x v="6"/>
    <x v="7"/>
    <x v="6"/>
    <x v="0"/>
    <x v="7"/>
    <x v="1"/>
    <x v="0"/>
    <x v="0"/>
    <x v="0"/>
    <x v="0"/>
    <x v="0"/>
    <x v="0"/>
    <x v="3"/>
    <x v="5"/>
    <x v="7"/>
    <x v="7"/>
    <x v="7"/>
    <x v="2"/>
    <x v="5"/>
    <x v="3"/>
    <x v="5"/>
    <x v="3"/>
  </r>
  <r>
    <x v="128"/>
    <x v="128"/>
    <x v="2"/>
    <x v="2"/>
    <x v="1"/>
    <x v="7"/>
    <x v="8"/>
    <x v="7"/>
    <x v="2"/>
    <x v="8"/>
    <x v="2"/>
    <x v="2"/>
    <x v="2"/>
    <x v="2"/>
    <x v="2"/>
    <x v="2"/>
    <x v="2"/>
    <x v="4"/>
    <x v="6"/>
    <x v="8"/>
    <x v="8"/>
    <x v="8"/>
    <x v="2"/>
    <x v="6"/>
    <x v="4"/>
    <x v="6"/>
    <x v="3"/>
  </r>
  <r>
    <x v="129"/>
    <x v="129"/>
    <x v="0"/>
    <x v="3"/>
    <x v="2"/>
    <x v="5"/>
    <x v="9"/>
    <x v="8"/>
    <x v="0"/>
    <x v="1"/>
    <x v="0"/>
    <x v="0"/>
    <x v="0"/>
    <x v="0"/>
    <x v="0"/>
    <x v="0"/>
    <x v="0"/>
    <x v="1"/>
    <x v="1"/>
    <x v="9"/>
    <x v="9"/>
    <x v="9"/>
    <x v="2"/>
    <x v="1"/>
    <x v="1"/>
    <x v="1"/>
    <x v="1"/>
  </r>
  <r>
    <x v="130"/>
    <x v="130"/>
    <x v="0"/>
    <x v="0"/>
    <x v="0"/>
    <x v="2"/>
    <x v="2"/>
    <x v="0"/>
    <x v="0"/>
    <x v="9"/>
    <x v="1"/>
    <x v="0"/>
    <x v="0"/>
    <x v="0"/>
    <x v="0"/>
    <x v="0"/>
    <x v="0"/>
    <x v="3"/>
    <x v="7"/>
    <x v="10"/>
    <x v="10"/>
    <x v="10"/>
    <x v="2"/>
    <x v="7"/>
    <x v="3"/>
    <x v="7"/>
    <x v="3"/>
  </r>
  <r>
    <x v="131"/>
    <x v="131"/>
    <x v="1"/>
    <x v="1"/>
    <x v="0"/>
    <x v="6"/>
    <x v="7"/>
    <x v="6"/>
    <x v="1"/>
    <x v="7"/>
    <x v="2"/>
    <x v="1"/>
    <x v="1"/>
    <x v="1"/>
    <x v="1"/>
    <x v="1"/>
    <x v="1"/>
    <x v="5"/>
    <x v="8"/>
    <x v="11"/>
    <x v="11"/>
    <x v="11"/>
    <x v="2"/>
    <x v="5"/>
    <x v="5"/>
    <x v="5"/>
    <x v="3"/>
  </r>
  <r>
    <x v="132"/>
    <x v="132"/>
    <x v="0"/>
    <x v="2"/>
    <x v="0"/>
    <x v="0"/>
    <x v="0"/>
    <x v="2"/>
    <x v="0"/>
    <x v="10"/>
    <x v="0"/>
    <x v="0"/>
    <x v="0"/>
    <x v="0"/>
    <x v="0"/>
    <x v="0"/>
    <x v="0"/>
    <x v="1"/>
    <x v="9"/>
    <x v="12"/>
    <x v="12"/>
    <x v="12"/>
    <x v="2"/>
    <x v="8"/>
    <x v="1"/>
    <x v="8"/>
    <x v="1"/>
  </r>
  <r>
    <x v="133"/>
    <x v="133"/>
    <x v="2"/>
    <x v="2"/>
    <x v="1"/>
    <x v="5"/>
    <x v="10"/>
    <x v="9"/>
    <x v="2"/>
    <x v="11"/>
    <x v="1"/>
    <x v="2"/>
    <x v="2"/>
    <x v="2"/>
    <x v="2"/>
    <x v="2"/>
    <x v="2"/>
    <x v="3"/>
    <x v="10"/>
    <x v="13"/>
    <x v="13"/>
    <x v="13"/>
    <x v="2"/>
    <x v="9"/>
    <x v="3"/>
    <x v="9"/>
    <x v="3"/>
  </r>
  <r>
    <x v="134"/>
    <x v="134"/>
    <x v="1"/>
    <x v="0"/>
    <x v="2"/>
    <x v="7"/>
    <x v="11"/>
    <x v="9"/>
    <x v="1"/>
    <x v="12"/>
    <x v="2"/>
    <x v="1"/>
    <x v="1"/>
    <x v="1"/>
    <x v="1"/>
    <x v="1"/>
    <x v="1"/>
    <x v="6"/>
    <x v="11"/>
    <x v="14"/>
    <x v="14"/>
    <x v="14"/>
    <x v="2"/>
    <x v="10"/>
    <x v="6"/>
    <x v="10"/>
    <x v="3"/>
  </r>
  <r>
    <x v="135"/>
    <x v="135"/>
    <x v="0"/>
    <x v="0"/>
    <x v="0"/>
    <x v="8"/>
    <x v="12"/>
    <x v="0"/>
    <x v="0"/>
    <x v="13"/>
    <x v="0"/>
    <x v="0"/>
    <x v="0"/>
    <x v="0"/>
    <x v="0"/>
    <x v="0"/>
    <x v="0"/>
    <x v="1"/>
    <x v="12"/>
    <x v="15"/>
    <x v="15"/>
    <x v="15"/>
    <x v="2"/>
    <x v="11"/>
    <x v="1"/>
    <x v="11"/>
    <x v="4"/>
  </r>
  <r>
    <x v="136"/>
    <x v="136"/>
    <x v="3"/>
    <x v="1"/>
    <x v="0"/>
    <x v="5"/>
    <x v="5"/>
    <x v="10"/>
    <x v="1"/>
    <x v="14"/>
    <x v="1"/>
    <x v="1"/>
    <x v="1"/>
    <x v="1"/>
    <x v="1"/>
    <x v="1"/>
    <x v="1"/>
    <x v="2"/>
    <x v="13"/>
    <x v="16"/>
    <x v="16"/>
    <x v="16"/>
    <x v="2"/>
    <x v="12"/>
    <x v="2"/>
    <x v="12"/>
    <x v="2"/>
  </r>
  <r>
    <x v="137"/>
    <x v="137"/>
    <x v="1"/>
    <x v="1"/>
    <x v="0"/>
    <x v="1"/>
    <x v="1"/>
    <x v="1"/>
    <x v="0"/>
    <x v="1"/>
    <x v="2"/>
    <x v="0"/>
    <x v="0"/>
    <x v="0"/>
    <x v="0"/>
    <x v="0"/>
    <x v="0"/>
    <x v="7"/>
    <x v="14"/>
    <x v="17"/>
    <x v="17"/>
    <x v="17"/>
    <x v="2"/>
    <x v="1"/>
    <x v="7"/>
    <x v="1"/>
    <x v="2"/>
  </r>
  <r>
    <x v="138"/>
    <x v="138"/>
    <x v="2"/>
    <x v="2"/>
    <x v="1"/>
    <x v="2"/>
    <x v="13"/>
    <x v="11"/>
    <x v="2"/>
    <x v="15"/>
    <x v="0"/>
    <x v="2"/>
    <x v="2"/>
    <x v="2"/>
    <x v="2"/>
    <x v="2"/>
    <x v="2"/>
    <x v="1"/>
    <x v="15"/>
    <x v="18"/>
    <x v="18"/>
    <x v="18"/>
    <x v="2"/>
    <x v="13"/>
    <x v="1"/>
    <x v="13"/>
    <x v="4"/>
  </r>
  <r>
    <x v="139"/>
    <x v="139"/>
    <x v="0"/>
    <x v="3"/>
    <x v="2"/>
    <x v="8"/>
    <x v="14"/>
    <x v="8"/>
    <x v="0"/>
    <x v="16"/>
    <x v="1"/>
    <x v="0"/>
    <x v="0"/>
    <x v="0"/>
    <x v="0"/>
    <x v="0"/>
    <x v="0"/>
    <x v="2"/>
    <x v="16"/>
    <x v="19"/>
    <x v="19"/>
    <x v="19"/>
    <x v="2"/>
    <x v="14"/>
    <x v="2"/>
    <x v="14"/>
    <x v="3"/>
  </r>
  <r>
    <x v="140"/>
    <x v="14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141"/>
    <x v="141"/>
    <x v="1"/>
    <x v="1"/>
    <x v="0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142"/>
    <x v="142"/>
    <x v="0"/>
    <x v="2"/>
    <x v="0"/>
    <x v="2"/>
    <x v="2"/>
    <x v="2"/>
    <x v="0"/>
    <x v="2"/>
    <x v="1"/>
    <x v="0"/>
    <x v="0"/>
    <x v="0"/>
    <x v="0"/>
    <x v="0"/>
    <x v="0"/>
    <x v="2"/>
    <x v="2"/>
    <x v="2"/>
    <x v="2"/>
    <x v="2"/>
    <x v="2"/>
    <x v="2"/>
    <x v="2"/>
    <x v="2"/>
    <x v="2"/>
  </r>
  <r>
    <x v="143"/>
    <x v="143"/>
    <x v="2"/>
    <x v="2"/>
    <x v="1"/>
    <x v="3"/>
    <x v="3"/>
    <x v="3"/>
    <x v="2"/>
    <x v="3"/>
    <x v="2"/>
    <x v="2"/>
    <x v="2"/>
    <x v="2"/>
    <x v="2"/>
    <x v="2"/>
    <x v="2"/>
    <x v="0"/>
    <x v="0"/>
    <x v="3"/>
    <x v="3"/>
    <x v="3"/>
    <x v="0"/>
    <x v="0"/>
    <x v="0"/>
    <x v="0"/>
    <x v="0"/>
  </r>
  <r>
    <x v="144"/>
    <x v="144"/>
    <x v="1"/>
    <x v="0"/>
    <x v="2"/>
    <x v="4"/>
    <x v="4"/>
    <x v="4"/>
    <x v="1"/>
    <x v="4"/>
    <x v="0"/>
    <x v="1"/>
    <x v="1"/>
    <x v="1"/>
    <x v="1"/>
    <x v="1"/>
    <x v="1"/>
    <x v="3"/>
    <x v="3"/>
    <x v="4"/>
    <x v="4"/>
    <x v="4"/>
    <x v="2"/>
    <x v="3"/>
    <x v="3"/>
    <x v="3"/>
    <x v="2"/>
  </r>
  <r>
    <x v="145"/>
    <x v="145"/>
    <x v="0"/>
    <x v="0"/>
    <x v="0"/>
    <x v="5"/>
    <x v="5"/>
    <x v="0"/>
    <x v="0"/>
    <x v="5"/>
    <x v="1"/>
    <x v="0"/>
    <x v="0"/>
    <x v="0"/>
    <x v="0"/>
    <x v="0"/>
    <x v="0"/>
    <x v="4"/>
    <x v="4"/>
    <x v="5"/>
    <x v="5"/>
    <x v="5"/>
    <x v="2"/>
    <x v="4"/>
    <x v="4"/>
    <x v="4"/>
    <x v="2"/>
  </r>
  <r>
    <x v="146"/>
    <x v="146"/>
    <x v="3"/>
    <x v="1"/>
    <x v="0"/>
    <x v="3"/>
    <x v="6"/>
    <x v="5"/>
    <x v="1"/>
    <x v="6"/>
    <x v="2"/>
    <x v="1"/>
    <x v="1"/>
    <x v="1"/>
    <x v="1"/>
    <x v="1"/>
    <x v="1"/>
    <x v="0"/>
    <x v="0"/>
    <x v="6"/>
    <x v="6"/>
    <x v="6"/>
    <x v="0"/>
    <x v="0"/>
    <x v="0"/>
    <x v="0"/>
    <x v="0"/>
  </r>
  <r>
    <x v="147"/>
    <x v="147"/>
    <x v="1"/>
    <x v="1"/>
    <x v="0"/>
    <x v="6"/>
    <x v="7"/>
    <x v="6"/>
    <x v="0"/>
    <x v="7"/>
    <x v="0"/>
    <x v="0"/>
    <x v="0"/>
    <x v="0"/>
    <x v="0"/>
    <x v="0"/>
    <x v="0"/>
    <x v="3"/>
    <x v="5"/>
    <x v="7"/>
    <x v="7"/>
    <x v="7"/>
    <x v="2"/>
    <x v="5"/>
    <x v="3"/>
    <x v="5"/>
    <x v="3"/>
  </r>
  <r>
    <x v="148"/>
    <x v="148"/>
    <x v="2"/>
    <x v="2"/>
    <x v="1"/>
    <x v="7"/>
    <x v="8"/>
    <x v="7"/>
    <x v="2"/>
    <x v="8"/>
    <x v="1"/>
    <x v="2"/>
    <x v="2"/>
    <x v="2"/>
    <x v="2"/>
    <x v="2"/>
    <x v="2"/>
    <x v="4"/>
    <x v="6"/>
    <x v="8"/>
    <x v="8"/>
    <x v="8"/>
    <x v="2"/>
    <x v="6"/>
    <x v="4"/>
    <x v="6"/>
    <x v="3"/>
  </r>
  <r>
    <x v="149"/>
    <x v="149"/>
    <x v="0"/>
    <x v="3"/>
    <x v="2"/>
    <x v="5"/>
    <x v="9"/>
    <x v="8"/>
    <x v="0"/>
    <x v="1"/>
    <x v="2"/>
    <x v="0"/>
    <x v="0"/>
    <x v="0"/>
    <x v="0"/>
    <x v="0"/>
    <x v="0"/>
    <x v="1"/>
    <x v="1"/>
    <x v="9"/>
    <x v="9"/>
    <x v="9"/>
    <x v="2"/>
    <x v="1"/>
    <x v="1"/>
    <x v="1"/>
    <x v="1"/>
  </r>
  <r>
    <x v="150"/>
    <x v="150"/>
    <x v="0"/>
    <x v="0"/>
    <x v="0"/>
    <x v="2"/>
    <x v="2"/>
    <x v="0"/>
    <x v="0"/>
    <x v="9"/>
    <x v="0"/>
    <x v="0"/>
    <x v="0"/>
    <x v="0"/>
    <x v="0"/>
    <x v="0"/>
    <x v="0"/>
    <x v="3"/>
    <x v="7"/>
    <x v="10"/>
    <x v="10"/>
    <x v="10"/>
    <x v="2"/>
    <x v="7"/>
    <x v="3"/>
    <x v="7"/>
    <x v="3"/>
  </r>
  <r>
    <x v="151"/>
    <x v="151"/>
    <x v="1"/>
    <x v="1"/>
    <x v="0"/>
    <x v="6"/>
    <x v="7"/>
    <x v="6"/>
    <x v="1"/>
    <x v="7"/>
    <x v="1"/>
    <x v="1"/>
    <x v="1"/>
    <x v="1"/>
    <x v="1"/>
    <x v="1"/>
    <x v="1"/>
    <x v="5"/>
    <x v="8"/>
    <x v="11"/>
    <x v="11"/>
    <x v="11"/>
    <x v="2"/>
    <x v="5"/>
    <x v="5"/>
    <x v="5"/>
    <x v="3"/>
  </r>
  <r>
    <x v="152"/>
    <x v="152"/>
    <x v="0"/>
    <x v="2"/>
    <x v="0"/>
    <x v="0"/>
    <x v="0"/>
    <x v="2"/>
    <x v="0"/>
    <x v="10"/>
    <x v="2"/>
    <x v="0"/>
    <x v="0"/>
    <x v="0"/>
    <x v="0"/>
    <x v="0"/>
    <x v="0"/>
    <x v="1"/>
    <x v="9"/>
    <x v="12"/>
    <x v="12"/>
    <x v="12"/>
    <x v="2"/>
    <x v="8"/>
    <x v="1"/>
    <x v="8"/>
    <x v="1"/>
  </r>
  <r>
    <x v="153"/>
    <x v="153"/>
    <x v="2"/>
    <x v="2"/>
    <x v="1"/>
    <x v="5"/>
    <x v="10"/>
    <x v="9"/>
    <x v="2"/>
    <x v="11"/>
    <x v="0"/>
    <x v="2"/>
    <x v="2"/>
    <x v="2"/>
    <x v="2"/>
    <x v="2"/>
    <x v="2"/>
    <x v="3"/>
    <x v="10"/>
    <x v="13"/>
    <x v="13"/>
    <x v="13"/>
    <x v="2"/>
    <x v="9"/>
    <x v="3"/>
    <x v="9"/>
    <x v="3"/>
  </r>
  <r>
    <x v="154"/>
    <x v="154"/>
    <x v="1"/>
    <x v="0"/>
    <x v="2"/>
    <x v="7"/>
    <x v="11"/>
    <x v="9"/>
    <x v="1"/>
    <x v="12"/>
    <x v="1"/>
    <x v="1"/>
    <x v="1"/>
    <x v="1"/>
    <x v="1"/>
    <x v="1"/>
    <x v="1"/>
    <x v="6"/>
    <x v="11"/>
    <x v="14"/>
    <x v="14"/>
    <x v="14"/>
    <x v="2"/>
    <x v="10"/>
    <x v="6"/>
    <x v="10"/>
    <x v="3"/>
  </r>
  <r>
    <x v="155"/>
    <x v="155"/>
    <x v="0"/>
    <x v="0"/>
    <x v="0"/>
    <x v="8"/>
    <x v="12"/>
    <x v="0"/>
    <x v="0"/>
    <x v="13"/>
    <x v="2"/>
    <x v="0"/>
    <x v="0"/>
    <x v="0"/>
    <x v="0"/>
    <x v="0"/>
    <x v="0"/>
    <x v="1"/>
    <x v="12"/>
    <x v="15"/>
    <x v="15"/>
    <x v="15"/>
    <x v="2"/>
    <x v="11"/>
    <x v="1"/>
    <x v="11"/>
    <x v="4"/>
  </r>
  <r>
    <x v="156"/>
    <x v="156"/>
    <x v="3"/>
    <x v="1"/>
    <x v="0"/>
    <x v="5"/>
    <x v="5"/>
    <x v="10"/>
    <x v="1"/>
    <x v="14"/>
    <x v="0"/>
    <x v="1"/>
    <x v="1"/>
    <x v="1"/>
    <x v="1"/>
    <x v="1"/>
    <x v="1"/>
    <x v="2"/>
    <x v="13"/>
    <x v="16"/>
    <x v="16"/>
    <x v="16"/>
    <x v="2"/>
    <x v="12"/>
    <x v="2"/>
    <x v="12"/>
    <x v="2"/>
  </r>
  <r>
    <x v="157"/>
    <x v="157"/>
    <x v="1"/>
    <x v="1"/>
    <x v="0"/>
    <x v="1"/>
    <x v="1"/>
    <x v="1"/>
    <x v="0"/>
    <x v="1"/>
    <x v="1"/>
    <x v="0"/>
    <x v="0"/>
    <x v="0"/>
    <x v="0"/>
    <x v="0"/>
    <x v="0"/>
    <x v="7"/>
    <x v="14"/>
    <x v="17"/>
    <x v="17"/>
    <x v="17"/>
    <x v="2"/>
    <x v="1"/>
    <x v="7"/>
    <x v="1"/>
    <x v="2"/>
  </r>
  <r>
    <x v="158"/>
    <x v="158"/>
    <x v="2"/>
    <x v="2"/>
    <x v="1"/>
    <x v="2"/>
    <x v="13"/>
    <x v="11"/>
    <x v="2"/>
    <x v="15"/>
    <x v="2"/>
    <x v="2"/>
    <x v="2"/>
    <x v="2"/>
    <x v="2"/>
    <x v="2"/>
    <x v="2"/>
    <x v="1"/>
    <x v="15"/>
    <x v="18"/>
    <x v="18"/>
    <x v="18"/>
    <x v="2"/>
    <x v="13"/>
    <x v="1"/>
    <x v="13"/>
    <x v="4"/>
  </r>
  <r>
    <x v="159"/>
    <x v="159"/>
    <x v="0"/>
    <x v="3"/>
    <x v="2"/>
    <x v="8"/>
    <x v="14"/>
    <x v="8"/>
    <x v="0"/>
    <x v="16"/>
    <x v="0"/>
    <x v="0"/>
    <x v="0"/>
    <x v="0"/>
    <x v="0"/>
    <x v="0"/>
    <x v="0"/>
    <x v="2"/>
    <x v="16"/>
    <x v="19"/>
    <x v="19"/>
    <x v="19"/>
    <x v="2"/>
    <x v="14"/>
    <x v="2"/>
    <x v="14"/>
    <x v="3"/>
  </r>
</pivotCacheRecords>
</file>

<file path=xl/pivotCache/pivotCacheRecords5.xml><?xml version="1.0" encoding="utf-8"?>
<pivotCacheRecords xmlns="http://schemas.openxmlformats.org/spreadsheetml/2006/main" count="1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0"/>
    <x v="2"/>
    <x v="0"/>
    <x v="2"/>
    <x v="2"/>
    <x v="2"/>
    <x v="0"/>
    <x v="2"/>
    <x v="2"/>
    <x v="0"/>
    <x v="0"/>
    <x v="0"/>
    <x v="0"/>
    <x v="0"/>
    <x v="0"/>
    <x v="2"/>
    <x v="2"/>
    <x v="2"/>
    <x v="2"/>
    <x v="2"/>
    <x v="2"/>
    <x v="2"/>
    <x v="2"/>
    <x v="2"/>
    <x v="2"/>
  </r>
  <r>
    <x v="3"/>
    <x v="3"/>
    <x v="2"/>
    <x v="2"/>
    <x v="1"/>
    <x v="3"/>
    <x v="3"/>
    <x v="3"/>
    <x v="2"/>
    <x v="3"/>
    <x v="0"/>
    <x v="2"/>
    <x v="2"/>
    <x v="2"/>
    <x v="2"/>
    <x v="2"/>
    <x v="2"/>
    <x v="0"/>
    <x v="0"/>
    <x v="3"/>
    <x v="3"/>
    <x v="3"/>
    <x v="0"/>
    <x v="0"/>
    <x v="0"/>
    <x v="0"/>
    <x v="0"/>
  </r>
  <r>
    <x v="4"/>
    <x v="4"/>
    <x v="1"/>
    <x v="0"/>
    <x v="2"/>
    <x v="4"/>
    <x v="4"/>
    <x v="4"/>
    <x v="1"/>
    <x v="4"/>
    <x v="1"/>
    <x v="1"/>
    <x v="1"/>
    <x v="1"/>
    <x v="1"/>
    <x v="1"/>
    <x v="1"/>
    <x v="3"/>
    <x v="3"/>
    <x v="4"/>
    <x v="4"/>
    <x v="4"/>
    <x v="2"/>
    <x v="3"/>
    <x v="3"/>
    <x v="3"/>
    <x v="2"/>
  </r>
  <r>
    <x v="5"/>
    <x v="5"/>
    <x v="0"/>
    <x v="0"/>
    <x v="0"/>
    <x v="5"/>
    <x v="5"/>
    <x v="0"/>
    <x v="0"/>
    <x v="5"/>
    <x v="2"/>
    <x v="0"/>
    <x v="0"/>
    <x v="0"/>
    <x v="0"/>
    <x v="0"/>
    <x v="0"/>
    <x v="4"/>
    <x v="4"/>
    <x v="5"/>
    <x v="5"/>
    <x v="5"/>
    <x v="2"/>
    <x v="4"/>
    <x v="4"/>
    <x v="4"/>
    <x v="2"/>
  </r>
  <r>
    <x v="6"/>
    <x v="6"/>
    <x v="3"/>
    <x v="1"/>
    <x v="0"/>
    <x v="3"/>
    <x v="6"/>
    <x v="5"/>
    <x v="1"/>
    <x v="6"/>
    <x v="0"/>
    <x v="1"/>
    <x v="1"/>
    <x v="1"/>
    <x v="1"/>
    <x v="1"/>
    <x v="1"/>
    <x v="0"/>
    <x v="0"/>
    <x v="6"/>
    <x v="6"/>
    <x v="6"/>
    <x v="0"/>
    <x v="0"/>
    <x v="0"/>
    <x v="0"/>
    <x v="0"/>
  </r>
  <r>
    <x v="7"/>
    <x v="7"/>
    <x v="1"/>
    <x v="1"/>
    <x v="0"/>
    <x v="6"/>
    <x v="7"/>
    <x v="6"/>
    <x v="0"/>
    <x v="7"/>
    <x v="1"/>
    <x v="0"/>
    <x v="0"/>
    <x v="0"/>
    <x v="0"/>
    <x v="0"/>
    <x v="0"/>
    <x v="3"/>
    <x v="5"/>
    <x v="7"/>
    <x v="7"/>
    <x v="7"/>
    <x v="2"/>
    <x v="5"/>
    <x v="3"/>
    <x v="5"/>
    <x v="3"/>
  </r>
  <r>
    <x v="8"/>
    <x v="8"/>
    <x v="2"/>
    <x v="2"/>
    <x v="1"/>
    <x v="7"/>
    <x v="8"/>
    <x v="7"/>
    <x v="2"/>
    <x v="8"/>
    <x v="2"/>
    <x v="2"/>
    <x v="2"/>
    <x v="2"/>
    <x v="2"/>
    <x v="2"/>
    <x v="2"/>
    <x v="4"/>
    <x v="6"/>
    <x v="8"/>
    <x v="8"/>
    <x v="8"/>
    <x v="2"/>
    <x v="6"/>
    <x v="4"/>
    <x v="6"/>
    <x v="3"/>
  </r>
  <r>
    <x v="9"/>
    <x v="9"/>
    <x v="0"/>
    <x v="3"/>
    <x v="2"/>
    <x v="5"/>
    <x v="9"/>
    <x v="8"/>
    <x v="0"/>
    <x v="1"/>
    <x v="0"/>
    <x v="0"/>
    <x v="0"/>
    <x v="0"/>
    <x v="0"/>
    <x v="0"/>
    <x v="0"/>
    <x v="1"/>
    <x v="1"/>
    <x v="9"/>
    <x v="9"/>
    <x v="9"/>
    <x v="2"/>
    <x v="1"/>
    <x v="1"/>
    <x v="1"/>
    <x v="1"/>
  </r>
  <r>
    <x v="10"/>
    <x v="10"/>
    <x v="0"/>
    <x v="0"/>
    <x v="0"/>
    <x v="2"/>
    <x v="2"/>
    <x v="0"/>
    <x v="0"/>
    <x v="9"/>
    <x v="1"/>
    <x v="0"/>
    <x v="0"/>
    <x v="0"/>
    <x v="0"/>
    <x v="0"/>
    <x v="0"/>
    <x v="3"/>
    <x v="7"/>
    <x v="10"/>
    <x v="10"/>
    <x v="10"/>
    <x v="2"/>
    <x v="7"/>
    <x v="3"/>
    <x v="7"/>
    <x v="3"/>
  </r>
  <r>
    <x v="11"/>
    <x v="11"/>
    <x v="1"/>
    <x v="1"/>
    <x v="0"/>
    <x v="6"/>
    <x v="7"/>
    <x v="6"/>
    <x v="1"/>
    <x v="7"/>
    <x v="2"/>
    <x v="1"/>
    <x v="1"/>
    <x v="1"/>
    <x v="1"/>
    <x v="1"/>
    <x v="1"/>
    <x v="5"/>
    <x v="8"/>
    <x v="11"/>
    <x v="11"/>
    <x v="11"/>
    <x v="2"/>
    <x v="5"/>
    <x v="5"/>
    <x v="5"/>
    <x v="3"/>
  </r>
  <r>
    <x v="12"/>
    <x v="12"/>
    <x v="0"/>
    <x v="2"/>
    <x v="0"/>
    <x v="0"/>
    <x v="0"/>
    <x v="2"/>
    <x v="0"/>
    <x v="10"/>
    <x v="0"/>
    <x v="0"/>
    <x v="0"/>
    <x v="0"/>
    <x v="0"/>
    <x v="0"/>
    <x v="0"/>
    <x v="1"/>
    <x v="9"/>
    <x v="12"/>
    <x v="12"/>
    <x v="12"/>
    <x v="2"/>
    <x v="8"/>
    <x v="1"/>
    <x v="8"/>
    <x v="1"/>
  </r>
  <r>
    <x v="13"/>
    <x v="13"/>
    <x v="2"/>
    <x v="2"/>
    <x v="1"/>
    <x v="5"/>
    <x v="10"/>
    <x v="9"/>
    <x v="2"/>
    <x v="11"/>
    <x v="1"/>
    <x v="2"/>
    <x v="2"/>
    <x v="2"/>
    <x v="2"/>
    <x v="2"/>
    <x v="2"/>
    <x v="3"/>
    <x v="10"/>
    <x v="13"/>
    <x v="13"/>
    <x v="13"/>
    <x v="2"/>
    <x v="9"/>
    <x v="3"/>
    <x v="9"/>
    <x v="3"/>
  </r>
  <r>
    <x v="14"/>
    <x v="14"/>
    <x v="1"/>
    <x v="0"/>
    <x v="2"/>
    <x v="7"/>
    <x v="11"/>
    <x v="9"/>
    <x v="1"/>
    <x v="12"/>
    <x v="2"/>
    <x v="1"/>
    <x v="1"/>
    <x v="1"/>
    <x v="1"/>
    <x v="1"/>
    <x v="1"/>
    <x v="6"/>
    <x v="11"/>
    <x v="14"/>
    <x v="14"/>
    <x v="14"/>
    <x v="2"/>
    <x v="10"/>
    <x v="6"/>
    <x v="10"/>
    <x v="3"/>
  </r>
  <r>
    <x v="15"/>
    <x v="15"/>
    <x v="0"/>
    <x v="0"/>
    <x v="0"/>
    <x v="8"/>
    <x v="12"/>
    <x v="0"/>
    <x v="0"/>
    <x v="13"/>
    <x v="0"/>
    <x v="0"/>
    <x v="0"/>
    <x v="0"/>
    <x v="0"/>
    <x v="0"/>
    <x v="0"/>
    <x v="1"/>
    <x v="12"/>
    <x v="15"/>
    <x v="15"/>
    <x v="15"/>
    <x v="2"/>
    <x v="11"/>
    <x v="1"/>
    <x v="11"/>
    <x v="4"/>
  </r>
  <r>
    <x v="16"/>
    <x v="16"/>
    <x v="3"/>
    <x v="1"/>
    <x v="0"/>
    <x v="5"/>
    <x v="5"/>
    <x v="10"/>
    <x v="1"/>
    <x v="14"/>
    <x v="1"/>
    <x v="1"/>
    <x v="1"/>
    <x v="1"/>
    <x v="1"/>
    <x v="1"/>
    <x v="1"/>
    <x v="2"/>
    <x v="13"/>
    <x v="16"/>
    <x v="16"/>
    <x v="16"/>
    <x v="2"/>
    <x v="12"/>
    <x v="2"/>
    <x v="12"/>
    <x v="2"/>
  </r>
  <r>
    <x v="17"/>
    <x v="17"/>
    <x v="1"/>
    <x v="1"/>
    <x v="0"/>
    <x v="1"/>
    <x v="1"/>
    <x v="1"/>
    <x v="0"/>
    <x v="1"/>
    <x v="2"/>
    <x v="0"/>
    <x v="0"/>
    <x v="0"/>
    <x v="0"/>
    <x v="0"/>
    <x v="0"/>
    <x v="7"/>
    <x v="14"/>
    <x v="17"/>
    <x v="17"/>
    <x v="17"/>
    <x v="2"/>
    <x v="1"/>
    <x v="7"/>
    <x v="1"/>
    <x v="2"/>
  </r>
  <r>
    <x v="18"/>
    <x v="18"/>
    <x v="2"/>
    <x v="2"/>
    <x v="1"/>
    <x v="2"/>
    <x v="13"/>
    <x v="11"/>
    <x v="2"/>
    <x v="15"/>
    <x v="0"/>
    <x v="2"/>
    <x v="2"/>
    <x v="2"/>
    <x v="2"/>
    <x v="2"/>
    <x v="2"/>
    <x v="1"/>
    <x v="15"/>
    <x v="18"/>
    <x v="18"/>
    <x v="18"/>
    <x v="2"/>
    <x v="13"/>
    <x v="1"/>
    <x v="13"/>
    <x v="4"/>
  </r>
  <r>
    <x v="19"/>
    <x v="19"/>
    <x v="0"/>
    <x v="3"/>
    <x v="2"/>
    <x v="8"/>
    <x v="14"/>
    <x v="8"/>
    <x v="0"/>
    <x v="16"/>
    <x v="1"/>
    <x v="0"/>
    <x v="0"/>
    <x v="0"/>
    <x v="0"/>
    <x v="0"/>
    <x v="0"/>
    <x v="2"/>
    <x v="16"/>
    <x v="19"/>
    <x v="19"/>
    <x v="19"/>
    <x v="2"/>
    <x v="14"/>
    <x v="2"/>
    <x v="14"/>
    <x v="3"/>
  </r>
  <r>
    <x v="20"/>
    <x v="2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21"/>
    <x v="21"/>
    <x v="1"/>
    <x v="1"/>
    <x v="0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22"/>
    <x v="22"/>
    <x v="0"/>
    <x v="2"/>
    <x v="0"/>
    <x v="2"/>
    <x v="2"/>
    <x v="2"/>
    <x v="0"/>
    <x v="2"/>
    <x v="1"/>
    <x v="0"/>
    <x v="0"/>
    <x v="0"/>
    <x v="0"/>
    <x v="0"/>
    <x v="0"/>
    <x v="2"/>
    <x v="2"/>
    <x v="2"/>
    <x v="2"/>
    <x v="2"/>
    <x v="2"/>
    <x v="2"/>
    <x v="2"/>
    <x v="2"/>
    <x v="2"/>
  </r>
  <r>
    <x v="23"/>
    <x v="23"/>
    <x v="2"/>
    <x v="2"/>
    <x v="1"/>
    <x v="3"/>
    <x v="3"/>
    <x v="3"/>
    <x v="2"/>
    <x v="3"/>
    <x v="2"/>
    <x v="2"/>
    <x v="2"/>
    <x v="2"/>
    <x v="2"/>
    <x v="2"/>
    <x v="2"/>
    <x v="0"/>
    <x v="0"/>
    <x v="3"/>
    <x v="3"/>
    <x v="3"/>
    <x v="0"/>
    <x v="0"/>
    <x v="0"/>
    <x v="0"/>
    <x v="0"/>
  </r>
  <r>
    <x v="24"/>
    <x v="24"/>
    <x v="1"/>
    <x v="0"/>
    <x v="2"/>
    <x v="4"/>
    <x v="4"/>
    <x v="4"/>
    <x v="1"/>
    <x v="4"/>
    <x v="0"/>
    <x v="1"/>
    <x v="1"/>
    <x v="1"/>
    <x v="1"/>
    <x v="1"/>
    <x v="1"/>
    <x v="3"/>
    <x v="3"/>
    <x v="4"/>
    <x v="4"/>
    <x v="4"/>
    <x v="2"/>
    <x v="3"/>
    <x v="3"/>
    <x v="3"/>
    <x v="2"/>
  </r>
  <r>
    <x v="25"/>
    <x v="25"/>
    <x v="0"/>
    <x v="0"/>
    <x v="0"/>
    <x v="5"/>
    <x v="5"/>
    <x v="0"/>
    <x v="0"/>
    <x v="5"/>
    <x v="1"/>
    <x v="0"/>
    <x v="0"/>
    <x v="0"/>
    <x v="0"/>
    <x v="0"/>
    <x v="0"/>
    <x v="4"/>
    <x v="4"/>
    <x v="5"/>
    <x v="5"/>
    <x v="5"/>
    <x v="2"/>
    <x v="4"/>
    <x v="4"/>
    <x v="4"/>
    <x v="2"/>
  </r>
  <r>
    <x v="26"/>
    <x v="26"/>
    <x v="3"/>
    <x v="1"/>
    <x v="0"/>
    <x v="3"/>
    <x v="6"/>
    <x v="5"/>
    <x v="1"/>
    <x v="6"/>
    <x v="2"/>
    <x v="1"/>
    <x v="1"/>
    <x v="1"/>
    <x v="1"/>
    <x v="1"/>
    <x v="1"/>
    <x v="0"/>
    <x v="0"/>
    <x v="6"/>
    <x v="6"/>
    <x v="6"/>
    <x v="0"/>
    <x v="0"/>
    <x v="0"/>
    <x v="0"/>
    <x v="0"/>
  </r>
  <r>
    <x v="27"/>
    <x v="27"/>
    <x v="1"/>
    <x v="1"/>
    <x v="0"/>
    <x v="6"/>
    <x v="7"/>
    <x v="6"/>
    <x v="0"/>
    <x v="7"/>
    <x v="0"/>
    <x v="0"/>
    <x v="0"/>
    <x v="0"/>
    <x v="0"/>
    <x v="0"/>
    <x v="0"/>
    <x v="3"/>
    <x v="5"/>
    <x v="7"/>
    <x v="7"/>
    <x v="7"/>
    <x v="2"/>
    <x v="5"/>
    <x v="3"/>
    <x v="5"/>
    <x v="3"/>
  </r>
  <r>
    <x v="28"/>
    <x v="28"/>
    <x v="2"/>
    <x v="2"/>
    <x v="1"/>
    <x v="7"/>
    <x v="8"/>
    <x v="7"/>
    <x v="2"/>
    <x v="8"/>
    <x v="1"/>
    <x v="2"/>
    <x v="2"/>
    <x v="2"/>
    <x v="2"/>
    <x v="2"/>
    <x v="2"/>
    <x v="4"/>
    <x v="6"/>
    <x v="8"/>
    <x v="8"/>
    <x v="8"/>
    <x v="2"/>
    <x v="6"/>
    <x v="4"/>
    <x v="6"/>
    <x v="3"/>
  </r>
  <r>
    <x v="29"/>
    <x v="29"/>
    <x v="0"/>
    <x v="3"/>
    <x v="2"/>
    <x v="5"/>
    <x v="9"/>
    <x v="8"/>
    <x v="0"/>
    <x v="1"/>
    <x v="2"/>
    <x v="0"/>
    <x v="0"/>
    <x v="0"/>
    <x v="0"/>
    <x v="0"/>
    <x v="0"/>
    <x v="1"/>
    <x v="1"/>
    <x v="9"/>
    <x v="9"/>
    <x v="9"/>
    <x v="2"/>
    <x v="1"/>
    <x v="1"/>
    <x v="1"/>
    <x v="1"/>
  </r>
  <r>
    <x v="30"/>
    <x v="30"/>
    <x v="0"/>
    <x v="0"/>
    <x v="0"/>
    <x v="2"/>
    <x v="2"/>
    <x v="0"/>
    <x v="0"/>
    <x v="9"/>
    <x v="0"/>
    <x v="0"/>
    <x v="0"/>
    <x v="0"/>
    <x v="0"/>
    <x v="0"/>
    <x v="0"/>
    <x v="3"/>
    <x v="7"/>
    <x v="10"/>
    <x v="10"/>
    <x v="10"/>
    <x v="2"/>
    <x v="7"/>
    <x v="3"/>
    <x v="7"/>
    <x v="3"/>
  </r>
  <r>
    <x v="31"/>
    <x v="31"/>
    <x v="1"/>
    <x v="1"/>
    <x v="0"/>
    <x v="6"/>
    <x v="7"/>
    <x v="6"/>
    <x v="1"/>
    <x v="7"/>
    <x v="1"/>
    <x v="1"/>
    <x v="1"/>
    <x v="1"/>
    <x v="1"/>
    <x v="1"/>
    <x v="1"/>
    <x v="5"/>
    <x v="8"/>
    <x v="11"/>
    <x v="11"/>
    <x v="11"/>
    <x v="2"/>
    <x v="5"/>
    <x v="5"/>
    <x v="5"/>
    <x v="3"/>
  </r>
  <r>
    <x v="32"/>
    <x v="32"/>
    <x v="0"/>
    <x v="2"/>
    <x v="0"/>
    <x v="0"/>
    <x v="0"/>
    <x v="2"/>
    <x v="0"/>
    <x v="10"/>
    <x v="2"/>
    <x v="0"/>
    <x v="0"/>
    <x v="0"/>
    <x v="0"/>
    <x v="0"/>
    <x v="0"/>
    <x v="1"/>
    <x v="9"/>
    <x v="12"/>
    <x v="12"/>
    <x v="12"/>
    <x v="2"/>
    <x v="8"/>
    <x v="1"/>
    <x v="8"/>
    <x v="1"/>
  </r>
  <r>
    <x v="33"/>
    <x v="33"/>
    <x v="2"/>
    <x v="2"/>
    <x v="1"/>
    <x v="5"/>
    <x v="10"/>
    <x v="9"/>
    <x v="2"/>
    <x v="11"/>
    <x v="0"/>
    <x v="2"/>
    <x v="2"/>
    <x v="2"/>
    <x v="2"/>
    <x v="2"/>
    <x v="2"/>
    <x v="3"/>
    <x v="10"/>
    <x v="13"/>
    <x v="13"/>
    <x v="13"/>
    <x v="2"/>
    <x v="9"/>
    <x v="3"/>
    <x v="9"/>
    <x v="3"/>
  </r>
  <r>
    <x v="34"/>
    <x v="34"/>
    <x v="1"/>
    <x v="0"/>
    <x v="2"/>
    <x v="7"/>
    <x v="11"/>
    <x v="9"/>
    <x v="1"/>
    <x v="12"/>
    <x v="1"/>
    <x v="1"/>
    <x v="1"/>
    <x v="1"/>
    <x v="1"/>
    <x v="1"/>
    <x v="1"/>
    <x v="6"/>
    <x v="11"/>
    <x v="14"/>
    <x v="14"/>
    <x v="14"/>
    <x v="2"/>
    <x v="10"/>
    <x v="6"/>
    <x v="10"/>
    <x v="3"/>
  </r>
  <r>
    <x v="35"/>
    <x v="35"/>
    <x v="0"/>
    <x v="0"/>
    <x v="0"/>
    <x v="8"/>
    <x v="12"/>
    <x v="0"/>
    <x v="0"/>
    <x v="13"/>
    <x v="2"/>
    <x v="0"/>
    <x v="0"/>
    <x v="0"/>
    <x v="0"/>
    <x v="0"/>
    <x v="0"/>
    <x v="1"/>
    <x v="12"/>
    <x v="15"/>
    <x v="15"/>
    <x v="15"/>
    <x v="2"/>
    <x v="11"/>
    <x v="1"/>
    <x v="11"/>
    <x v="4"/>
  </r>
  <r>
    <x v="36"/>
    <x v="36"/>
    <x v="3"/>
    <x v="1"/>
    <x v="0"/>
    <x v="5"/>
    <x v="5"/>
    <x v="10"/>
    <x v="1"/>
    <x v="14"/>
    <x v="0"/>
    <x v="1"/>
    <x v="1"/>
    <x v="1"/>
    <x v="1"/>
    <x v="1"/>
    <x v="1"/>
    <x v="2"/>
    <x v="13"/>
    <x v="16"/>
    <x v="16"/>
    <x v="16"/>
    <x v="2"/>
    <x v="12"/>
    <x v="2"/>
    <x v="12"/>
    <x v="2"/>
  </r>
  <r>
    <x v="37"/>
    <x v="37"/>
    <x v="1"/>
    <x v="1"/>
    <x v="0"/>
    <x v="1"/>
    <x v="1"/>
    <x v="1"/>
    <x v="0"/>
    <x v="1"/>
    <x v="1"/>
    <x v="0"/>
    <x v="0"/>
    <x v="0"/>
    <x v="0"/>
    <x v="0"/>
    <x v="0"/>
    <x v="7"/>
    <x v="14"/>
    <x v="17"/>
    <x v="17"/>
    <x v="17"/>
    <x v="2"/>
    <x v="1"/>
    <x v="7"/>
    <x v="1"/>
    <x v="2"/>
  </r>
  <r>
    <x v="38"/>
    <x v="38"/>
    <x v="2"/>
    <x v="2"/>
    <x v="1"/>
    <x v="2"/>
    <x v="13"/>
    <x v="11"/>
    <x v="2"/>
    <x v="15"/>
    <x v="2"/>
    <x v="2"/>
    <x v="2"/>
    <x v="2"/>
    <x v="2"/>
    <x v="2"/>
    <x v="2"/>
    <x v="1"/>
    <x v="15"/>
    <x v="18"/>
    <x v="18"/>
    <x v="18"/>
    <x v="2"/>
    <x v="13"/>
    <x v="1"/>
    <x v="13"/>
    <x v="4"/>
  </r>
  <r>
    <x v="39"/>
    <x v="39"/>
    <x v="0"/>
    <x v="3"/>
    <x v="2"/>
    <x v="8"/>
    <x v="14"/>
    <x v="8"/>
    <x v="0"/>
    <x v="16"/>
    <x v="0"/>
    <x v="0"/>
    <x v="0"/>
    <x v="0"/>
    <x v="0"/>
    <x v="0"/>
    <x v="0"/>
    <x v="2"/>
    <x v="16"/>
    <x v="19"/>
    <x v="19"/>
    <x v="19"/>
    <x v="2"/>
    <x v="14"/>
    <x v="2"/>
    <x v="14"/>
    <x v="3"/>
  </r>
  <r>
    <x v="40"/>
    <x v="4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41"/>
    <x v="41"/>
    <x v="1"/>
    <x v="1"/>
    <x v="0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</r>
  <r>
    <x v="42"/>
    <x v="42"/>
    <x v="0"/>
    <x v="2"/>
    <x v="0"/>
    <x v="2"/>
    <x v="2"/>
    <x v="2"/>
    <x v="0"/>
    <x v="2"/>
    <x v="0"/>
    <x v="0"/>
    <x v="0"/>
    <x v="0"/>
    <x v="0"/>
    <x v="0"/>
    <x v="0"/>
    <x v="2"/>
    <x v="2"/>
    <x v="2"/>
    <x v="2"/>
    <x v="2"/>
    <x v="2"/>
    <x v="2"/>
    <x v="2"/>
    <x v="2"/>
    <x v="2"/>
  </r>
  <r>
    <x v="43"/>
    <x v="43"/>
    <x v="2"/>
    <x v="2"/>
    <x v="1"/>
    <x v="3"/>
    <x v="3"/>
    <x v="3"/>
    <x v="2"/>
    <x v="3"/>
    <x v="1"/>
    <x v="2"/>
    <x v="2"/>
    <x v="2"/>
    <x v="2"/>
    <x v="2"/>
    <x v="2"/>
    <x v="0"/>
    <x v="0"/>
    <x v="3"/>
    <x v="3"/>
    <x v="3"/>
    <x v="0"/>
    <x v="0"/>
    <x v="0"/>
    <x v="0"/>
    <x v="0"/>
  </r>
  <r>
    <x v="44"/>
    <x v="44"/>
    <x v="1"/>
    <x v="0"/>
    <x v="2"/>
    <x v="4"/>
    <x v="4"/>
    <x v="4"/>
    <x v="1"/>
    <x v="4"/>
    <x v="2"/>
    <x v="1"/>
    <x v="1"/>
    <x v="1"/>
    <x v="1"/>
    <x v="1"/>
    <x v="1"/>
    <x v="3"/>
    <x v="3"/>
    <x v="4"/>
    <x v="4"/>
    <x v="4"/>
    <x v="2"/>
    <x v="3"/>
    <x v="3"/>
    <x v="3"/>
    <x v="2"/>
  </r>
  <r>
    <x v="45"/>
    <x v="45"/>
    <x v="0"/>
    <x v="0"/>
    <x v="0"/>
    <x v="5"/>
    <x v="5"/>
    <x v="0"/>
    <x v="0"/>
    <x v="5"/>
    <x v="0"/>
    <x v="0"/>
    <x v="0"/>
    <x v="0"/>
    <x v="0"/>
    <x v="0"/>
    <x v="0"/>
    <x v="4"/>
    <x v="4"/>
    <x v="5"/>
    <x v="5"/>
    <x v="5"/>
    <x v="2"/>
    <x v="4"/>
    <x v="4"/>
    <x v="4"/>
    <x v="2"/>
  </r>
  <r>
    <x v="46"/>
    <x v="46"/>
    <x v="3"/>
    <x v="1"/>
    <x v="0"/>
    <x v="3"/>
    <x v="6"/>
    <x v="5"/>
    <x v="1"/>
    <x v="6"/>
    <x v="1"/>
    <x v="1"/>
    <x v="1"/>
    <x v="1"/>
    <x v="1"/>
    <x v="1"/>
    <x v="1"/>
    <x v="0"/>
    <x v="0"/>
    <x v="6"/>
    <x v="6"/>
    <x v="6"/>
    <x v="0"/>
    <x v="0"/>
    <x v="0"/>
    <x v="0"/>
    <x v="0"/>
  </r>
  <r>
    <x v="47"/>
    <x v="47"/>
    <x v="1"/>
    <x v="1"/>
    <x v="0"/>
    <x v="6"/>
    <x v="7"/>
    <x v="6"/>
    <x v="0"/>
    <x v="7"/>
    <x v="2"/>
    <x v="0"/>
    <x v="0"/>
    <x v="0"/>
    <x v="0"/>
    <x v="0"/>
    <x v="0"/>
    <x v="3"/>
    <x v="5"/>
    <x v="7"/>
    <x v="7"/>
    <x v="7"/>
    <x v="2"/>
    <x v="5"/>
    <x v="3"/>
    <x v="5"/>
    <x v="3"/>
  </r>
  <r>
    <x v="48"/>
    <x v="48"/>
    <x v="2"/>
    <x v="2"/>
    <x v="1"/>
    <x v="7"/>
    <x v="8"/>
    <x v="7"/>
    <x v="2"/>
    <x v="8"/>
    <x v="0"/>
    <x v="2"/>
    <x v="2"/>
    <x v="2"/>
    <x v="2"/>
    <x v="2"/>
    <x v="2"/>
    <x v="4"/>
    <x v="6"/>
    <x v="8"/>
    <x v="8"/>
    <x v="8"/>
    <x v="2"/>
    <x v="6"/>
    <x v="4"/>
    <x v="6"/>
    <x v="3"/>
  </r>
  <r>
    <x v="49"/>
    <x v="49"/>
    <x v="0"/>
    <x v="3"/>
    <x v="2"/>
    <x v="5"/>
    <x v="9"/>
    <x v="8"/>
    <x v="0"/>
    <x v="1"/>
    <x v="1"/>
    <x v="0"/>
    <x v="0"/>
    <x v="0"/>
    <x v="0"/>
    <x v="0"/>
    <x v="0"/>
    <x v="1"/>
    <x v="1"/>
    <x v="9"/>
    <x v="9"/>
    <x v="9"/>
    <x v="2"/>
    <x v="1"/>
    <x v="1"/>
    <x v="1"/>
    <x v="1"/>
  </r>
  <r>
    <x v="50"/>
    <x v="50"/>
    <x v="0"/>
    <x v="0"/>
    <x v="0"/>
    <x v="2"/>
    <x v="2"/>
    <x v="0"/>
    <x v="0"/>
    <x v="9"/>
    <x v="2"/>
    <x v="0"/>
    <x v="0"/>
    <x v="0"/>
    <x v="0"/>
    <x v="0"/>
    <x v="0"/>
    <x v="3"/>
    <x v="7"/>
    <x v="10"/>
    <x v="10"/>
    <x v="10"/>
    <x v="2"/>
    <x v="7"/>
    <x v="3"/>
    <x v="7"/>
    <x v="3"/>
  </r>
  <r>
    <x v="51"/>
    <x v="51"/>
    <x v="1"/>
    <x v="1"/>
    <x v="0"/>
    <x v="6"/>
    <x v="7"/>
    <x v="6"/>
    <x v="1"/>
    <x v="7"/>
    <x v="0"/>
    <x v="1"/>
    <x v="1"/>
    <x v="1"/>
    <x v="1"/>
    <x v="1"/>
    <x v="1"/>
    <x v="5"/>
    <x v="8"/>
    <x v="11"/>
    <x v="11"/>
    <x v="11"/>
    <x v="2"/>
    <x v="5"/>
    <x v="5"/>
    <x v="5"/>
    <x v="3"/>
  </r>
  <r>
    <x v="52"/>
    <x v="52"/>
    <x v="0"/>
    <x v="2"/>
    <x v="0"/>
    <x v="0"/>
    <x v="0"/>
    <x v="2"/>
    <x v="0"/>
    <x v="10"/>
    <x v="1"/>
    <x v="0"/>
    <x v="0"/>
    <x v="0"/>
    <x v="0"/>
    <x v="0"/>
    <x v="0"/>
    <x v="1"/>
    <x v="9"/>
    <x v="12"/>
    <x v="12"/>
    <x v="12"/>
    <x v="2"/>
    <x v="8"/>
    <x v="1"/>
    <x v="8"/>
    <x v="1"/>
  </r>
  <r>
    <x v="53"/>
    <x v="53"/>
    <x v="2"/>
    <x v="2"/>
    <x v="1"/>
    <x v="5"/>
    <x v="10"/>
    <x v="9"/>
    <x v="2"/>
    <x v="11"/>
    <x v="2"/>
    <x v="2"/>
    <x v="2"/>
    <x v="2"/>
    <x v="2"/>
    <x v="2"/>
    <x v="2"/>
    <x v="3"/>
    <x v="10"/>
    <x v="13"/>
    <x v="13"/>
    <x v="13"/>
    <x v="2"/>
    <x v="9"/>
    <x v="3"/>
    <x v="9"/>
    <x v="3"/>
  </r>
  <r>
    <x v="54"/>
    <x v="54"/>
    <x v="1"/>
    <x v="0"/>
    <x v="2"/>
    <x v="7"/>
    <x v="11"/>
    <x v="9"/>
    <x v="1"/>
    <x v="12"/>
    <x v="0"/>
    <x v="1"/>
    <x v="1"/>
    <x v="1"/>
    <x v="1"/>
    <x v="1"/>
    <x v="1"/>
    <x v="6"/>
    <x v="11"/>
    <x v="14"/>
    <x v="14"/>
    <x v="14"/>
    <x v="2"/>
    <x v="10"/>
    <x v="6"/>
    <x v="10"/>
    <x v="3"/>
  </r>
  <r>
    <x v="55"/>
    <x v="55"/>
    <x v="0"/>
    <x v="0"/>
    <x v="0"/>
    <x v="8"/>
    <x v="12"/>
    <x v="0"/>
    <x v="0"/>
    <x v="13"/>
    <x v="1"/>
    <x v="0"/>
    <x v="0"/>
    <x v="0"/>
    <x v="0"/>
    <x v="0"/>
    <x v="0"/>
    <x v="1"/>
    <x v="12"/>
    <x v="15"/>
    <x v="15"/>
    <x v="15"/>
    <x v="2"/>
    <x v="11"/>
    <x v="1"/>
    <x v="11"/>
    <x v="4"/>
  </r>
  <r>
    <x v="56"/>
    <x v="56"/>
    <x v="3"/>
    <x v="1"/>
    <x v="0"/>
    <x v="5"/>
    <x v="5"/>
    <x v="10"/>
    <x v="1"/>
    <x v="14"/>
    <x v="2"/>
    <x v="1"/>
    <x v="1"/>
    <x v="1"/>
    <x v="1"/>
    <x v="1"/>
    <x v="1"/>
    <x v="2"/>
    <x v="13"/>
    <x v="16"/>
    <x v="16"/>
    <x v="16"/>
    <x v="2"/>
    <x v="12"/>
    <x v="2"/>
    <x v="12"/>
    <x v="2"/>
  </r>
  <r>
    <x v="57"/>
    <x v="57"/>
    <x v="1"/>
    <x v="1"/>
    <x v="0"/>
    <x v="1"/>
    <x v="1"/>
    <x v="1"/>
    <x v="0"/>
    <x v="1"/>
    <x v="0"/>
    <x v="0"/>
    <x v="0"/>
    <x v="0"/>
    <x v="0"/>
    <x v="0"/>
    <x v="0"/>
    <x v="7"/>
    <x v="14"/>
    <x v="17"/>
    <x v="17"/>
    <x v="17"/>
    <x v="2"/>
    <x v="1"/>
    <x v="7"/>
    <x v="1"/>
    <x v="2"/>
  </r>
  <r>
    <x v="58"/>
    <x v="58"/>
    <x v="2"/>
    <x v="2"/>
    <x v="1"/>
    <x v="2"/>
    <x v="13"/>
    <x v="11"/>
    <x v="2"/>
    <x v="15"/>
    <x v="1"/>
    <x v="2"/>
    <x v="2"/>
    <x v="2"/>
    <x v="2"/>
    <x v="2"/>
    <x v="2"/>
    <x v="1"/>
    <x v="15"/>
    <x v="18"/>
    <x v="18"/>
    <x v="18"/>
    <x v="2"/>
    <x v="13"/>
    <x v="1"/>
    <x v="13"/>
    <x v="4"/>
  </r>
  <r>
    <x v="59"/>
    <x v="59"/>
    <x v="0"/>
    <x v="3"/>
    <x v="2"/>
    <x v="8"/>
    <x v="14"/>
    <x v="8"/>
    <x v="0"/>
    <x v="16"/>
    <x v="2"/>
    <x v="0"/>
    <x v="0"/>
    <x v="0"/>
    <x v="0"/>
    <x v="0"/>
    <x v="0"/>
    <x v="2"/>
    <x v="16"/>
    <x v="19"/>
    <x v="19"/>
    <x v="19"/>
    <x v="2"/>
    <x v="14"/>
    <x v="2"/>
    <x v="14"/>
    <x v="3"/>
  </r>
  <r>
    <x v="60"/>
    <x v="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"/>
    <x v="6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62"/>
    <x v="62"/>
    <x v="0"/>
    <x v="2"/>
    <x v="0"/>
    <x v="2"/>
    <x v="2"/>
    <x v="2"/>
    <x v="0"/>
    <x v="2"/>
    <x v="2"/>
    <x v="0"/>
    <x v="0"/>
    <x v="0"/>
    <x v="0"/>
    <x v="0"/>
    <x v="0"/>
    <x v="2"/>
    <x v="2"/>
    <x v="2"/>
    <x v="2"/>
    <x v="2"/>
    <x v="2"/>
    <x v="2"/>
    <x v="2"/>
    <x v="2"/>
    <x v="2"/>
  </r>
  <r>
    <x v="63"/>
    <x v="63"/>
    <x v="2"/>
    <x v="2"/>
    <x v="1"/>
    <x v="3"/>
    <x v="3"/>
    <x v="3"/>
    <x v="2"/>
    <x v="3"/>
    <x v="0"/>
    <x v="2"/>
    <x v="2"/>
    <x v="2"/>
    <x v="2"/>
    <x v="2"/>
    <x v="2"/>
    <x v="0"/>
    <x v="0"/>
    <x v="3"/>
    <x v="3"/>
    <x v="3"/>
    <x v="0"/>
    <x v="0"/>
    <x v="0"/>
    <x v="0"/>
    <x v="0"/>
  </r>
  <r>
    <x v="64"/>
    <x v="64"/>
    <x v="1"/>
    <x v="0"/>
    <x v="2"/>
    <x v="4"/>
    <x v="4"/>
    <x v="4"/>
    <x v="1"/>
    <x v="4"/>
    <x v="1"/>
    <x v="1"/>
    <x v="1"/>
    <x v="1"/>
    <x v="1"/>
    <x v="1"/>
    <x v="1"/>
    <x v="3"/>
    <x v="3"/>
    <x v="4"/>
    <x v="4"/>
    <x v="4"/>
    <x v="2"/>
    <x v="3"/>
    <x v="3"/>
    <x v="3"/>
    <x v="2"/>
  </r>
  <r>
    <x v="65"/>
    <x v="65"/>
    <x v="0"/>
    <x v="0"/>
    <x v="0"/>
    <x v="5"/>
    <x v="5"/>
    <x v="0"/>
    <x v="0"/>
    <x v="5"/>
    <x v="2"/>
    <x v="0"/>
    <x v="0"/>
    <x v="0"/>
    <x v="0"/>
    <x v="0"/>
    <x v="0"/>
    <x v="4"/>
    <x v="4"/>
    <x v="5"/>
    <x v="5"/>
    <x v="5"/>
    <x v="2"/>
    <x v="4"/>
    <x v="4"/>
    <x v="4"/>
    <x v="2"/>
  </r>
  <r>
    <x v="66"/>
    <x v="66"/>
    <x v="3"/>
    <x v="1"/>
    <x v="0"/>
    <x v="3"/>
    <x v="6"/>
    <x v="5"/>
    <x v="1"/>
    <x v="6"/>
    <x v="0"/>
    <x v="1"/>
    <x v="1"/>
    <x v="1"/>
    <x v="1"/>
    <x v="1"/>
    <x v="1"/>
    <x v="0"/>
    <x v="0"/>
    <x v="6"/>
    <x v="6"/>
    <x v="6"/>
    <x v="0"/>
    <x v="0"/>
    <x v="0"/>
    <x v="0"/>
    <x v="0"/>
  </r>
  <r>
    <x v="67"/>
    <x v="67"/>
    <x v="1"/>
    <x v="1"/>
    <x v="0"/>
    <x v="6"/>
    <x v="7"/>
    <x v="6"/>
    <x v="0"/>
    <x v="7"/>
    <x v="1"/>
    <x v="0"/>
    <x v="0"/>
    <x v="0"/>
    <x v="0"/>
    <x v="0"/>
    <x v="0"/>
    <x v="3"/>
    <x v="5"/>
    <x v="7"/>
    <x v="7"/>
    <x v="7"/>
    <x v="2"/>
    <x v="5"/>
    <x v="3"/>
    <x v="5"/>
    <x v="3"/>
  </r>
  <r>
    <x v="68"/>
    <x v="68"/>
    <x v="2"/>
    <x v="2"/>
    <x v="1"/>
    <x v="7"/>
    <x v="8"/>
    <x v="7"/>
    <x v="2"/>
    <x v="8"/>
    <x v="2"/>
    <x v="2"/>
    <x v="2"/>
    <x v="2"/>
    <x v="2"/>
    <x v="2"/>
    <x v="2"/>
    <x v="4"/>
    <x v="6"/>
    <x v="8"/>
    <x v="8"/>
    <x v="8"/>
    <x v="2"/>
    <x v="6"/>
    <x v="4"/>
    <x v="6"/>
    <x v="3"/>
  </r>
  <r>
    <x v="69"/>
    <x v="69"/>
    <x v="0"/>
    <x v="3"/>
    <x v="2"/>
    <x v="5"/>
    <x v="9"/>
    <x v="8"/>
    <x v="0"/>
    <x v="1"/>
    <x v="0"/>
    <x v="0"/>
    <x v="0"/>
    <x v="0"/>
    <x v="0"/>
    <x v="0"/>
    <x v="0"/>
    <x v="1"/>
    <x v="1"/>
    <x v="9"/>
    <x v="9"/>
    <x v="9"/>
    <x v="2"/>
    <x v="1"/>
    <x v="1"/>
    <x v="1"/>
    <x v="1"/>
  </r>
  <r>
    <x v="70"/>
    <x v="70"/>
    <x v="0"/>
    <x v="0"/>
    <x v="0"/>
    <x v="2"/>
    <x v="2"/>
    <x v="0"/>
    <x v="0"/>
    <x v="9"/>
    <x v="1"/>
    <x v="0"/>
    <x v="0"/>
    <x v="0"/>
    <x v="0"/>
    <x v="0"/>
    <x v="0"/>
    <x v="3"/>
    <x v="7"/>
    <x v="10"/>
    <x v="10"/>
    <x v="10"/>
    <x v="2"/>
    <x v="7"/>
    <x v="3"/>
    <x v="7"/>
    <x v="3"/>
  </r>
  <r>
    <x v="71"/>
    <x v="71"/>
    <x v="1"/>
    <x v="1"/>
    <x v="0"/>
    <x v="6"/>
    <x v="7"/>
    <x v="6"/>
    <x v="1"/>
    <x v="7"/>
    <x v="2"/>
    <x v="1"/>
    <x v="1"/>
    <x v="1"/>
    <x v="1"/>
    <x v="1"/>
    <x v="1"/>
    <x v="5"/>
    <x v="8"/>
    <x v="11"/>
    <x v="11"/>
    <x v="11"/>
    <x v="2"/>
    <x v="5"/>
    <x v="5"/>
    <x v="5"/>
    <x v="3"/>
  </r>
  <r>
    <x v="72"/>
    <x v="72"/>
    <x v="0"/>
    <x v="2"/>
    <x v="0"/>
    <x v="0"/>
    <x v="0"/>
    <x v="2"/>
    <x v="0"/>
    <x v="10"/>
    <x v="0"/>
    <x v="0"/>
    <x v="0"/>
    <x v="0"/>
    <x v="0"/>
    <x v="0"/>
    <x v="0"/>
    <x v="1"/>
    <x v="9"/>
    <x v="12"/>
    <x v="12"/>
    <x v="12"/>
    <x v="2"/>
    <x v="8"/>
    <x v="1"/>
    <x v="8"/>
    <x v="1"/>
  </r>
  <r>
    <x v="73"/>
    <x v="73"/>
    <x v="2"/>
    <x v="2"/>
    <x v="1"/>
    <x v="5"/>
    <x v="10"/>
    <x v="9"/>
    <x v="2"/>
    <x v="11"/>
    <x v="1"/>
    <x v="2"/>
    <x v="2"/>
    <x v="2"/>
    <x v="2"/>
    <x v="2"/>
    <x v="2"/>
    <x v="3"/>
    <x v="10"/>
    <x v="13"/>
    <x v="13"/>
    <x v="13"/>
    <x v="2"/>
    <x v="9"/>
    <x v="3"/>
    <x v="9"/>
    <x v="3"/>
  </r>
  <r>
    <x v="74"/>
    <x v="74"/>
    <x v="1"/>
    <x v="0"/>
    <x v="2"/>
    <x v="7"/>
    <x v="11"/>
    <x v="9"/>
    <x v="1"/>
    <x v="12"/>
    <x v="2"/>
    <x v="1"/>
    <x v="1"/>
    <x v="1"/>
    <x v="1"/>
    <x v="1"/>
    <x v="1"/>
    <x v="6"/>
    <x v="11"/>
    <x v="14"/>
    <x v="14"/>
    <x v="14"/>
    <x v="2"/>
    <x v="10"/>
    <x v="6"/>
    <x v="10"/>
    <x v="3"/>
  </r>
  <r>
    <x v="75"/>
    <x v="75"/>
    <x v="0"/>
    <x v="0"/>
    <x v="0"/>
    <x v="8"/>
    <x v="12"/>
    <x v="0"/>
    <x v="0"/>
    <x v="13"/>
    <x v="0"/>
    <x v="0"/>
    <x v="0"/>
    <x v="0"/>
    <x v="0"/>
    <x v="0"/>
    <x v="0"/>
    <x v="1"/>
    <x v="12"/>
    <x v="15"/>
    <x v="15"/>
    <x v="15"/>
    <x v="2"/>
    <x v="11"/>
    <x v="1"/>
    <x v="11"/>
    <x v="4"/>
  </r>
  <r>
    <x v="76"/>
    <x v="76"/>
    <x v="3"/>
    <x v="1"/>
    <x v="0"/>
    <x v="5"/>
    <x v="5"/>
    <x v="10"/>
    <x v="1"/>
    <x v="14"/>
    <x v="1"/>
    <x v="1"/>
    <x v="1"/>
    <x v="1"/>
    <x v="1"/>
    <x v="1"/>
    <x v="1"/>
    <x v="2"/>
    <x v="13"/>
    <x v="16"/>
    <x v="16"/>
    <x v="16"/>
    <x v="2"/>
    <x v="12"/>
    <x v="2"/>
    <x v="12"/>
    <x v="2"/>
  </r>
  <r>
    <x v="77"/>
    <x v="77"/>
    <x v="1"/>
    <x v="1"/>
    <x v="0"/>
    <x v="1"/>
    <x v="1"/>
    <x v="1"/>
    <x v="0"/>
    <x v="1"/>
    <x v="2"/>
    <x v="0"/>
    <x v="0"/>
    <x v="0"/>
    <x v="0"/>
    <x v="0"/>
    <x v="0"/>
    <x v="7"/>
    <x v="14"/>
    <x v="17"/>
    <x v="17"/>
    <x v="17"/>
    <x v="2"/>
    <x v="1"/>
    <x v="7"/>
    <x v="1"/>
    <x v="2"/>
  </r>
  <r>
    <x v="78"/>
    <x v="78"/>
    <x v="2"/>
    <x v="2"/>
    <x v="1"/>
    <x v="2"/>
    <x v="13"/>
    <x v="11"/>
    <x v="2"/>
    <x v="15"/>
    <x v="0"/>
    <x v="2"/>
    <x v="2"/>
    <x v="2"/>
    <x v="2"/>
    <x v="2"/>
    <x v="2"/>
    <x v="1"/>
    <x v="15"/>
    <x v="18"/>
    <x v="18"/>
    <x v="18"/>
    <x v="2"/>
    <x v="13"/>
    <x v="1"/>
    <x v="13"/>
    <x v="4"/>
  </r>
  <r>
    <x v="79"/>
    <x v="79"/>
    <x v="0"/>
    <x v="3"/>
    <x v="2"/>
    <x v="8"/>
    <x v="14"/>
    <x v="8"/>
    <x v="0"/>
    <x v="16"/>
    <x v="1"/>
    <x v="0"/>
    <x v="0"/>
    <x v="0"/>
    <x v="0"/>
    <x v="0"/>
    <x v="0"/>
    <x v="2"/>
    <x v="16"/>
    <x v="19"/>
    <x v="19"/>
    <x v="19"/>
    <x v="2"/>
    <x v="14"/>
    <x v="2"/>
    <x v="14"/>
    <x v="3"/>
  </r>
  <r>
    <x v="80"/>
    <x v="8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81"/>
    <x v="81"/>
    <x v="1"/>
    <x v="1"/>
    <x v="0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82"/>
    <x v="82"/>
    <x v="0"/>
    <x v="2"/>
    <x v="0"/>
    <x v="2"/>
    <x v="2"/>
    <x v="2"/>
    <x v="0"/>
    <x v="2"/>
    <x v="1"/>
    <x v="0"/>
    <x v="0"/>
    <x v="0"/>
    <x v="0"/>
    <x v="0"/>
    <x v="0"/>
    <x v="2"/>
    <x v="2"/>
    <x v="2"/>
    <x v="2"/>
    <x v="2"/>
    <x v="2"/>
    <x v="2"/>
    <x v="2"/>
    <x v="2"/>
    <x v="2"/>
  </r>
  <r>
    <x v="83"/>
    <x v="83"/>
    <x v="2"/>
    <x v="2"/>
    <x v="1"/>
    <x v="3"/>
    <x v="3"/>
    <x v="3"/>
    <x v="2"/>
    <x v="3"/>
    <x v="2"/>
    <x v="2"/>
    <x v="2"/>
    <x v="2"/>
    <x v="2"/>
    <x v="2"/>
    <x v="2"/>
    <x v="0"/>
    <x v="0"/>
    <x v="3"/>
    <x v="3"/>
    <x v="3"/>
    <x v="0"/>
    <x v="0"/>
    <x v="0"/>
    <x v="0"/>
    <x v="0"/>
  </r>
  <r>
    <x v="84"/>
    <x v="84"/>
    <x v="1"/>
    <x v="0"/>
    <x v="2"/>
    <x v="4"/>
    <x v="4"/>
    <x v="4"/>
    <x v="1"/>
    <x v="4"/>
    <x v="0"/>
    <x v="1"/>
    <x v="1"/>
    <x v="1"/>
    <x v="1"/>
    <x v="1"/>
    <x v="1"/>
    <x v="3"/>
    <x v="3"/>
    <x v="4"/>
    <x v="4"/>
    <x v="4"/>
    <x v="2"/>
    <x v="3"/>
    <x v="3"/>
    <x v="3"/>
    <x v="2"/>
  </r>
  <r>
    <x v="85"/>
    <x v="85"/>
    <x v="0"/>
    <x v="0"/>
    <x v="0"/>
    <x v="5"/>
    <x v="5"/>
    <x v="0"/>
    <x v="0"/>
    <x v="5"/>
    <x v="1"/>
    <x v="0"/>
    <x v="0"/>
    <x v="0"/>
    <x v="0"/>
    <x v="0"/>
    <x v="0"/>
    <x v="4"/>
    <x v="4"/>
    <x v="5"/>
    <x v="5"/>
    <x v="5"/>
    <x v="2"/>
    <x v="4"/>
    <x v="4"/>
    <x v="4"/>
    <x v="2"/>
  </r>
  <r>
    <x v="86"/>
    <x v="86"/>
    <x v="3"/>
    <x v="1"/>
    <x v="0"/>
    <x v="3"/>
    <x v="6"/>
    <x v="5"/>
    <x v="1"/>
    <x v="6"/>
    <x v="2"/>
    <x v="1"/>
    <x v="1"/>
    <x v="1"/>
    <x v="1"/>
    <x v="1"/>
    <x v="1"/>
    <x v="0"/>
    <x v="0"/>
    <x v="6"/>
    <x v="6"/>
    <x v="6"/>
    <x v="0"/>
    <x v="0"/>
    <x v="0"/>
    <x v="0"/>
    <x v="0"/>
  </r>
  <r>
    <x v="87"/>
    <x v="87"/>
    <x v="1"/>
    <x v="1"/>
    <x v="0"/>
    <x v="6"/>
    <x v="7"/>
    <x v="6"/>
    <x v="0"/>
    <x v="7"/>
    <x v="0"/>
    <x v="0"/>
    <x v="0"/>
    <x v="0"/>
    <x v="0"/>
    <x v="0"/>
    <x v="0"/>
    <x v="3"/>
    <x v="5"/>
    <x v="7"/>
    <x v="7"/>
    <x v="7"/>
    <x v="2"/>
    <x v="5"/>
    <x v="3"/>
    <x v="5"/>
    <x v="3"/>
  </r>
  <r>
    <x v="88"/>
    <x v="88"/>
    <x v="2"/>
    <x v="2"/>
    <x v="1"/>
    <x v="7"/>
    <x v="8"/>
    <x v="7"/>
    <x v="2"/>
    <x v="8"/>
    <x v="1"/>
    <x v="2"/>
    <x v="2"/>
    <x v="2"/>
    <x v="2"/>
    <x v="2"/>
    <x v="2"/>
    <x v="4"/>
    <x v="6"/>
    <x v="8"/>
    <x v="8"/>
    <x v="8"/>
    <x v="2"/>
    <x v="6"/>
    <x v="4"/>
    <x v="6"/>
    <x v="3"/>
  </r>
  <r>
    <x v="89"/>
    <x v="89"/>
    <x v="0"/>
    <x v="3"/>
    <x v="2"/>
    <x v="5"/>
    <x v="9"/>
    <x v="8"/>
    <x v="0"/>
    <x v="1"/>
    <x v="2"/>
    <x v="0"/>
    <x v="0"/>
    <x v="0"/>
    <x v="0"/>
    <x v="0"/>
    <x v="0"/>
    <x v="1"/>
    <x v="1"/>
    <x v="9"/>
    <x v="9"/>
    <x v="9"/>
    <x v="2"/>
    <x v="1"/>
    <x v="1"/>
    <x v="1"/>
    <x v="1"/>
  </r>
  <r>
    <x v="90"/>
    <x v="90"/>
    <x v="0"/>
    <x v="0"/>
    <x v="0"/>
    <x v="2"/>
    <x v="2"/>
    <x v="0"/>
    <x v="0"/>
    <x v="9"/>
    <x v="0"/>
    <x v="0"/>
    <x v="0"/>
    <x v="0"/>
    <x v="0"/>
    <x v="0"/>
    <x v="0"/>
    <x v="3"/>
    <x v="7"/>
    <x v="10"/>
    <x v="10"/>
    <x v="10"/>
    <x v="2"/>
    <x v="7"/>
    <x v="3"/>
    <x v="7"/>
    <x v="3"/>
  </r>
  <r>
    <x v="91"/>
    <x v="91"/>
    <x v="1"/>
    <x v="1"/>
    <x v="0"/>
    <x v="6"/>
    <x v="7"/>
    <x v="6"/>
    <x v="1"/>
    <x v="7"/>
    <x v="1"/>
    <x v="1"/>
    <x v="1"/>
    <x v="1"/>
    <x v="1"/>
    <x v="1"/>
    <x v="1"/>
    <x v="5"/>
    <x v="8"/>
    <x v="11"/>
    <x v="11"/>
    <x v="11"/>
    <x v="2"/>
    <x v="5"/>
    <x v="5"/>
    <x v="5"/>
    <x v="3"/>
  </r>
  <r>
    <x v="92"/>
    <x v="92"/>
    <x v="0"/>
    <x v="2"/>
    <x v="0"/>
    <x v="0"/>
    <x v="0"/>
    <x v="2"/>
    <x v="0"/>
    <x v="10"/>
    <x v="2"/>
    <x v="0"/>
    <x v="0"/>
    <x v="0"/>
    <x v="0"/>
    <x v="0"/>
    <x v="0"/>
    <x v="1"/>
    <x v="9"/>
    <x v="12"/>
    <x v="12"/>
    <x v="12"/>
    <x v="2"/>
    <x v="8"/>
    <x v="1"/>
    <x v="8"/>
    <x v="1"/>
  </r>
  <r>
    <x v="93"/>
    <x v="93"/>
    <x v="2"/>
    <x v="2"/>
    <x v="1"/>
    <x v="5"/>
    <x v="10"/>
    <x v="9"/>
    <x v="2"/>
    <x v="11"/>
    <x v="0"/>
    <x v="2"/>
    <x v="2"/>
    <x v="2"/>
    <x v="2"/>
    <x v="2"/>
    <x v="2"/>
    <x v="3"/>
    <x v="10"/>
    <x v="13"/>
    <x v="13"/>
    <x v="13"/>
    <x v="2"/>
    <x v="9"/>
    <x v="3"/>
    <x v="9"/>
    <x v="3"/>
  </r>
  <r>
    <x v="94"/>
    <x v="94"/>
    <x v="1"/>
    <x v="0"/>
    <x v="2"/>
    <x v="7"/>
    <x v="11"/>
    <x v="9"/>
    <x v="1"/>
    <x v="12"/>
    <x v="1"/>
    <x v="1"/>
    <x v="1"/>
    <x v="1"/>
    <x v="1"/>
    <x v="1"/>
    <x v="1"/>
    <x v="6"/>
    <x v="11"/>
    <x v="14"/>
    <x v="14"/>
    <x v="14"/>
    <x v="2"/>
    <x v="10"/>
    <x v="6"/>
    <x v="10"/>
    <x v="3"/>
  </r>
  <r>
    <x v="95"/>
    <x v="95"/>
    <x v="0"/>
    <x v="0"/>
    <x v="0"/>
    <x v="8"/>
    <x v="12"/>
    <x v="0"/>
    <x v="0"/>
    <x v="13"/>
    <x v="2"/>
    <x v="0"/>
    <x v="0"/>
    <x v="0"/>
    <x v="0"/>
    <x v="0"/>
    <x v="0"/>
    <x v="1"/>
    <x v="12"/>
    <x v="15"/>
    <x v="15"/>
    <x v="15"/>
    <x v="2"/>
    <x v="11"/>
    <x v="1"/>
    <x v="11"/>
    <x v="4"/>
  </r>
  <r>
    <x v="96"/>
    <x v="96"/>
    <x v="3"/>
    <x v="1"/>
    <x v="0"/>
    <x v="5"/>
    <x v="5"/>
    <x v="10"/>
    <x v="1"/>
    <x v="14"/>
    <x v="0"/>
    <x v="1"/>
    <x v="1"/>
    <x v="1"/>
    <x v="1"/>
    <x v="1"/>
    <x v="1"/>
    <x v="2"/>
    <x v="13"/>
    <x v="16"/>
    <x v="16"/>
    <x v="16"/>
    <x v="2"/>
    <x v="12"/>
    <x v="2"/>
    <x v="12"/>
    <x v="2"/>
  </r>
  <r>
    <x v="97"/>
    <x v="97"/>
    <x v="1"/>
    <x v="1"/>
    <x v="0"/>
    <x v="1"/>
    <x v="1"/>
    <x v="1"/>
    <x v="0"/>
    <x v="1"/>
    <x v="1"/>
    <x v="0"/>
    <x v="0"/>
    <x v="0"/>
    <x v="0"/>
    <x v="0"/>
    <x v="0"/>
    <x v="7"/>
    <x v="14"/>
    <x v="17"/>
    <x v="17"/>
    <x v="17"/>
    <x v="2"/>
    <x v="1"/>
    <x v="7"/>
    <x v="1"/>
    <x v="2"/>
  </r>
  <r>
    <x v="98"/>
    <x v="98"/>
    <x v="2"/>
    <x v="2"/>
    <x v="1"/>
    <x v="2"/>
    <x v="13"/>
    <x v="11"/>
    <x v="2"/>
    <x v="15"/>
    <x v="2"/>
    <x v="2"/>
    <x v="2"/>
    <x v="2"/>
    <x v="2"/>
    <x v="2"/>
    <x v="2"/>
    <x v="1"/>
    <x v="15"/>
    <x v="18"/>
    <x v="18"/>
    <x v="18"/>
    <x v="2"/>
    <x v="13"/>
    <x v="1"/>
    <x v="13"/>
    <x v="4"/>
  </r>
  <r>
    <x v="99"/>
    <x v="99"/>
    <x v="0"/>
    <x v="3"/>
    <x v="2"/>
    <x v="8"/>
    <x v="14"/>
    <x v="8"/>
    <x v="0"/>
    <x v="16"/>
    <x v="0"/>
    <x v="0"/>
    <x v="0"/>
    <x v="0"/>
    <x v="0"/>
    <x v="0"/>
    <x v="0"/>
    <x v="2"/>
    <x v="16"/>
    <x v="19"/>
    <x v="19"/>
    <x v="19"/>
    <x v="2"/>
    <x v="14"/>
    <x v="2"/>
    <x v="14"/>
    <x v="3"/>
  </r>
  <r>
    <x v="100"/>
    <x v="10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</r>
  <r>
    <x v="101"/>
    <x v="101"/>
    <x v="1"/>
    <x v="1"/>
    <x v="0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</r>
  <r>
    <x v="102"/>
    <x v="102"/>
    <x v="0"/>
    <x v="2"/>
    <x v="0"/>
    <x v="2"/>
    <x v="2"/>
    <x v="2"/>
    <x v="0"/>
    <x v="2"/>
    <x v="0"/>
    <x v="0"/>
    <x v="0"/>
    <x v="0"/>
    <x v="0"/>
    <x v="0"/>
    <x v="0"/>
    <x v="2"/>
    <x v="2"/>
    <x v="2"/>
    <x v="2"/>
    <x v="2"/>
    <x v="2"/>
    <x v="2"/>
    <x v="2"/>
    <x v="2"/>
    <x v="2"/>
  </r>
  <r>
    <x v="103"/>
    <x v="103"/>
    <x v="2"/>
    <x v="2"/>
    <x v="1"/>
    <x v="3"/>
    <x v="3"/>
    <x v="3"/>
    <x v="2"/>
    <x v="3"/>
    <x v="1"/>
    <x v="2"/>
    <x v="2"/>
    <x v="2"/>
    <x v="2"/>
    <x v="2"/>
    <x v="2"/>
    <x v="0"/>
    <x v="0"/>
    <x v="3"/>
    <x v="3"/>
    <x v="3"/>
    <x v="0"/>
    <x v="0"/>
    <x v="0"/>
    <x v="0"/>
    <x v="0"/>
  </r>
  <r>
    <x v="104"/>
    <x v="104"/>
    <x v="1"/>
    <x v="0"/>
    <x v="2"/>
    <x v="4"/>
    <x v="4"/>
    <x v="4"/>
    <x v="1"/>
    <x v="4"/>
    <x v="2"/>
    <x v="1"/>
    <x v="1"/>
    <x v="1"/>
    <x v="1"/>
    <x v="1"/>
    <x v="1"/>
    <x v="3"/>
    <x v="3"/>
    <x v="4"/>
    <x v="4"/>
    <x v="4"/>
    <x v="2"/>
    <x v="3"/>
    <x v="3"/>
    <x v="3"/>
    <x v="2"/>
  </r>
  <r>
    <x v="105"/>
    <x v="105"/>
    <x v="0"/>
    <x v="0"/>
    <x v="0"/>
    <x v="5"/>
    <x v="5"/>
    <x v="0"/>
    <x v="0"/>
    <x v="5"/>
    <x v="0"/>
    <x v="0"/>
    <x v="0"/>
    <x v="0"/>
    <x v="0"/>
    <x v="0"/>
    <x v="0"/>
    <x v="4"/>
    <x v="4"/>
    <x v="5"/>
    <x v="5"/>
    <x v="5"/>
    <x v="2"/>
    <x v="4"/>
    <x v="4"/>
    <x v="4"/>
    <x v="2"/>
  </r>
  <r>
    <x v="106"/>
    <x v="106"/>
    <x v="3"/>
    <x v="1"/>
    <x v="0"/>
    <x v="3"/>
    <x v="6"/>
    <x v="5"/>
    <x v="1"/>
    <x v="6"/>
    <x v="1"/>
    <x v="1"/>
    <x v="1"/>
    <x v="1"/>
    <x v="1"/>
    <x v="1"/>
    <x v="1"/>
    <x v="0"/>
    <x v="0"/>
    <x v="6"/>
    <x v="6"/>
    <x v="6"/>
    <x v="0"/>
    <x v="0"/>
    <x v="0"/>
    <x v="0"/>
    <x v="0"/>
  </r>
  <r>
    <x v="107"/>
    <x v="107"/>
    <x v="1"/>
    <x v="1"/>
    <x v="0"/>
    <x v="6"/>
    <x v="7"/>
    <x v="6"/>
    <x v="0"/>
    <x v="7"/>
    <x v="2"/>
    <x v="0"/>
    <x v="0"/>
    <x v="0"/>
    <x v="0"/>
    <x v="0"/>
    <x v="0"/>
    <x v="3"/>
    <x v="5"/>
    <x v="7"/>
    <x v="7"/>
    <x v="7"/>
    <x v="2"/>
    <x v="5"/>
    <x v="3"/>
    <x v="5"/>
    <x v="3"/>
  </r>
  <r>
    <x v="108"/>
    <x v="108"/>
    <x v="2"/>
    <x v="2"/>
    <x v="1"/>
    <x v="7"/>
    <x v="8"/>
    <x v="7"/>
    <x v="2"/>
    <x v="8"/>
    <x v="0"/>
    <x v="2"/>
    <x v="2"/>
    <x v="2"/>
    <x v="2"/>
    <x v="2"/>
    <x v="2"/>
    <x v="4"/>
    <x v="6"/>
    <x v="8"/>
    <x v="8"/>
    <x v="8"/>
    <x v="2"/>
    <x v="6"/>
    <x v="4"/>
    <x v="6"/>
    <x v="3"/>
  </r>
  <r>
    <x v="109"/>
    <x v="109"/>
    <x v="0"/>
    <x v="3"/>
    <x v="2"/>
    <x v="5"/>
    <x v="9"/>
    <x v="8"/>
    <x v="0"/>
    <x v="1"/>
    <x v="1"/>
    <x v="0"/>
    <x v="0"/>
    <x v="0"/>
    <x v="0"/>
    <x v="0"/>
    <x v="0"/>
    <x v="1"/>
    <x v="1"/>
    <x v="9"/>
    <x v="9"/>
    <x v="9"/>
    <x v="2"/>
    <x v="1"/>
    <x v="1"/>
    <x v="1"/>
    <x v="1"/>
  </r>
  <r>
    <x v="110"/>
    <x v="110"/>
    <x v="0"/>
    <x v="0"/>
    <x v="0"/>
    <x v="2"/>
    <x v="2"/>
    <x v="0"/>
    <x v="0"/>
    <x v="9"/>
    <x v="2"/>
    <x v="0"/>
    <x v="0"/>
    <x v="0"/>
    <x v="0"/>
    <x v="0"/>
    <x v="0"/>
    <x v="3"/>
    <x v="7"/>
    <x v="10"/>
    <x v="10"/>
    <x v="10"/>
    <x v="2"/>
    <x v="7"/>
    <x v="3"/>
    <x v="7"/>
    <x v="3"/>
  </r>
  <r>
    <x v="111"/>
    <x v="111"/>
    <x v="1"/>
    <x v="1"/>
    <x v="0"/>
    <x v="6"/>
    <x v="7"/>
    <x v="6"/>
    <x v="1"/>
    <x v="7"/>
    <x v="0"/>
    <x v="1"/>
    <x v="1"/>
    <x v="1"/>
    <x v="1"/>
    <x v="1"/>
    <x v="1"/>
    <x v="5"/>
    <x v="8"/>
    <x v="11"/>
    <x v="11"/>
    <x v="11"/>
    <x v="2"/>
    <x v="5"/>
    <x v="5"/>
    <x v="5"/>
    <x v="3"/>
  </r>
  <r>
    <x v="112"/>
    <x v="112"/>
    <x v="0"/>
    <x v="2"/>
    <x v="0"/>
    <x v="0"/>
    <x v="0"/>
    <x v="2"/>
    <x v="0"/>
    <x v="10"/>
    <x v="1"/>
    <x v="0"/>
    <x v="0"/>
    <x v="0"/>
    <x v="0"/>
    <x v="0"/>
    <x v="0"/>
    <x v="1"/>
    <x v="9"/>
    <x v="12"/>
    <x v="12"/>
    <x v="12"/>
    <x v="2"/>
    <x v="8"/>
    <x v="1"/>
    <x v="8"/>
    <x v="1"/>
  </r>
  <r>
    <x v="113"/>
    <x v="113"/>
    <x v="2"/>
    <x v="2"/>
    <x v="1"/>
    <x v="5"/>
    <x v="10"/>
    <x v="9"/>
    <x v="2"/>
    <x v="11"/>
    <x v="2"/>
    <x v="2"/>
    <x v="2"/>
    <x v="2"/>
    <x v="2"/>
    <x v="2"/>
    <x v="2"/>
    <x v="3"/>
    <x v="10"/>
    <x v="13"/>
    <x v="13"/>
    <x v="13"/>
    <x v="2"/>
    <x v="9"/>
    <x v="3"/>
    <x v="9"/>
    <x v="3"/>
  </r>
  <r>
    <x v="114"/>
    <x v="114"/>
    <x v="1"/>
    <x v="0"/>
    <x v="2"/>
    <x v="7"/>
    <x v="11"/>
    <x v="9"/>
    <x v="1"/>
    <x v="12"/>
    <x v="0"/>
    <x v="1"/>
    <x v="1"/>
    <x v="1"/>
    <x v="1"/>
    <x v="1"/>
    <x v="1"/>
    <x v="6"/>
    <x v="11"/>
    <x v="14"/>
    <x v="14"/>
    <x v="14"/>
    <x v="2"/>
    <x v="10"/>
    <x v="6"/>
    <x v="10"/>
    <x v="3"/>
  </r>
  <r>
    <x v="115"/>
    <x v="115"/>
    <x v="0"/>
    <x v="0"/>
    <x v="0"/>
    <x v="8"/>
    <x v="12"/>
    <x v="0"/>
    <x v="0"/>
    <x v="13"/>
    <x v="1"/>
    <x v="0"/>
    <x v="0"/>
    <x v="0"/>
    <x v="0"/>
    <x v="0"/>
    <x v="0"/>
    <x v="1"/>
    <x v="12"/>
    <x v="15"/>
    <x v="15"/>
    <x v="15"/>
    <x v="2"/>
    <x v="11"/>
    <x v="1"/>
    <x v="11"/>
    <x v="4"/>
  </r>
  <r>
    <x v="116"/>
    <x v="116"/>
    <x v="3"/>
    <x v="1"/>
    <x v="0"/>
    <x v="5"/>
    <x v="5"/>
    <x v="10"/>
    <x v="1"/>
    <x v="14"/>
    <x v="2"/>
    <x v="1"/>
    <x v="1"/>
    <x v="1"/>
    <x v="1"/>
    <x v="1"/>
    <x v="1"/>
    <x v="2"/>
    <x v="13"/>
    <x v="16"/>
    <x v="16"/>
    <x v="16"/>
    <x v="2"/>
    <x v="12"/>
    <x v="2"/>
    <x v="12"/>
    <x v="2"/>
  </r>
  <r>
    <x v="117"/>
    <x v="117"/>
    <x v="1"/>
    <x v="1"/>
    <x v="0"/>
    <x v="1"/>
    <x v="1"/>
    <x v="1"/>
    <x v="0"/>
    <x v="1"/>
    <x v="0"/>
    <x v="0"/>
    <x v="0"/>
    <x v="0"/>
    <x v="0"/>
    <x v="0"/>
    <x v="0"/>
    <x v="7"/>
    <x v="14"/>
    <x v="17"/>
    <x v="17"/>
    <x v="17"/>
    <x v="2"/>
    <x v="1"/>
    <x v="7"/>
    <x v="1"/>
    <x v="2"/>
  </r>
  <r>
    <x v="118"/>
    <x v="118"/>
    <x v="2"/>
    <x v="2"/>
    <x v="1"/>
    <x v="2"/>
    <x v="13"/>
    <x v="11"/>
    <x v="2"/>
    <x v="15"/>
    <x v="1"/>
    <x v="2"/>
    <x v="2"/>
    <x v="2"/>
    <x v="2"/>
    <x v="2"/>
    <x v="2"/>
    <x v="1"/>
    <x v="15"/>
    <x v="18"/>
    <x v="18"/>
    <x v="18"/>
    <x v="2"/>
    <x v="13"/>
    <x v="1"/>
    <x v="13"/>
    <x v="4"/>
  </r>
  <r>
    <x v="119"/>
    <x v="119"/>
    <x v="0"/>
    <x v="3"/>
    <x v="2"/>
    <x v="8"/>
    <x v="14"/>
    <x v="8"/>
    <x v="0"/>
    <x v="16"/>
    <x v="2"/>
    <x v="0"/>
    <x v="0"/>
    <x v="0"/>
    <x v="0"/>
    <x v="0"/>
    <x v="0"/>
    <x v="2"/>
    <x v="16"/>
    <x v="19"/>
    <x v="19"/>
    <x v="19"/>
    <x v="2"/>
    <x v="14"/>
    <x v="2"/>
    <x v="14"/>
    <x v="3"/>
  </r>
  <r>
    <x v="120"/>
    <x v="12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21"/>
    <x v="12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122"/>
    <x v="122"/>
    <x v="0"/>
    <x v="2"/>
    <x v="0"/>
    <x v="2"/>
    <x v="2"/>
    <x v="2"/>
    <x v="0"/>
    <x v="2"/>
    <x v="2"/>
    <x v="0"/>
    <x v="0"/>
    <x v="0"/>
    <x v="0"/>
    <x v="0"/>
    <x v="0"/>
    <x v="2"/>
    <x v="2"/>
    <x v="2"/>
    <x v="2"/>
    <x v="2"/>
    <x v="2"/>
    <x v="2"/>
    <x v="2"/>
    <x v="2"/>
    <x v="2"/>
  </r>
  <r>
    <x v="123"/>
    <x v="123"/>
    <x v="2"/>
    <x v="2"/>
    <x v="1"/>
    <x v="3"/>
    <x v="3"/>
    <x v="3"/>
    <x v="2"/>
    <x v="3"/>
    <x v="0"/>
    <x v="2"/>
    <x v="2"/>
    <x v="2"/>
    <x v="2"/>
    <x v="2"/>
    <x v="2"/>
    <x v="0"/>
    <x v="0"/>
    <x v="3"/>
    <x v="3"/>
    <x v="3"/>
    <x v="0"/>
    <x v="0"/>
    <x v="0"/>
    <x v="0"/>
    <x v="0"/>
  </r>
  <r>
    <x v="124"/>
    <x v="124"/>
    <x v="1"/>
    <x v="0"/>
    <x v="2"/>
    <x v="4"/>
    <x v="4"/>
    <x v="4"/>
    <x v="1"/>
    <x v="4"/>
    <x v="1"/>
    <x v="1"/>
    <x v="1"/>
    <x v="1"/>
    <x v="1"/>
    <x v="1"/>
    <x v="1"/>
    <x v="3"/>
    <x v="3"/>
    <x v="4"/>
    <x v="4"/>
    <x v="4"/>
    <x v="2"/>
    <x v="3"/>
    <x v="3"/>
    <x v="3"/>
    <x v="2"/>
  </r>
  <r>
    <x v="125"/>
    <x v="125"/>
    <x v="0"/>
    <x v="0"/>
    <x v="0"/>
    <x v="5"/>
    <x v="5"/>
    <x v="0"/>
    <x v="0"/>
    <x v="5"/>
    <x v="2"/>
    <x v="0"/>
    <x v="0"/>
    <x v="0"/>
    <x v="0"/>
    <x v="0"/>
    <x v="0"/>
    <x v="4"/>
    <x v="4"/>
    <x v="5"/>
    <x v="5"/>
    <x v="5"/>
    <x v="2"/>
    <x v="4"/>
    <x v="4"/>
    <x v="4"/>
    <x v="2"/>
  </r>
  <r>
    <x v="126"/>
    <x v="126"/>
    <x v="3"/>
    <x v="1"/>
    <x v="0"/>
    <x v="3"/>
    <x v="6"/>
    <x v="5"/>
    <x v="1"/>
    <x v="6"/>
    <x v="0"/>
    <x v="1"/>
    <x v="1"/>
    <x v="1"/>
    <x v="1"/>
    <x v="1"/>
    <x v="1"/>
    <x v="0"/>
    <x v="0"/>
    <x v="6"/>
    <x v="6"/>
    <x v="6"/>
    <x v="0"/>
    <x v="0"/>
    <x v="0"/>
    <x v="0"/>
    <x v="0"/>
  </r>
  <r>
    <x v="127"/>
    <x v="127"/>
    <x v="1"/>
    <x v="1"/>
    <x v="0"/>
    <x v="6"/>
    <x v="7"/>
    <x v="6"/>
    <x v="0"/>
    <x v="7"/>
    <x v="1"/>
    <x v="0"/>
    <x v="0"/>
    <x v="0"/>
    <x v="0"/>
    <x v="0"/>
    <x v="0"/>
    <x v="3"/>
    <x v="5"/>
    <x v="7"/>
    <x v="7"/>
    <x v="7"/>
    <x v="2"/>
    <x v="5"/>
    <x v="3"/>
    <x v="5"/>
    <x v="3"/>
  </r>
  <r>
    <x v="128"/>
    <x v="128"/>
    <x v="2"/>
    <x v="2"/>
    <x v="1"/>
    <x v="7"/>
    <x v="8"/>
    <x v="7"/>
    <x v="2"/>
    <x v="8"/>
    <x v="2"/>
    <x v="2"/>
    <x v="2"/>
    <x v="2"/>
    <x v="2"/>
    <x v="2"/>
    <x v="2"/>
    <x v="4"/>
    <x v="6"/>
    <x v="8"/>
    <x v="8"/>
    <x v="8"/>
    <x v="2"/>
    <x v="6"/>
    <x v="4"/>
    <x v="6"/>
    <x v="3"/>
  </r>
  <r>
    <x v="129"/>
    <x v="129"/>
    <x v="0"/>
    <x v="3"/>
    <x v="2"/>
    <x v="5"/>
    <x v="9"/>
    <x v="8"/>
    <x v="0"/>
    <x v="1"/>
    <x v="0"/>
    <x v="0"/>
    <x v="0"/>
    <x v="0"/>
    <x v="0"/>
    <x v="0"/>
    <x v="0"/>
    <x v="1"/>
    <x v="1"/>
    <x v="9"/>
    <x v="9"/>
    <x v="9"/>
    <x v="2"/>
    <x v="1"/>
    <x v="1"/>
    <x v="1"/>
    <x v="1"/>
  </r>
  <r>
    <x v="130"/>
    <x v="130"/>
    <x v="0"/>
    <x v="0"/>
    <x v="0"/>
    <x v="2"/>
    <x v="2"/>
    <x v="0"/>
    <x v="0"/>
    <x v="9"/>
    <x v="1"/>
    <x v="0"/>
    <x v="0"/>
    <x v="0"/>
    <x v="0"/>
    <x v="0"/>
    <x v="0"/>
    <x v="3"/>
    <x v="7"/>
    <x v="10"/>
    <x v="10"/>
    <x v="10"/>
    <x v="2"/>
    <x v="7"/>
    <x v="3"/>
    <x v="7"/>
    <x v="3"/>
  </r>
  <r>
    <x v="131"/>
    <x v="131"/>
    <x v="1"/>
    <x v="1"/>
    <x v="0"/>
    <x v="6"/>
    <x v="7"/>
    <x v="6"/>
    <x v="1"/>
    <x v="7"/>
    <x v="2"/>
    <x v="1"/>
    <x v="1"/>
    <x v="1"/>
    <x v="1"/>
    <x v="1"/>
    <x v="1"/>
    <x v="5"/>
    <x v="8"/>
    <x v="11"/>
    <x v="11"/>
    <x v="11"/>
    <x v="2"/>
    <x v="5"/>
    <x v="5"/>
    <x v="5"/>
    <x v="3"/>
  </r>
  <r>
    <x v="132"/>
    <x v="132"/>
    <x v="0"/>
    <x v="2"/>
    <x v="0"/>
    <x v="0"/>
    <x v="0"/>
    <x v="2"/>
    <x v="0"/>
    <x v="10"/>
    <x v="0"/>
    <x v="0"/>
    <x v="0"/>
    <x v="0"/>
    <x v="0"/>
    <x v="0"/>
    <x v="0"/>
    <x v="1"/>
    <x v="9"/>
    <x v="12"/>
    <x v="12"/>
    <x v="12"/>
    <x v="2"/>
    <x v="8"/>
    <x v="1"/>
    <x v="8"/>
    <x v="1"/>
  </r>
  <r>
    <x v="133"/>
    <x v="133"/>
    <x v="2"/>
    <x v="2"/>
    <x v="1"/>
    <x v="5"/>
    <x v="10"/>
    <x v="9"/>
    <x v="2"/>
    <x v="11"/>
    <x v="1"/>
    <x v="2"/>
    <x v="2"/>
    <x v="2"/>
    <x v="2"/>
    <x v="2"/>
    <x v="2"/>
    <x v="3"/>
    <x v="10"/>
    <x v="13"/>
    <x v="13"/>
    <x v="13"/>
    <x v="2"/>
    <x v="9"/>
    <x v="3"/>
    <x v="9"/>
    <x v="3"/>
  </r>
  <r>
    <x v="134"/>
    <x v="134"/>
    <x v="1"/>
    <x v="0"/>
    <x v="2"/>
    <x v="7"/>
    <x v="11"/>
    <x v="9"/>
    <x v="1"/>
    <x v="12"/>
    <x v="2"/>
    <x v="1"/>
    <x v="1"/>
    <x v="1"/>
    <x v="1"/>
    <x v="1"/>
    <x v="1"/>
    <x v="6"/>
    <x v="11"/>
    <x v="14"/>
    <x v="14"/>
    <x v="14"/>
    <x v="2"/>
    <x v="10"/>
    <x v="6"/>
    <x v="10"/>
    <x v="3"/>
  </r>
  <r>
    <x v="135"/>
    <x v="135"/>
    <x v="0"/>
    <x v="0"/>
    <x v="0"/>
    <x v="8"/>
    <x v="12"/>
    <x v="0"/>
    <x v="0"/>
    <x v="13"/>
    <x v="0"/>
    <x v="0"/>
    <x v="0"/>
    <x v="0"/>
    <x v="0"/>
    <x v="0"/>
    <x v="0"/>
    <x v="1"/>
    <x v="12"/>
    <x v="15"/>
    <x v="15"/>
    <x v="15"/>
    <x v="2"/>
    <x v="11"/>
    <x v="1"/>
    <x v="11"/>
    <x v="4"/>
  </r>
  <r>
    <x v="136"/>
    <x v="136"/>
    <x v="3"/>
    <x v="1"/>
    <x v="0"/>
    <x v="5"/>
    <x v="5"/>
    <x v="10"/>
    <x v="1"/>
    <x v="14"/>
    <x v="1"/>
    <x v="1"/>
    <x v="1"/>
    <x v="1"/>
    <x v="1"/>
    <x v="1"/>
    <x v="1"/>
    <x v="2"/>
    <x v="13"/>
    <x v="16"/>
    <x v="16"/>
    <x v="16"/>
    <x v="2"/>
    <x v="12"/>
    <x v="2"/>
    <x v="12"/>
    <x v="2"/>
  </r>
  <r>
    <x v="137"/>
    <x v="137"/>
    <x v="1"/>
    <x v="1"/>
    <x v="0"/>
    <x v="1"/>
    <x v="1"/>
    <x v="1"/>
    <x v="0"/>
    <x v="1"/>
    <x v="2"/>
    <x v="0"/>
    <x v="0"/>
    <x v="0"/>
    <x v="0"/>
    <x v="0"/>
    <x v="0"/>
    <x v="7"/>
    <x v="14"/>
    <x v="17"/>
    <x v="17"/>
    <x v="17"/>
    <x v="2"/>
    <x v="1"/>
    <x v="7"/>
    <x v="1"/>
    <x v="2"/>
  </r>
  <r>
    <x v="138"/>
    <x v="138"/>
    <x v="2"/>
    <x v="2"/>
    <x v="1"/>
    <x v="2"/>
    <x v="13"/>
    <x v="11"/>
    <x v="2"/>
    <x v="15"/>
    <x v="0"/>
    <x v="2"/>
    <x v="2"/>
    <x v="2"/>
    <x v="2"/>
    <x v="2"/>
    <x v="2"/>
    <x v="1"/>
    <x v="15"/>
    <x v="18"/>
    <x v="18"/>
    <x v="18"/>
    <x v="2"/>
    <x v="13"/>
    <x v="1"/>
    <x v="13"/>
    <x v="4"/>
  </r>
  <r>
    <x v="139"/>
    <x v="139"/>
    <x v="0"/>
    <x v="3"/>
    <x v="2"/>
    <x v="8"/>
    <x v="14"/>
    <x v="8"/>
    <x v="0"/>
    <x v="16"/>
    <x v="1"/>
    <x v="0"/>
    <x v="0"/>
    <x v="0"/>
    <x v="0"/>
    <x v="0"/>
    <x v="0"/>
    <x v="2"/>
    <x v="16"/>
    <x v="19"/>
    <x v="19"/>
    <x v="19"/>
    <x v="2"/>
    <x v="14"/>
    <x v="2"/>
    <x v="14"/>
    <x v="3"/>
  </r>
  <r>
    <x v="140"/>
    <x v="14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141"/>
    <x v="141"/>
    <x v="1"/>
    <x v="1"/>
    <x v="0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</r>
  <r>
    <x v="142"/>
    <x v="142"/>
    <x v="0"/>
    <x v="2"/>
    <x v="0"/>
    <x v="2"/>
    <x v="2"/>
    <x v="2"/>
    <x v="0"/>
    <x v="2"/>
    <x v="1"/>
    <x v="0"/>
    <x v="0"/>
    <x v="0"/>
    <x v="0"/>
    <x v="0"/>
    <x v="0"/>
    <x v="2"/>
    <x v="2"/>
    <x v="2"/>
    <x v="2"/>
    <x v="2"/>
    <x v="2"/>
    <x v="2"/>
    <x v="2"/>
    <x v="2"/>
    <x v="2"/>
  </r>
  <r>
    <x v="143"/>
    <x v="143"/>
    <x v="2"/>
    <x v="2"/>
    <x v="1"/>
    <x v="3"/>
    <x v="3"/>
    <x v="3"/>
    <x v="2"/>
    <x v="3"/>
    <x v="2"/>
    <x v="2"/>
    <x v="2"/>
    <x v="2"/>
    <x v="2"/>
    <x v="2"/>
    <x v="2"/>
    <x v="0"/>
    <x v="0"/>
    <x v="3"/>
    <x v="3"/>
    <x v="3"/>
    <x v="0"/>
    <x v="0"/>
    <x v="0"/>
    <x v="0"/>
    <x v="0"/>
  </r>
  <r>
    <x v="144"/>
    <x v="144"/>
    <x v="1"/>
    <x v="0"/>
    <x v="2"/>
    <x v="4"/>
    <x v="4"/>
    <x v="4"/>
    <x v="1"/>
    <x v="4"/>
    <x v="0"/>
    <x v="1"/>
    <x v="1"/>
    <x v="1"/>
    <x v="1"/>
    <x v="1"/>
    <x v="1"/>
    <x v="3"/>
    <x v="3"/>
    <x v="4"/>
    <x v="4"/>
    <x v="4"/>
    <x v="2"/>
    <x v="3"/>
    <x v="3"/>
    <x v="3"/>
    <x v="2"/>
  </r>
  <r>
    <x v="145"/>
    <x v="145"/>
    <x v="0"/>
    <x v="0"/>
    <x v="0"/>
    <x v="5"/>
    <x v="5"/>
    <x v="0"/>
    <x v="0"/>
    <x v="5"/>
    <x v="1"/>
    <x v="0"/>
    <x v="0"/>
    <x v="0"/>
    <x v="0"/>
    <x v="0"/>
    <x v="0"/>
    <x v="4"/>
    <x v="4"/>
    <x v="5"/>
    <x v="5"/>
    <x v="5"/>
    <x v="2"/>
    <x v="4"/>
    <x v="4"/>
    <x v="4"/>
    <x v="2"/>
  </r>
  <r>
    <x v="146"/>
    <x v="146"/>
    <x v="3"/>
    <x v="1"/>
    <x v="0"/>
    <x v="3"/>
    <x v="6"/>
    <x v="5"/>
    <x v="1"/>
    <x v="6"/>
    <x v="2"/>
    <x v="1"/>
    <x v="1"/>
    <x v="1"/>
    <x v="1"/>
    <x v="1"/>
    <x v="1"/>
    <x v="0"/>
    <x v="0"/>
    <x v="6"/>
    <x v="6"/>
    <x v="6"/>
    <x v="0"/>
    <x v="0"/>
    <x v="0"/>
    <x v="0"/>
    <x v="0"/>
  </r>
  <r>
    <x v="147"/>
    <x v="147"/>
    <x v="1"/>
    <x v="1"/>
    <x v="0"/>
    <x v="6"/>
    <x v="7"/>
    <x v="6"/>
    <x v="0"/>
    <x v="7"/>
    <x v="0"/>
    <x v="0"/>
    <x v="0"/>
    <x v="0"/>
    <x v="0"/>
    <x v="0"/>
    <x v="0"/>
    <x v="3"/>
    <x v="5"/>
    <x v="7"/>
    <x v="7"/>
    <x v="7"/>
    <x v="2"/>
    <x v="5"/>
    <x v="3"/>
    <x v="5"/>
    <x v="3"/>
  </r>
  <r>
    <x v="148"/>
    <x v="148"/>
    <x v="2"/>
    <x v="2"/>
    <x v="1"/>
    <x v="7"/>
    <x v="8"/>
    <x v="7"/>
    <x v="2"/>
    <x v="8"/>
    <x v="1"/>
    <x v="2"/>
    <x v="2"/>
    <x v="2"/>
    <x v="2"/>
    <x v="2"/>
    <x v="2"/>
    <x v="4"/>
    <x v="6"/>
    <x v="8"/>
    <x v="8"/>
    <x v="8"/>
    <x v="2"/>
    <x v="6"/>
    <x v="4"/>
    <x v="6"/>
    <x v="3"/>
  </r>
  <r>
    <x v="149"/>
    <x v="149"/>
    <x v="0"/>
    <x v="3"/>
    <x v="2"/>
    <x v="5"/>
    <x v="9"/>
    <x v="8"/>
    <x v="0"/>
    <x v="1"/>
    <x v="2"/>
    <x v="0"/>
    <x v="0"/>
    <x v="0"/>
    <x v="0"/>
    <x v="0"/>
    <x v="0"/>
    <x v="1"/>
    <x v="1"/>
    <x v="9"/>
    <x v="9"/>
    <x v="9"/>
    <x v="2"/>
    <x v="1"/>
    <x v="1"/>
    <x v="1"/>
    <x v="1"/>
  </r>
  <r>
    <x v="150"/>
    <x v="150"/>
    <x v="0"/>
    <x v="0"/>
    <x v="0"/>
    <x v="2"/>
    <x v="2"/>
    <x v="0"/>
    <x v="0"/>
    <x v="9"/>
    <x v="0"/>
    <x v="0"/>
    <x v="0"/>
    <x v="0"/>
    <x v="0"/>
    <x v="0"/>
    <x v="0"/>
    <x v="3"/>
    <x v="7"/>
    <x v="10"/>
    <x v="10"/>
    <x v="10"/>
    <x v="2"/>
    <x v="7"/>
    <x v="3"/>
    <x v="7"/>
    <x v="3"/>
  </r>
  <r>
    <x v="151"/>
    <x v="151"/>
    <x v="1"/>
    <x v="1"/>
    <x v="0"/>
    <x v="6"/>
    <x v="7"/>
    <x v="6"/>
    <x v="1"/>
    <x v="7"/>
    <x v="1"/>
    <x v="1"/>
    <x v="1"/>
    <x v="1"/>
    <x v="1"/>
    <x v="1"/>
    <x v="1"/>
    <x v="5"/>
    <x v="8"/>
    <x v="11"/>
    <x v="11"/>
    <x v="11"/>
    <x v="2"/>
    <x v="5"/>
    <x v="5"/>
    <x v="5"/>
    <x v="3"/>
  </r>
  <r>
    <x v="152"/>
    <x v="152"/>
    <x v="0"/>
    <x v="2"/>
    <x v="0"/>
    <x v="0"/>
    <x v="0"/>
    <x v="2"/>
    <x v="0"/>
    <x v="10"/>
    <x v="2"/>
    <x v="0"/>
    <x v="0"/>
    <x v="0"/>
    <x v="0"/>
    <x v="0"/>
    <x v="0"/>
    <x v="1"/>
    <x v="9"/>
    <x v="12"/>
    <x v="12"/>
    <x v="12"/>
    <x v="2"/>
    <x v="8"/>
    <x v="1"/>
    <x v="8"/>
    <x v="1"/>
  </r>
  <r>
    <x v="153"/>
    <x v="153"/>
    <x v="2"/>
    <x v="2"/>
    <x v="1"/>
    <x v="5"/>
    <x v="10"/>
    <x v="9"/>
    <x v="2"/>
    <x v="11"/>
    <x v="0"/>
    <x v="2"/>
    <x v="2"/>
    <x v="2"/>
    <x v="2"/>
    <x v="2"/>
    <x v="2"/>
    <x v="3"/>
    <x v="10"/>
    <x v="13"/>
    <x v="13"/>
    <x v="13"/>
    <x v="2"/>
    <x v="9"/>
    <x v="3"/>
    <x v="9"/>
    <x v="3"/>
  </r>
  <r>
    <x v="154"/>
    <x v="154"/>
    <x v="1"/>
    <x v="0"/>
    <x v="2"/>
    <x v="7"/>
    <x v="11"/>
    <x v="9"/>
    <x v="1"/>
    <x v="12"/>
    <x v="1"/>
    <x v="1"/>
    <x v="1"/>
    <x v="1"/>
    <x v="1"/>
    <x v="1"/>
    <x v="1"/>
    <x v="6"/>
    <x v="11"/>
    <x v="14"/>
    <x v="14"/>
    <x v="14"/>
    <x v="2"/>
    <x v="10"/>
    <x v="6"/>
    <x v="10"/>
    <x v="3"/>
  </r>
  <r>
    <x v="155"/>
    <x v="155"/>
    <x v="0"/>
    <x v="0"/>
    <x v="0"/>
    <x v="8"/>
    <x v="12"/>
    <x v="0"/>
    <x v="0"/>
    <x v="13"/>
    <x v="2"/>
    <x v="0"/>
    <x v="0"/>
    <x v="0"/>
    <x v="0"/>
    <x v="0"/>
    <x v="0"/>
    <x v="1"/>
    <x v="12"/>
    <x v="15"/>
    <x v="15"/>
    <x v="15"/>
    <x v="2"/>
    <x v="11"/>
    <x v="1"/>
    <x v="11"/>
    <x v="4"/>
  </r>
  <r>
    <x v="156"/>
    <x v="156"/>
    <x v="3"/>
    <x v="1"/>
    <x v="0"/>
    <x v="5"/>
    <x v="5"/>
    <x v="10"/>
    <x v="1"/>
    <x v="14"/>
    <x v="0"/>
    <x v="1"/>
    <x v="1"/>
    <x v="1"/>
    <x v="1"/>
    <x v="1"/>
    <x v="1"/>
    <x v="2"/>
    <x v="13"/>
    <x v="16"/>
    <x v="16"/>
    <x v="16"/>
    <x v="2"/>
    <x v="12"/>
    <x v="2"/>
    <x v="12"/>
    <x v="2"/>
  </r>
  <r>
    <x v="157"/>
    <x v="157"/>
    <x v="1"/>
    <x v="1"/>
    <x v="0"/>
    <x v="1"/>
    <x v="1"/>
    <x v="1"/>
    <x v="0"/>
    <x v="1"/>
    <x v="1"/>
    <x v="0"/>
    <x v="0"/>
    <x v="0"/>
    <x v="0"/>
    <x v="0"/>
    <x v="0"/>
    <x v="7"/>
    <x v="14"/>
    <x v="17"/>
    <x v="17"/>
    <x v="17"/>
    <x v="2"/>
    <x v="1"/>
    <x v="7"/>
    <x v="1"/>
    <x v="2"/>
  </r>
  <r>
    <x v="158"/>
    <x v="158"/>
    <x v="2"/>
    <x v="2"/>
    <x v="1"/>
    <x v="2"/>
    <x v="13"/>
    <x v="11"/>
    <x v="2"/>
    <x v="15"/>
    <x v="2"/>
    <x v="2"/>
    <x v="2"/>
    <x v="2"/>
    <x v="2"/>
    <x v="2"/>
    <x v="2"/>
    <x v="1"/>
    <x v="15"/>
    <x v="18"/>
    <x v="18"/>
    <x v="18"/>
    <x v="2"/>
    <x v="13"/>
    <x v="1"/>
    <x v="13"/>
    <x v="4"/>
  </r>
  <r>
    <x v="159"/>
    <x v="159"/>
    <x v="0"/>
    <x v="3"/>
    <x v="2"/>
    <x v="8"/>
    <x v="14"/>
    <x v="8"/>
    <x v="0"/>
    <x v="16"/>
    <x v="0"/>
    <x v="0"/>
    <x v="0"/>
    <x v="0"/>
    <x v="0"/>
    <x v="0"/>
    <x v="0"/>
    <x v="2"/>
    <x v="16"/>
    <x v="19"/>
    <x v="19"/>
    <x v="19"/>
    <x v="2"/>
    <x v="14"/>
    <x v="2"/>
    <x v="14"/>
    <x v="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pivotTable1.xml><?xml version="1.0" encoding="utf-8"?>
<ns0:pivotTableDefinition xmlns:ns0="http://schemas.openxmlformats.org/spreadsheetml/2006/main" xmlns:ns1="http://schemas.openxmlformats.org/officeDocument/2006/relationships" name="MonthlySessions" cacheId="0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ns1:id="rId1">
  <ns0:location ref="A35:B50" firstHeaderRow="1" firstDataRow="1" firstDataCol="1"/>
  <ns0:pivotFields count="15"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axis="axisRow" showDropDowns="1" compact="1" outline="1" subtotalTop="1" dragToRow="1" dragToCol="1" dragToPage="1" dragToData="1" dragOff="1" showAll="1" topAutoShow="1" itemPageCount="10" sortType="manual" defaultSubtotal="0">
      <ns0:items count="15">
        <ns0:item t="data" sd="1" x="0"/>
        <ns0:item t="data" sd="1" x="1"/>
        <ns0:item t="data" sd="1" x="2"/>
        <ns0:item t="data" sd="1" x="3"/>
        <ns0:item t="data" sd="1" x="4"/>
        <ns0:item t="data" sd="1" x="5"/>
        <ns0:item t="data" sd="1" x="6"/>
        <ns0:item t="data" sd="1" x="7"/>
        <ns0:item t="data" sd="1" x="8"/>
        <ns0:item t="data" sd="1" x="9"/>
        <ns0:item t="data" sd="1" x="10"/>
        <ns0:item t="data" sd="1" x="11"/>
        <ns0:item t="data" sd="1" x="12"/>
        <ns0:item t="data" sd="1" x="13"/>
        <ns0:item t="default" sd="1"/>
      </ns0:items>
    </ns0:pivotField>
  </ns0:pivotFields>
  <ns0:rowFields count="1">
    <ns0:field x="14"/>
  </ns0:rowFields>
  <ns0:rowItems count="15">
    <ns0:i t="data" r="0" i="0">
      <ns0:x v="0"/>
    </ns0:i>
    <ns0:i t="data" r="0" i="0">
      <ns0:x v="1"/>
    </ns0:i>
    <ns0:i t="data" r="0" i="0">
      <ns0:x v="2"/>
    </ns0:i>
    <ns0:i t="data" r="0" i="0">
      <ns0:x v="3"/>
    </ns0:i>
    <ns0:i t="data" r="0" i="0">
      <ns0:x v="4"/>
    </ns0:i>
    <ns0:i t="data" r="0" i="0">
      <ns0:x v="5"/>
    </ns0:i>
    <ns0:i t="data" r="0" i="0">
      <ns0:x v="6"/>
    </ns0:i>
    <ns0:i t="data" r="0" i="0">
      <ns0:x v="7"/>
    </ns0:i>
    <ns0:i t="data" r="0" i="0">
      <ns0:x v="8"/>
    </ns0:i>
    <ns0:i t="data" r="0" i="0">
      <ns0:x v="9"/>
    </ns0:i>
    <ns0:i t="data" r="0" i="0">
      <ns0:x v="10"/>
    </ns0:i>
    <ns0:i t="data" r="0" i="0">
      <ns0:x v="11"/>
    </ns0:i>
    <ns0:i t="data" r="0" i="0">
      <ns0:x v="12"/>
    </ns0:i>
    <ns0:i t="data" r="0" i="0">
      <ns0:x v="13"/>
    </ns0:i>
    <ns0:i t="grand" r="0" i="0">
      <ns0:x v="0"/>
    </ns0:i>
  </ns0:rowItems>
  <ns0:dataFields count="1">
    <ns0:dataField name="Session Count" fld="0" subtotal="count" showDataAs="normal" baseField="-1" baseItem="1048832"/>
  </ns0:dataFields>
</ns0:pivotTableDefinition>
</file>

<file path=xl/pivotTables/pivotTable2.xml><?xml version="1.0" encoding="utf-8"?>
<ns0:pivotTableDefinition xmlns:ns0="http://schemas.openxmlformats.org/spreadsheetml/2006/main" xmlns:ns1="http://schemas.openxmlformats.org/officeDocument/2006/relationships" name="TypeEconomics" cacheId="0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ns1:id="rId1">
  <ns0:location ref="E3:I8" firstHeaderRow="1" firstDataRow="1" firstDataCol="1"/>
  <ns0:pivotFields count="15"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axis="axisRow" showDropDowns="1" compact="1" outline="1" subtotalTop="1" dragToRow="1" dragToCol="1" dragToPage="1" dragToData="1" dragOff="1" showAll="1" topAutoShow="1" itemPageCount="10" sortType="manual" defaultSubtotal="0">
      <ns0:items count="5">
        <ns0:item t="data" sd="1" x="1"/>
        <ns0:item t="data" sd="1" x="0"/>
        <ns0:item t="data" sd="1" x="3"/>
        <ns0:item t="data" sd="1" x="2"/>
        <ns0:item t="default" sd="1"/>
      </ns0:items>
    </ns0:pivotField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</ns0:pivotFields>
  <ns0:rowFields count="1">
    <ns0:field x="4"/>
  </ns0:rowFields>
  <ns0:rowItems count="5">
    <ns0:i t="data" r="0" i="0">
      <ns0:x v="0"/>
    </ns0:i>
    <ns0:i t="data" r="0" i="0">
      <ns0:x v="1"/>
    </ns0:i>
    <ns0:i t="data" r="0" i="0">
      <ns0:x v="2"/>
    </ns0:i>
    <ns0:i t="data" r="0" i="0">
      <ns0:x v="3"/>
    </ns0:i>
    <ns0:i t="grand" r="0" i="0">
      <ns0:x v="0"/>
    </ns0:i>
  </ns0:rowItems>
  <ns0:colFields count="1">
    <ns0:field x="-2"/>
  </ns0:colFields>
  <ns0:colItems count="4">
    <ns0:i t="data" r="0" i="0">
      <ns0:x v="0"/>
    </ns0:i>
    <ns0:i t="data" r="0" i="1">
      <ns0:x v="1"/>
    </ns0:i>
    <ns0:i t="data" r="0" i="2">
      <ns0:x v="2"/>
    </ns0:i>
    <ns0:i t="data" r="0" i="3">
      <ns0:x v="3"/>
    </ns0:i>
  </ns0:colItems>
  <ns0:dataFields count="4">
    <ns0:dataField name="Session Count" fld="0" subtotal="count" showDataAs="normal" baseField="-1" baseItem="1048832"/>
    <ns0:dataField name="Estimated Revenue" fld="8" subtotal="sum" showDataAs="normal" baseField="-1" baseItem="1048832"/>
    <ns0:dataField name="Estimated Contribution" fld="11" subtotal="sum" showDataAs="normal" baseField="-1" baseItem="1048832"/>
    <ns0:dataField name="Contribution / Session" fld="11" subtotal="average" showDataAs="normal" baseField="-1" baseItem="1048832"/>
  </ns0:dataFields>
</ns0:pivotTableDefinition>
</file>

<file path=xl/pivotTables/pivotTable3.xml><?xml version="1.0" encoding="utf-8"?>
<ns0:pivotTableDefinition xmlns:ns0="http://schemas.openxmlformats.org/spreadsheetml/2006/main" xmlns:ns1="http://schemas.openxmlformats.org/officeDocument/2006/relationships" name="EditionEconomics" cacheId="0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ns1:id="rId1">
  <ns0:location ref="F35:H39" firstHeaderRow="1" firstDataRow="1" firstDataCol="1"/>
  <ns0:pivotFields count="15"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axis="axisRow" showDropDowns="1" compact="1" outline="1" subtotalTop="1" dragToRow="1" dragToCol="1" dragToPage="1" dragToData="1" dragOff="1" showAll="1" topAutoShow="1" itemPageCount="10" sortType="manual" defaultSubtotal="0">
      <ns0:items count="4">
        <ns0:item t="data" sd="1" x="0"/>
        <ns0:item t="data" sd="1" x="2"/>
        <ns0:item t="data" sd="1" x="1"/>
        <ns0:item t="default" sd="1"/>
      </ns0:items>
    </ns0:pivotField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</ns0:pivotFields>
  <ns0:rowFields count="1">
    <ns0:field x="10"/>
  </ns0:rowFields>
  <ns0:rowItems count="4">
    <ns0:i t="data" r="0" i="0">
      <ns0:x v="0"/>
    </ns0:i>
    <ns0:i t="data" r="0" i="0">
      <ns0:x v="1"/>
    </ns0:i>
    <ns0:i t="data" r="0" i="0">
      <ns0:x v="2"/>
    </ns0:i>
    <ns0:i t="grand" r="0" i="0">
      <ns0:x v="0"/>
    </ns0:i>
  </ns0:rowItems>
  <ns0:colFields count="1">
    <ns0:field x="-2"/>
  </ns0:colFields>
  <ns0:colItems count="2">
    <ns0:i t="data" r="0" i="0">
      <ns0:x v="0"/>
    </ns0:i>
    <ns0:i t="data" r="0" i="1">
      <ns0:x v="1"/>
    </ns0:i>
  </ns0:colItems>
  <ns0:dataFields count="2">
    <ns0:dataField name="Contribution / Session" fld="11" subtotal="average" showDataAs="normal" baseField="-1" baseItem="1048832"/>
    <ns0:dataField name="Session Count" fld="0" subtotal="count" showDataAs="normal" baseField="-1" baseItem="1048832"/>
  </ns0:dataFields>
</ns0:pivotTableDefinition>
</file>

<file path=xl/pivotTables/pivotTable4.xml><?xml version="1.0" encoding="utf-8"?>
<ns0:pivotTableDefinition xmlns:ns0="http://schemas.openxmlformats.org/spreadsheetml/2006/main" xmlns:ns1="http://schemas.openxmlformats.org/officeDocument/2006/relationships" name="RecoveryScenarios" cacheId="0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ns1:id="rId1">
  <ns0:location ref="F45:J49" firstHeaderRow="1" firstDataRow="1" firstDataCol="1"/>
  <ns0:pivotFields count="27"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dataField="1" showDropDowns="1" compact="1" outline="1" subtotalTop="1" dragToRow="1" dragToCol="1" dragToPage="1" dragToData="1" dragOff="1" showAll="1" topAutoShow="1" itemPageCount="10" sortType="manual" defaultSubtotal="1"/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axis="axisRow" showDropDowns="1" compact="1" outline="1" subtotalTop="1" dragToRow="1" dragToCol="1" dragToPage="1" dragToData="1" dragOff="1" showAll="1" topAutoShow="1" itemPageCount="10" sortType="manual" defaultSubtotal="0">
      <ns0:items count="4">
        <ns0:item t="data" sd="1" x="0"/>
        <ns0:item t="data" sd="1" x="2"/>
        <ns0:item t="data" sd="1" x="1"/>
        <ns0:item t="default" sd="1"/>
      </ns0:items>
    </ns0:pivotField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</ns0:pivotFields>
  <ns0:rowFields count="1">
    <ns0:field x="22"/>
  </ns0:rowFields>
  <ns0:rowItems count="4">
    <ns0:i t="data" r="0" i="0">
      <ns0:x v="0"/>
    </ns0:i>
    <ns0:i t="data" r="0" i="0">
      <ns0:x v="1"/>
    </ns0:i>
    <ns0:i t="data" r="0" i="0">
      <ns0:x v="2"/>
    </ns0:i>
    <ns0:i t="grand" r="0" i="0">
      <ns0:x v="0"/>
    </ns0:i>
  </ns0:rowItems>
  <ns0:colFields count="1">
    <ns0:field x="-2"/>
  </ns0:colFields>
  <ns0:colItems count="4">
    <ns0:i t="data" r="0" i="0">
      <ns0:x v="0"/>
    </ns0:i>
    <ns0:i t="data" r="0" i="1">
      <ns0:x v="1"/>
    </ns0:i>
    <ns0:i t="data" r="0" i="2">
      <ns0:x v="2"/>
    </ns0:i>
    <ns0:i t="data" r="0" i="3">
      <ns0:x v="3"/>
    </ns0:i>
  </ns0:colItems>
  <ns0:dataFields count="4">
    <ns0:dataField name="Script Count" fld="0" subtotal="count" showDataAs="normal" baseField="-1" baseItem="1048832"/>
    <ns0:dataField name="Sessions" fld="17" subtotal="sum" showDataAs="normal" baseField="-1" baseItem="1048832"/>
    <ns0:dataField name="Base Cost" fld="15" subtotal="sum" showDataAs="normal" baseField="-1" baseItem="1048832"/>
    <ns0:dataField name="Contribution" fld="18" subtotal="sum" showDataAs="normal" baseField="-1" baseItem="1048832"/>
  </ns0:dataFields>
</ns0:pivotTableDefinition>
</file>

<file path=xl/pivotTables/pivotTable5.xml><?xml version="1.0" encoding="utf-8"?>
<ns0:pivotTableDefinition xmlns:ns0="http://schemas.openxmlformats.org/spreadsheetml/2006/main" xmlns:ns1="http://schemas.openxmlformats.org/officeDocument/2006/relationships" name="StrategySegments" cacheId="0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ns1:id="rId1">
  <ns0:location ref="A58:D64" firstHeaderRow="1" firstDataRow="1" firstDataCol="1"/>
  <ns0:pivotFields count="27"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dataField="1" showDropDowns="1" compact="1" outline="1" subtotalTop="1" dragToRow="1" dragToCol="1" dragToPage="1" dragToData="1" dragOff="1" showAll="1" topAutoShow="1" itemPageCount="10" sortType="manual" defaultSubtotal="1"/>
    <ns0:pivotField dataField="1"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showDropDowns="1" compact="1" outline="1" subtotalTop="1" dragToRow="1" dragToCol="1" dragToPage="1" dragToData="1" dragOff="1" showAll="1" topAutoShow="1" itemPageCount="10" sortType="manual" defaultSubtotal="1"/>
    <ns0:pivotField axis="axisRow" showDropDowns="1" compact="1" outline="1" subtotalTop="1" dragToRow="1" dragToCol="1" dragToPage="1" dragToData="1" dragOff="1" showAll="1" topAutoShow="1" itemPageCount="10" sortType="manual" defaultSubtotal="0">
      <ns0:items count="6">
        <ns0:item t="data" sd="1" x="3"/>
        <ns0:item t="data" sd="1" x="2"/>
        <ns0:item t="data" sd="1" x="4"/>
        <ns0:item t="data" sd="1" x="1"/>
        <ns0:item t="data" sd="1" x="0"/>
        <ns0:item t="default" sd="1"/>
      </ns0:items>
    </ns0:pivotField>
  </ns0:pivotFields>
  <ns0:rowFields count="1">
    <ns0:field x="26"/>
  </ns0:rowFields>
  <ns0:rowItems count="6">
    <ns0:i t="data" r="0" i="0">
      <ns0:x v="0"/>
    </ns0:i>
    <ns0:i t="data" r="0" i="0">
      <ns0:x v="1"/>
    </ns0:i>
    <ns0:i t="data" r="0" i="0">
      <ns0:x v="2"/>
    </ns0:i>
    <ns0:i t="data" r="0" i="0">
      <ns0:x v="3"/>
    </ns0:i>
    <ns0:i t="data" r="0" i="0">
      <ns0:x v="4"/>
    </ns0:i>
    <ns0:i t="grand" r="0" i="0">
      <ns0:x v="0"/>
    </ns0:i>
  </ns0:rowItems>
  <ns0:colFields count="1">
    <ns0:field x="-2"/>
  </ns0:colFields>
  <ns0:colItems count="3">
    <ns0:i t="data" r="0" i="0">
      <ns0:x v="0"/>
    </ns0:i>
    <ns0:i t="data" r="0" i="1">
      <ns0:x v="1"/>
    </ns0:i>
    <ns0:i t="data" r="0" i="2">
      <ns0:x v="2"/>
    </ns0:i>
  </ns0:colItems>
  <ns0:dataFields count="3">
    <ns0:dataField name="Contribution" fld="18" subtotal="sum" showDataAs="normal" baseField="-1" baseItem="1048832"/>
    <ns0:dataField name="Sessions" fld="17" subtotal="sum" showDataAs="normal" baseField="-1" baseItem="1048832"/>
    <ns0:dataField name="Script Count" fld="0" subtotal="count" showDataAs="normal" baseField="-1" baseItem="1048832"/>
  </ns0:dataFields>
</ns0:pivotTableDefinition>
</file>

<file path=xl/tables/table1.xml><?xml version="1.0" encoding="utf-8"?>
<table xmlns="http://schemas.openxmlformats.org/spreadsheetml/2006/main" id="1" name="Script_List" displayName="Script_List" ref="A1:AA161" headerRowCount="1">
  <autoFilter ref="A1:AA161"/>
  <tableColumns count="27">
    <tableColumn id="1" name="Script ID"/>
    <tableColumn id="2" name="Script Name"/>
    <tableColumn id="3" name="Script Type"/>
    <tableColumn id="4" name="DM"/>
    <tableColumn id="5" name="Players"/>
    <tableColumn id="6" name="Price Per Player"/>
    <tableColumn id="7" name="Estimated Gross Revenue"/>
    <tableColumn id="8" name="Standard DM Wage"/>
    <tableColumn id="9" name="Script Edition"/>
    <tableColumn id="10" name="Estimated Contribution"/>
    <tableColumn id="11" name="Rating"/>
    <tableColumn id="12" name="Cost Low(RMB)"/>
    <tableColumn id="13" name="Cost Base(RMB)"/>
    <tableColumn id="14" name="Cost High(RMB)"/>
    <tableColumn id="15" name="Cost Low(USD)"/>
    <tableColumn id="16" name="Cost Base(USD)"/>
    <tableColumn id="17" name="Cost High(USD)"/>
    <tableColumn id="18" name="Observed Session Count"/>
    <tableColumn id="19" name="Cumulative Estimated Contribution"/>
    <tableColumn id="20" name="Surplus - Low Cost"/>
    <tableColumn id="21" name="Surplus - Base Cost"/>
    <tableColumn id="22" name="Surplus - High Cost"/>
    <tableColumn id="23" name="Cost Recovery Status"/>
    <tableColumn id="24" name="Average Contribution per Session"/>
    <tableColumn id="25" name="Open Session Count"/>
    <tableColumn id="26" name="Avg Contribution(Opened Only)"/>
    <tableColumn id="27" name="Strategy Segment"/>
  </tableColumns>
  <tableStyleInfo name="TableStyleMedium2" showRowStripes="1"/>
</table>
</file>

<file path=xl/tables/table2.xml><?xml version="1.0" encoding="utf-8"?>
<table xmlns="http://schemas.openxmlformats.org/spreadsheetml/2006/main" id="2" name="RawData" displayName="RawData" ref="A1:O417" headerRowCount="1">
  <autoFilter ref="A1:O417"/>
  <tableColumns count="15">
    <tableColumn id="1" name="Session ID"/>
    <tableColumn id="2" name="Script ID"/>
    <tableColumn id="3" name="Date"/>
    <tableColumn id="4" name="Script Name"/>
    <tableColumn id="5" name="Script Type"/>
    <tableColumn id="6" name="DM Count"/>
    <tableColumn id="7" name="Players"/>
    <tableColumn id="8" name="Price Per Player"/>
    <tableColumn id="9" name="Estimated Gross Revenue"/>
    <tableColumn id="10" name="Standard DM Wage"/>
    <tableColumn id="11" name="Script Edition"/>
    <tableColumn id="12" name="Estimated Contribution"/>
    <tableColumn id="13" name="Rating"/>
    <tableColumn id="14" name="Month Start"/>
    <tableColumn id="15" name="Report Mont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Relationship Type="http://schemas.openxmlformats.org/officeDocument/2006/relationships/pivotTable" Target="/xl/pivotTables/pivotTable5.xml" Id="rId5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1"/>
  <ns0:sheetViews>
    <ns0:sheetView showGridLines="0" workbookViewId="0">
      <ns0:selection activeCell="A1" sqref="A1"/>
    </ns0:sheetView>
  </ns0:sheetViews>
  <ns0:sheetFormatPr baseColWidth="8" defaultRowHeight="15"/>
  <ns0:cols>
    <ns0:col width="118" customWidth="1" min="1" max="1"/>
  </ns0:cols>
  <ns0:sheetData>
    <ns0:row r="1" ht="34" customHeight="1">
      <ns0:c r="A1" s="1" t="inlineStr">
        <ns0:is>
          <ns0:t>Script Store Operations Analysis</ns0:t>
        </ns0:is>
      </ns0:c>
    </ns0:row>
    <ns0:row r="2" ht="34" customHeight="1">
      <ns0:c r="A2" s="2" t="inlineStr">
        <ns0:is>
          <ns0:t>Synthetic public workbook. No original pivot caches were copied.</ns0:t>
        </ns0:is>
      </ns0:c>
    </ns0:row>
    <ns0:row r="3" ht="34" customHeight="1">
      <ns0:c r="A3" s="2" t="inlineStr">
        <ns0:is>
          <ns0:t>Start with Dashboard, then inspect Raw Data, Script_List, Assumptions and Checks.</ns0:t>
        </ns0:is>
      </ns0:c>
    </ns0:row>
    <ns0:row r="4" ht="34" customHeight="1">
      <ns0:c r="A4" s="2" t="inlineStr">
        <ns0:is>
          <ns0:t>Raw Data: one operated session per row; Script_List: one fictional script per row.</ns0:t>
        </ns0:is>
      </ns0:c>
    </ns0:row>
    <ns0:row r="5" ht="34" customHeight="1">
      <ns0:c r="A5" s="2" t="inlineStr">
        <ns0:is>
          <ns0:t>Five native PivotTables are rebuilt from synthetic caches on Pivot_Analysis.</ns0:t>
        </ns0:is>
      </ns0:c>
    </ns0:row>
    <ns0:row r="6" ht="34" customHeight="1">
      <ns0:c r="A6" s="2" t="inlineStr">
        <ns0:is>
          <ns0:t>After changing inputs: allow Excel calculation, then Data &gt; Refresh All for PivotTables.</ns0:t>
        </ns0:is>
      </ns0:c>
    </ns0:row>
    <ns0:row r="7" ht="34" customHeight="1">
      <ns0:c r="A7" s="2" t="inlineStr">
        <ns0:is>
          <ns0:t>Charts use formula helpers; top-20 and scatter membership reflect this 416-session snapshot.</ns0:t>
        </ns0:is>
      </ns0:c>
    </ns0:row>
    <ns0:row r="8" ht="34" customHeight="1">
      <ns0:c r="A8" s="2" t="inlineStr">
        <ns0:is>
          <ns0:t>If adding new scripts, extend helper ranges and recalculate median cutoffs before reviewing segments.</ns0:t>
        </ns0:is>
      </ns0:c>
    </ns0:row>
    <ns0:row r="9" ht="34" customHeight="1">
      <ns0:c r="A9" s="2" t="inlineStr">
        <ns0:is>
          <ns0:t>Standard DM Wage is a supplied total wage input; tips are outside store economics.</ns0:t>
        </ns0:is>
      </ns0:c>
    </ns0:row>
    <ns0:row r="10" ht="34" customHeight="1">
      <ns0:c r="A10" s="2" t="inlineStr">
        <ns0:is>
          <ns0:t>No claim of actual business impact. See GitHub documentation for decisions and limits.</ns0:t>
        </ns0:is>
      </ns0:c>
    </ns0:row>
    <ns0:row r="11" ht="34" customHeight="1">
      <ns0:c r="A11" s="2" t="inlineStr">
        <ns0:is>
          <ns0:t>Validation: independent numerical controls checked; native Excel refresh still requires a user check.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W167"/>
  <ns0:sheetViews>
    <ns0:sheetView showGridLines="0" workbookViewId="0">
      <ns0:selection activeCell="A1" sqref="A1"/>
    </ns0:sheetView>
  </ns0:sheetViews>
  <ns0:sheetFormatPr baseColWidth="8" defaultRowHeight="15"/>
  <ns0:cols>
    <ns0:col width="13" customWidth="1" min="1" max="1"/>
    <ns0:col width="13" customWidth="1" min="2" max="2"/>
    <ns0:col width="13" customWidth="1" min="3" max="3"/>
    <ns0:col width="13" customWidth="1" min="4" max="4"/>
    <ns0:col width="13" customWidth="1" min="5" max="5"/>
    <ns0:col width="13" customWidth="1" min="6" max="6"/>
    <ns0:col width="13" customWidth="1" min="7" max="7"/>
    <ns0:col width="13" customWidth="1" min="8" max="8"/>
    <ns0:col width="13" customWidth="1" min="9" max="9"/>
    <ns0:col width="13" customWidth="1" min="10" max="10"/>
    <ns0:col width="13" customWidth="1" min="11" max="11"/>
    <ns0:col width="13" customWidth="1" min="12" max="12"/>
    <ns0:col width="20" customWidth="1" min="13" max="13"/>
    <ns0:col width="20" customWidth="1" min="14" max="14"/>
    <ns0:col width="20" customWidth="1" min="15" max="15"/>
    <ns0:col width="20" customWidth="1" min="16" max="16"/>
    <ns0:col width="20" customWidth="1" min="17" max="17"/>
    <ns0:col width="20" customWidth="1" min="18" max="18"/>
    <ns0:col width="20" customWidth="1" min="19" max="19"/>
    <ns0:col width="20" customWidth="1" min="20" max="20"/>
    <ns0:col width="20" customWidth="1" min="21" max="21"/>
    <ns0:col width="20" customWidth="1" min="22" max="22"/>
    <ns0:col width="20" customWidth="1" min="23" max="23"/>
  </ns0:cols>
  <ns0:sheetData>
    <ns0:row r="1" ht="20" customHeight="1">
      <ns0:c r="A1" s="3" t="inlineStr">
        <ns0:is>
          <ns0:t>Script Store Performance Dashboard</ns0:t>
        </ns0:is>
      </ns0:c>
      <ns0:c r="M1" s="1" t="n"/>
      <ns0:c r="N1" s="1" t="n"/>
      <ns0:c r="O1" s="1" t="n"/>
      <ns0:c r="P1" s="1" t="n"/>
      <ns0:c r="Q1" s="1" t="n"/>
      <ns0:c r="R1" s="1" t="n"/>
      <ns0:c r="S1" s="1" t="n"/>
      <ns0:c r="T1" s="1" t="n"/>
      <ns0:c r="U1" s="1" t="n"/>
      <ns0:c r="V1" s="1" t="n"/>
      <ns0:c r="W1" s="1" t="n"/>
    </ns0:row>
    <ns0:row r="2" ht="20" customHeight="1">
      <ns0:c r="A2" s="4" t="inlineStr">
        <ns0:is>
          <ns0:t>Synthetic data | Sep 2025–Oct 8, 2026 | Estimated contribution is not net profit</ns0:t>
        </ns0:is>
      </ns0:c>
    </ns0:row>
    <ns0:row r="3" ht="20" customHeight="1"/>
    <ns0:row r="4" ht="20" customHeight="1">
      <ns0:c r="A4" s="4" t="inlineStr">
        <ns0:is>
          <ns0:t>Sessions</ns0:t>
        </ns0:is>
      </ns0:c>
      <ns0:c r="D4" s="4" t="inlineStr">
        <ns0:is>
          <ns0:t>Estimated Revenue</ns0:t>
        </ns0:is>
      </ns0:c>
      <ns0:c r="G4" s="4" t="inlineStr">
        <ns0:is>
          <ns0:t>Estimated Contribution</ns0:t>
        </ns0:is>
      </ns0:c>
      <ns0:c r="J4" s="4" t="inlineStr">
        <ns0:is>
          <ns0:t>Scripts Opened</ns0:t>
        </ns0:is>
      </ns0:c>
    </ns0:row>
    <ns0:row r="5" ht="20" customHeight="1">
      <ns0:c r="A5" s="5">
        <ns0:f>COUNTA(RawData[Session ID])</ns0:f>
        <ns0:v>416</ns0:v>
      </ns0:c>
      <ns0:c r="D5" s="6">
        <ns0:f>SUM(RawData[Estimated Gross Revenue])</ns0:f>
        <ns0:v>280352</ns0:v>
      </ns0:c>
      <ns0:c r="G5" s="6">
        <ns0:f>SUM(RawData[Estimated Contribution])</ns0:f>
        <ns0:v>195440</ns0:v>
      </ns0:c>
      <ns0:c r="J5" s="5">
        <ns0:f>COUNTIF(Script_List[Observed Session Count],"&gt;0")</ns0:f>
        <ns0:v>136</ns0:v>
      </ns0:c>
    </ns0:row>
    <ns0:row r="6" ht="20" customHeight="1"/>
    <ns0:row r="7" ht="20" customHeight="1"/>
    <ns0:row r="8" ht="20" customHeight="1">
      <ns0:c r="P8" s="4" t="inlineStr">
        <ns0:is>
          <ns0:t>Month</ns0:t>
        </ns0:is>
      </ns0:c>
      <ns0:c r="Q8" s="4" t="inlineStr">
        <ns0:is>
          <ns0:t>Sessions</ns0:t>
        </ns0:is>
      </ns0:c>
    </ns0:row>
    <ns0:row r="9" ht="20" customHeight="1">
      <ns0:c r="P9" s="7" t="n">
        <ns0:v>45901</ns0:v>
      </ns0:c>
      <ns0:c r="Q9" s="4">
        <ns0:f>COUNTIF(RawData[Month Start],P9)</ns0:f>
        <ns0:v>31</ns0:v>
      </ns0:c>
    </ns0:row>
    <ns0:row r="10" ht="20" customHeight="1">
      <ns0:c r="P10" s="7" t="n">
        <ns0:v>45931</ns0:v>
      </ns0:c>
      <ns0:c r="Q10" s="4">
        <ns0:f>COUNTIF(RawData[Month Start],P10)</ns0:f>
        <ns0:v>32</ns0:v>
      </ns0:c>
    </ns0:row>
    <ns0:row r="11" ht="20" customHeight="1">
      <ns0:c r="P11" s="7" t="n">
        <ns0:v>45962</ns0:v>
      </ns0:c>
      <ns0:c r="Q11" s="4">
        <ns0:f>COUNTIF(RawData[Month Start],P11)</ns0:f>
        <ns0:v>31</ns0:v>
      </ns0:c>
    </ns0:row>
    <ns0:row r="12" ht="20" customHeight="1">
      <ns0:c r="P12" s="7" t="n">
        <ns0:v>45992</ns0:v>
      </ns0:c>
      <ns0:c r="Q12" s="4">
        <ns0:f>COUNTIF(RawData[Month Start],P12)</ns0:f>
        <ns0:v>32</ns0:v>
      </ns0:c>
    </ns0:row>
    <ns0:row r="13" ht="20" customHeight="1">
      <ns0:c r="P13" s="7" t="n">
        <ns0:v>46023</ns0:v>
      </ns0:c>
      <ns0:c r="Q13" s="4">
        <ns0:f>COUNTIF(RawData[Month Start],P13)</ns0:f>
        <ns0:v>32</ns0:v>
      </ns0:c>
    </ns0:row>
    <ns0:row r="14" ht="20" customHeight="1">
      <ns0:c r="P14" s="7" t="n">
        <ns0:v>46054</ns0:v>
      </ns0:c>
      <ns0:c r="Q14" s="4">
        <ns0:f>COUNTIF(RawData[Month Start],P14)</ns0:f>
        <ns0:v>29</ns0:v>
      </ns0:c>
    </ns0:row>
    <ns0:row r="15" ht="20" customHeight="1">
      <ns0:c r="P15" s="7" t="n">
        <ns0:v>46082</ns0:v>
      </ns0:c>
      <ns0:c r="Q15" s="4">
        <ns0:f>COUNTIF(RawData[Month Start],P15)</ns0:f>
        <ns0:v>32</ns0:v>
      </ns0:c>
    </ns0:row>
    <ns0:row r="16" ht="20" customHeight="1">
      <ns0:c r="P16" s="7" t="n">
        <ns0:v>46113</ns0:v>
      </ns0:c>
      <ns0:c r="Q16" s="4">
        <ns0:f>COUNTIF(RawData[Month Start],P16)</ns0:f>
        <ns0:v>31</ns0:v>
      </ns0:c>
    </ns0:row>
    <ns0:row r="17" ht="20" customHeight="1">
      <ns0:c r="P17" s="7" t="n">
        <ns0:v>46143</ns0:v>
      </ns0:c>
      <ns0:c r="Q17" s="4">
        <ns0:f>COUNTIF(RawData[Month Start],P17)</ns0:f>
        <ns0:v>32</ns0:v>
      </ns0:c>
    </ns0:row>
    <ns0:row r="18" ht="20" customHeight="1">
      <ns0:c r="P18" s="7" t="n">
        <ns0:v>46174</ns0:v>
      </ns0:c>
      <ns0:c r="Q18" s="4">
        <ns0:f>COUNTIF(RawData[Month Start],P18)</ns0:f>
        <ns0:v>31</ns0:v>
      </ns0:c>
    </ns0:row>
    <ns0:row r="19" ht="20" customHeight="1">
      <ns0:c r="P19" s="7" t="n">
        <ns0:v>46204</ns0:v>
      </ns0:c>
      <ns0:c r="Q19" s="4">
        <ns0:f>COUNTIF(RawData[Month Start],P19)</ns0:f>
        <ns0:v>32</ns0:v>
      </ns0:c>
    </ns0:row>
    <ns0:row r="20" ht="20" customHeight="1">
      <ns0:c r="P20" s="7" t="n">
        <ns0:v>46235</ns0:v>
      </ns0:c>
      <ns0:c r="Q20" s="4">
        <ns0:f>COUNTIF(RawData[Month Start],P20)</ns0:f>
        <ns0:v>32</ns0:v>
      </ns0:c>
    </ns0:row>
    <ns0:row r="21" ht="20" customHeight="1">
      <ns0:c r="P21" s="7" t="n">
        <ns0:v>46266</ns0:v>
      </ns0:c>
      <ns0:c r="Q21" s="4">
        <ns0:f>COUNTIF(RawData[Month Start],P21)</ns0:f>
        <ns0:v>31</ns0:v>
      </ns0:c>
    </ns0:row>
    <ns0:row r="22" ht="20" customHeight="1">
      <ns0:c r="P22" s="7" t="n">
        <ns0:v>46296</ns0:v>
      </ns0:c>
      <ns0:c r="Q22" s="4">
        <ns0:f>COUNTIF(RawData[Month Start],P22)</ns0:f>
        <ns0:v>8</ns0:v>
      </ns0:c>
    </ns0:row>
    <ns0:row r="23" ht="20" customHeight="1"/>
    <ns0:row r="24" ht="20" customHeight="1"/>
    <ns0:row r="25" ht="20" customHeight="1">
      <ns0:c r="P25" s="4" t="inlineStr">
        <ns0:is>
          <ns0:t>Edition</ns0:t>
        </ns0:is>
      </ns0:c>
      <ns0:c r="Q25" s="4" t="inlineStr">
        <ns0:is>
          <ns0:t>Contribution / Session</ns0:t>
        </ns0:is>
      </ns0:c>
      <ns0:c r="R25" s="4" t="inlineStr">
        <ns0:is>
          <ns0:t>Sessions</ns0:t>
        </ns0:is>
      </ns0:c>
    </ns0:row>
    <ns0:row r="26" ht="20" customHeight="1">
      <ns0:c r="P26" s="4" t="inlineStr">
        <ns0:is>
          <ns0:t>城限</ns0:t>
        </ns0:is>
      </ns0:c>
      <ns0:c r="Q26" s="4">
        <ns0:f>AVERAGEIF(RawData[Script Edition],P26,RawData[Estimated Contribution])</ns0:f>
        <ns0:v>505.5</ns0:v>
      </ns0:c>
      <ns0:c r="R26" s="4">
        <ns0:f>COUNTIF(RawData[Script Edition],P26)</ns0:f>
        <ns0:v>144</ns0:v>
      </ns0:c>
    </ns0:row>
    <ns0:row r="27" ht="20" customHeight="1">
      <ns0:c r="P27" s="4" t="inlineStr">
        <ns0:is>
          <ns0:t>独家</ns0:t>
        </ns0:is>
      </ns0:c>
      <ns0:c r="Q27" s="4">
        <ns0:f>AVERAGEIF(RawData[Script Edition],P27,RawData[Estimated Contribution])</ns0:f>
        <ns0:v>527.8571428571429</ns0:v>
      </ns0:c>
      <ns0:c r="R27" s="4">
        <ns0:f>COUNTIF(RawData[Script Edition],P27)</ns0:f>
        <ns0:v>56</ns0:v>
      </ns0:c>
    </ns0:row>
    <ns0:row r="28" ht="20" customHeight="1">
      <ns0:c r="P28" s="4" t="inlineStr">
        <ns0:is>
          <ns0:t>盒装</ns0:t>
        </ns0:is>
      </ns0:c>
      <ns0:c r="Q28" s="4">
        <ns0:f>AVERAGEIF(RawData[Script Edition],P28,RawData[Estimated Contribution])</ns0:f>
        <ns0:v>430.962962962963</ns0:v>
      </ns0:c>
      <ns0:c r="R28" s="4">
        <ns0:f>COUNTIF(RawData[Script Edition],P28)</ns0:f>
        <ns0:v>216</ns0:v>
      </ns0:c>
    </ns0:row>
    <ns0:row r="29" ht="20" customHeight="1"/>
    <ns0:row r="30" ht="20" customHeight="1"/>
    <ns0:row r="31" ht="20" customHeight="1">
      <ns0:c r="P31" s="4" t="inlineStr">
        <ns0:is>
          <ns0:t>Opened Script</ns0:t>
        </ns0:is>
      </ns0:c>
      <ns0:c r="Q31" s="4" t="inlineStr">
        <ns0:is>
          <ns0:t>Sessions</ns0:t>
        </ns0:is>
      </ns0:c>
      <ns0:c r="R31" s="4" t="inlineStr">
        <ns0:is>
          <ns0:t>Contribution / Session</ns0:t>
        </ns0:is>
      </ns0:c>
      <ns0:c r="T31" s="4" t="inlineStr">
        <ns0:is>
          <ns0:t>Frequency cutoff X</ns0:t>
        </ns0:is>
      </ns0:c>
      <ns0:c r="U31" s="4" t="inlineStr">
        <ns0:is>
          <ns0:t>Cutoff Y</ns0:t>
        </ns0:is>
      </ns0:c>
      <ns0:c r="V31" s="4" t="inlineStr">
        <ns0:is>
          <ns0:t>Contribution cutoff X</ns0:t>
        </ns0:is>
      </ns0:c>
      <ns0:c r="W31" s="4" t="inlineStr">
        <ns0:is>
          <ns0:t>Cutoff Y</ns0:t>
        </ns0:is>
      </ns0:c>
    </ns0:row>
    <ns0:row r="32" ht="20" customHeight="1">
      <ns0:c r="P32" s="4" t="inlineStr">
        <ns0:is>
          <ns0:t>SYN-002</ns0:t>
        </ns0:is>
      </ns0:c>
      <ns0:c r="Q32" s="4">
        <ns0:f>INDEX(Script_List!$R$2:$R$161,MATCH(P32,Script_List!$A$2:$A$161,0))</ns0:f>
        <ns0:v>1</ns0:v>
      </ns0:c>
      <ns0:c r="R32" s="4">
        <ns0:f>INDEX(Script_List!$X$2:$X$161,MATCH(P32,Script_List!$A$2:$A$161,0))</ns0:f>
        <ns0:v>332.0</ns0:v>
      </ns0:c>
      <ns0:c r="T32" s="4">
        <ns0:f>Assumptions!B3</ns0:f>
        <ns0:v>2.0</ns0:v>
      </ns0:c>
      <ns0:c r="U32" s="4">
        <ns0:f>0</ns0:f>
        <ns0:v>0</ns0:v>
      </ns0:c>
      <ns0:c r="V32" s="4">
        <ns0:f>0</ns0:f>
        <ns0:v>0</ns0:v>
      </ns0:c>
      <ns0:c r="W32" s="4">
        <ns0:f>Assumptions!B4</ns0:f>
        <ns0:v>490.0</ns0:v>
      </ns0:c>
    </ns0:row>
    <ns0:row r="33" ht="20" customHeight="1">
      <ns0:c r="P33" s="4" t="inlineStr">
        <ns0:is>
          <ns0:t>SYN-003</ns0:t>
        </ns0:is>
      </ns0:c>
      <ns0:c r="Q33" s="4">
        <ns0:f>INDEX(Script_List!$R$2:$R$161,MATCH(P33,Script_List!$A$2:$A$161,0))</ns0:f>
        <ns0:v>3</ns0:v>
      </ns0:c>
      <ns0:c r="R33" s="4">
        <ns0:f>INDEX(Script_List!$X$2:$X$161,MATCH(P33,Script_List!$A$2:$A$161,0))</ns0:f>
        <ns0:v>438.0</ns0:v>
      </ns0:c>
      <ns0:c r="T33" s="4">
        <ns0:f>Assumptions!B3</ns0:f>
        <ns0:v>2.0</ns0:v>
      </ns0:c>
      <ns0:c r="U33" s="4">
        <ns0:f>MAX(R32:R167)</ns0:f>
        <ns0:v>648.0</ns0:v>
      </ns0:c>
      <ns0:c r="V33" s="4">
        <ns0:f>MAX(Q32:Q167)</ns0:f>
        <ns0:v>10</ns0:v>
      </ns0:c>
      <ns0:c r="W33" s="4">
        <ns0:f>Assumptions!B4</ns0:f>
        <ns0:v>490.0</ns0:v>
      </ns0:c>
    </ns0:row>
    <ns0:row r="34" ht="20" customHeight="1">
      <ns0:c r="P34" s="4" t="inlineStr">
        <ns0:is>
          <ns0:t>SYN-005</ns0:t>
        </ns0:is>
      </ns0:c>
      <ns0:c r="Q34" s="4">
        <ns0:f>INDEX(Script_List!$R$2:$R$161,MATCH(P34,Script_List!$A$2:$A$161,0))</ns0:f>
        <ns0:v>2</ns0:v>
      </ns0:c>
      <ns0:c r="R34" s="4">
        <ns0:f>INDEX(Script_List!$X$2:$X$161,MATCH(P34,Script_List!$A$2:$A$161,0))</ns0:f>
        <ns0:v>383.0</ns0:v>
      </ns0:c>
    </ns0:row>
    <ns0:row r="35" ht="20" customHeight="1">
      <ns0:c r="P35" s="4" t="inlineStr">
        <ns0:is>
          <ns0:t>SYN-006</ns0:t>
        </ns0:is>
      </ns0:c>
      <ns0:c r="Q35" s="4">
        <ns0:f>INDEX(Script_List!$R$2:$R$161,MATCH(P35,Script_List!$A$2:$A$161,0))</ns0:f>
        <ns0:v>4</ns0:v>
      </ns0:c>
      <ns0:c r="R35" s="4">
        <ns0:f>INDEX(Script_List!$X$2:$X$161,MATCH(P35,Script_List!$A$2:$A$161,0))</ns0:f>
        <ns0:v>474.0</ns0:v>
      </ns0:c>
    </ns0:row>
    <ns0:row r="36" ht="20" customHeight="1">
      <ns0:c r="P36" s="4" t="inlineStr">
        <ns0:is>
          <ns0:t>SYN-008</ns0:t>
        </ns0:is>
      </ns0:c>
      <ns0:c r="Q36" s="4">
        <ns0:f>INDEX(Script_List!$R$2:$R$161,MATCH(P36,Script_List!$A$2:$A$161,0))</ns0:f>
        <ns0:v>2</ns0:v>
      </ns0:c>
      <ns0:c r="R36" s="4">
        <ns0:f>INDEX(Script_List!$X$2:$X$161,MATCH(P36,Script_List!$A$2:$A$161,0))</ns0:f>
        <ns0:v>527.0</ns0:v>
      </ns0:c>
    </ns0:row>
    <ns0:row r="37" ht="20" customHeight="1">
      <ns0:c r="P37" s="4" t="inlineStr">
        <ns0:is>
          <ns0:t>SYN-009</ns0:t>
        </ns0:is>
      </ns0:c>
      <ns0:c r="Q37" s="4">
        <ns0:f>INDEX(Script_List!$R$2:$R$161,MATCH(P37,Script_List!$A$2:$A$161,0))</ns0:f>
        <ns0:v>4</ns0:v>
      </ns0:c>
      <ns0:c r="R37" s="4">
        <ns0:f>INDEX(Script_List!$X$2:$X$161,MATCH(P37,Script_List!$A$2:$A$161,0))</ns0:f>
        <ns0:v>490.0</ns0:v>
      </ns0:c>
    </ns0:row>
    <ns0:row r="38" ht="20" customHeight="1">
      <ns0:c r="P38" s="4" t="inlineStr">
        <ns0:is>
          <ns0:t>SYN-010</ns0:t>
        </ns0:is>
      </ns0:c>
      <ns0:c r="Q38" s="4">
        <ns0:f>INDEX(Script_List!$R$2:$R$161,MATCH(P38,Script_List!$A$2:$A$161,0))</ns0:f>
        <ns0:v>1</ns0:v>
      </ns0:c>
      <ns0:c r="R38" s="4">
        <ns0:f>INDEX(Script_List!$X$2:$X$161,MATCH(P38,Script_List!$A$2:$A$161,0))</ns0:f>
        <ns0:v>332.0</ns0:v>
      </ns0:c>
    </ns0:row>
    <ns0:row r="39" ht="20" customHeight="1">
      <ns0:c r="P39" s="4" t="inlineStr">
        <ns0:is>
          <ns0:t>SYN-011</ns0:t>
        </ns0:is>
      </ns0:c>
      <ns0:c r="Q39" s="4">
        <ns0:f>INDEX(Script_List!$R$2:$R$161,MATCH(P39,Script_List!$A$2:$A$161,0))</ns0:f>
        <ns0:v>2</ns0:v>
      </ns0:c>
      <ns0:c r="R39" s="4">
        <ns0:f>INDEX(Script_List!$X$2:$X$161,MATCH(P39,Script_List!$A$2:$A$161,0))</ns0:f>
        <ns0:v>528.0</ns0:v>
      </ns0:c>
    </ns0:row>
    <ns0:row r="40" ht="20" customHeight="1">
      <ns0:c r="P40" s="4" t="inlineStr">
        <ns0:is>
          <ns0:t>SYN-012</ns0:t>
        </ns0:is>
      </ns0:c>
      <ns0:c r="Q40" s="4">
        <ns0:f>INDEX(Script_List!$R$2:$R$161,MATCH(P40,Script_List!$A$2:$A$161,0))</ns0:f>
        <ns0:v>5</ns0:v>
      </ns0:c>
      <ns0:c r="R40" s="4">
        <ns0:f>INDEX(Script_List!$X$2:$X$161,MATCH(P40,Script_List!$A$2:$A$161,0))</ns0:f>
        <ns0:v>527.0</ns0:v>
      </ns0:c>
    </ns0:row>
    <ns0:row r="41" ht="20" customHeight="1">
      <ns0:c r="P41" s="4" t="inlineStr">
        <ns0:is>
          <ns0:t>SYN-013</ns0:t>
        </ns0:is>
      </ns0:c>
      <ns0:c r="Q41" s="4">
        <ns0:f>INDEX(Script_List!$R$2:$R$161,MATCH(P41,Script_List!$A$2:$A$161,0))</ns0:f>
        <ns0:v>1</ns0:v>
      </ns0:c>
      <ns0:c r="R41" s="4">
        <ns0:f>INDEX(Script_List!$X$2:$X$161,MATCH(P41,Script_List!$A$2:$A$161,0))</ns0:f>
        <ns0:v>324.0</ns0:v>
      </ns0:c>
    </ns0:row>
    <ns0:row r="42" ht="20" customHeight="1">
      <ns0:c r="P42" s="4" t="inlineStr">
        <ns0:is>
          <ns0:t>SYN-014</ns0:t>
        </ns0:is>
      </ns0:c>
      <ns0:c r="Q42" s="4">
        <ns0:f>INDEX(Script_List!$R$2:$R$161,MATCH(P42,Script_List!$A$2:$A$161,0))</ns0:f>
        <ns0:v>2</ns0:v>
      </ns0:c>
      <ns0:c r="R42" s="4">
        <ns0:f>INDEX(Script_List!$X$2:$X$161,MATCH(P42,Script_List!$A$2:$A$161,0))</ns0:f>
        <ns0:v>563.0</ns0:v>
      </ns0:c>
    </ns0:row>
    <ns0:row r="43" ht="20" customHeight="1">
      <ns0:c r="P43" s="4" t="inlineStr">
        <ns0:is>
          <ns0:t>SYN-015</ns0:t>
        </ns0:is>
      </ns0:c>
      <ns0:c r="Q43" s="4">
        <ns0:f>INDEX(Script_List!$R$2:$R$161,MATCH(P43,Script_List!$A$2:$A$161,0))</ns0:f>
        <ns0:v>7</ns0:v>
      </ns0:c>
      <ns0:c r="R43" s="4">
        <ns0:f>INDEX(Script_List!$X$2:$X$161,MATCH(P43,Script_List!$A$2:$A$161,0))</ns0:f>
        <ns0:v>560.0</ns0:v>
      </ns0:c>
    </ns0:row>
    <ns0:row r="44" ht="20" customHeight="1">
      <ns0:c r="A44" s="4" t="inlineStr">
        <ns0:is>
          <ns0:t>Verified synthetic findings</ns0:t>
        </ns0:is>
      </ns0:c>
      <ns0:c r="P44" s="4" t="inlineStr">
        <ns0:is>
          <ns0:t>SYN-016</ns0:t>
        </ns0:is>
      </ns0:c>
      <ns0:c r="Q44" s="4">
        <ns0:f>INDEX(Script_List!$R$2:$R$161,MATCH(P44,Script_List!$A$2:$A$161,0))</ns0:f>
        <ns0:v>1</ns0:v>
      </ns0:c>
      <ns0:c r="R44" s="4">
        <ns0:f>INDEX(Script_List!$X$2:$X$161,MATCH(P44,Script_List!$A$2:$A$161,0))</ns0:f>
        <ns0:v>648.0</ns0:v>
      </ns0:c>
    </ns0:row>
    <ns0:row r="45" ht="20" customHeight="1">
      <ns0:c r="A45" s="4" t="inlineStr">
        <ns0:is>
          <ns0:t>Full-month counts range from 29 to 32; seven months tie at 32.</ns0:t>
        </ns0:is>
      </ns0:c>
      <ns0:c r="P45" s="4" t="inlineStr">
        <ns0:is>
          <ns0:t>SYN-017</ns0:t>
        </ns0:is>
      </ns0:c>
      <ns0:c r="Q45" s="4">
        <ns0:f>INDEX(Script_List!$R$2:$R$161,MATCH(P45,Script_List!$A$2:$A$161,0))</ns0:f>
        <ns0:v>3</ns0:v>
      </ns0:c>
      <ns0:c r="R45" s="4">
        <ns0:f>INDEX(Script_List!$X$2:$X$161,MATCH(P45,Script_List!$A$2:$A$161,0))</ns0:f>
        <ns0:v>482.0</ns0:v>
      </ns0:c>
    </ns0:row>
    <ns0:row r="46" ht="20" customHeight="1">
      <ns0:c r="A46" s="4" t="inlineStr">
        <ns0:is>
          <ns0:t>City-limited $505.50/session; exclusive $527.86; boxed $430.96.</ns0:t>
        </ns0:is>
      </ns0:c>
      <ns0:c r="P46" s="4" t="inlineStr">
        <ns0:is>
          <ns0:t>SYN-018</ns0:t>
        </ns0:is>
      </ns0:c>
      <ns0:c r="Q46" s="4">
        <ns0:f>INDEX(Script_List!$R$2:$R$161,MATCH(P46,Script_List!$A$2:$A$161,0))</ns0:f>
        <ns0:v>10</ns0:v>
      </ns0:c>
      <ns0:c r="R46" s="4">
        <ns0:f>INDEX(Script_List!$X$2:$X$161,MATCH(P46,Script_List!$A$2:$A$161,0))</ns0:f>
        <ns0:v>332.0</ns0:v>
      </ns0:c>
    </ns0:row>
    <ns0:row r="47" ht="20" customHeight="1">
      <ns0:c r="A47" s="4" t="inlineStr">
        <ns0:is>
          <ns0:t>136 of 160 scripts opened; October is partial (8 sessions).</ns0:t>
        </ns0:is>
      </ns0:c>
      <ns0:c r="P47" s="4" t="inlineStr">
        <ns0:is>
          <ns0:t>SYN-019</ns0:t>
        </ns0:is>
      </ns0:c>
      <ns0:c r="Q47" s="4">
        <ns0:f>INDEX(Script_List!$R$2:$R$161,MATCH(P47,Script_List!$A$2:$A$161,0))</ns0:f>
        <ns0:v>1</ns0:v>
      </ns0:c>
      <ns0:c r="R47" s="4">
        <ns0:f>INDEX(Script_List!$X$2:$X$161,MATCH(P47,Script_List!$A$2:$A$161,0))</ns0:f>
        <ns0:v>609.0</ns0:v>
      </ns0:c>
    </ns0:row>
    <ns0:row r="48" ht="20" customHeight="1">
      <ns0:c r="P48" s="4" t="inlineStr">
        <ns0:is>
          <ns0:t>SYN-020</ns0:t>
        </ns0:is>
      </ns0:c>
      <ns0:c r="Q48" s="4">
        <ns0:f>INDEX(Script_List!$R$2:$R$161,MATCH(P48,Script_List!$A$2:$A$161,0))</ns0:f>
        <ns0:v>3</ns0:v>
      </ns0:c>
      <ns0:c r="R48" s="4">
        <ns0:f>INDEX(Script_List!$X$2:$X$161,MATCH(P48,Script_List!$A$2:$A$161,0))</ns0:f>
        <ns0:v>564.0</ns0:v>
      </ns0:c>
    </ns0:row>
    <ns0:row r="49" ht="20" customHeight="1">
      <ns0:c r="A49" s="4" t="inlineStr">
        <ns0:is>
          <ns0:t>Contribution excludes rent, utilities, taxes and other operating expenses.</ns0:t>
        </ns0:is>
      </ns0:c>
      <ns0:c r="P49" s="4" t="inlineStr">
        <ns0:is>
          <ns0:t>SYN-022</ns0:t>
        </ns0:is>
      </ns0:c>
      <ns0:c r="Q49" s="4">
        <ns0:f>INDEX(Script_List!$R$2:$R$161,MATCH(P49,Script_List!$A$2:$A$161,0))</ns0:f>
        <ns0:v>1</ns0:v>
      </ns0:c>
      <ns0:c r="R49" s="4">
        <ns0:f>INDEX(Script_List!$X$2:$X$161,MATCH(P49,Script_List!$A$2:$A$161,0))</ns0:f>
        <ns0:v>332.0</ns0:v>
      </ns0:c>
    </ns0:row>
    <ns0:row r="50" ht="20" customHeight="1">
      <ns0:c r="P50" s="4" t="inlineStr">
        <ns0:is>
          <ns0:t>SYN-023</ns0:t>
        </ns0:is>
      </ns0:c>
      <ns0:c r="Q50" s="4">
        <ns0:f>INDEX(Script_List!$R$2:$R$161,MATCH(P50,Script_List!$A$2:$A$161,0))</ns0:f>
        <ns0:v>3</ns0:v>
      </ns0:c>
      <ns0:c r="R50" s="4">
        <ns0:f>INDEX(Script_List!$X$2:$X$161,MATCH(P50,Script_List!$A$2:$A$161,0))</ns0:f>
        <ns0:v>438.0</ns0:v>
      </ns0:c>
    </ns0:row>
    <ns0:row r="51">
      <ns0:c r="P51" s="4" t="inlineStr">
        <ns0:is>
          <ns0:t>SYN-025</ns0:t>
        </ns0:is>
      </ns0:c>
      <ns0:c r="Q51" s="4">
        <ns0:f>INDEX(Script_List!$R$2:$R$161,MATCH(P51,Script_List!$A$2:$A$161,0))</ns0:f>
        <ns0:v>2</ns0:v>
      </ns0:c>
      <ns0:c r="R51" s="4">
        <ns0:f>INDEX(Script_List!$X$2:$X$161,MATCH(P51,Script_List!$A$2:$A$161,0))</ns0:f>
        <ns0:v>383.0</ns0:v>
      </ns0:c>
    </ns0:row>
    <ns0:row r="52">
      <ns0:c r="P52" s="4" t="inlineStr">
        <ns0:is>
          <ns0:t>SYN-026</ns0:t>
        </ns0:is>
      </ns0:c>
      <ns0:c r="Q52" s="4">
        <ns0:f>INDEX(Script_List!$R$2:$R$161,MATCH(P52,Script_List!$A$2:$A$161,0))</ns0:f>
        <ns0:v>4</ns0:v>
      </ns0:c>
      <ns0:c r="R52" s="4">
        <ns0:f>INDEX(Script_List!$X$2:$X$161,MATCH(P52,Script_List!$A$2:$A$161,0))</ns0:f>
        <ns0:v>474.0</ns0:v>
      </ns0:c>
    </ns0:row>
    <ns0:row r="53">
      <ns0:c r="P53" s="4" t="inlineStr">
        <ns0:is>
          <ns0:t>SYN-028</ns0:t>
        </ns0:is>
      </ns0:c>
      <ns0:c r="Q53" s="4">
        <ns0:f>INDEX(Script_List!$R$2:$R$161,MATCH(P53,Script_List!$A$2:$A$161,0))</ns0:f>
        <ns0:v>2</ns0:v>
      </ns0:c>
      <ns0:c r="R53" s="4">
        <ns0:f>INDEX(Script_List!$X$2:$X$161,MATCH(P53,Script_List!$A$2:$A$161,0))</ns0:f>
        <ns0:v>527.0</ns0:v>
      </ns0:c>
    </ns0:row>
    <ns0:row r="54">
      <ns0:c r="P54" s="4" t="inlineStr">
        <ns0:is>
          <ns0:t>SYN-029</ns0:t>
        </ns0:is>
      </ns0:c>
      <ns0:c r="Q54" s="4">
        <ns0:f>INDEX(Script_List!$R$2:$R$161,MATCH(P54,Script_List!$A$2:$A$161,0))</ns0:f>
        <ns0:v>4</ns0:v>
      </ns0:c>
      <ns0:c r="R54" s="4">
        <ns0:f>INDEX(Script_List!$X$2:$X$161,MATCH(P54,Script_List!$A$2:$A$161,0))</ns0:f>
        <ns0:v>490.0</ns0:v>
      </ns0:c>
    </ns0:row>
    <ns0:row r="55">
      <ns0:c r="P55" s="4" t="inlineStr">
        <ns0:is>
          <ns0:t>SYN-030</ns0:t>
        </ns0:is>
      </ns0:c>
      <ns0:c r="Q55" s="4">
        <ns0:f>INDEX(Script_List!$R$2:$R$161,MATCH(P55,Script_List!$A$2:$A$161,0))</ns0:f>
        <ns0:v>1</ns0:v>
      </ns0:c>
      <ns0:c r="R55" s="4">
        <ns0:f>INDEX(Script_List!$X$2:$X$161,MATCH(P55,Script_List!$A$2:$A$161,0))</ns0:f>
        <ns0:v>332.0</ns0:v>
      </ns0:c>
    </ns0:row>
    <ns0:row r="56">
      <ns0:c r="P56" s="4" t="inlineStr">
        <ns0:is>
          <ns0:t>SYN-031</ns0:t>
        </ns0:is>
      </ns0:c>
      <ns0:c r="Q56" s="4">
        <ns0:f>INDEX(Script_List!$R$2:$R$161,MATCH(P56,Script_List!$A$2:$A$161,0))</ns0:f>
        <ns0:v>2</ns0:v>
      </ns0:c>
      <ns0:c r="R56" s="4">
        <ns0:f>INDEX(Script_List!$X$2:$X$161,MATCH(P56,Script_List!$A$2:$A$161,0))</ns0:f>
        <ns0:v>528.0</ns0:v>
      </ns0:c>
    </ns0:row>
    <ns0:row r="57">
      <ns0:c r="P57" s="4" t="inlineStr">
        <ns0:is>
          <ns0:t>SYN-032</ns0:t>
        </ns0:is>
      </ns0:c>
      <ns0:c r="Q57" s="4">
        <ns0:f>INDEX(Script_List!$R$2:$R$161,MATCH(P57,Script_List!$A$2:$A$161,0))</ns0:f>
        <ns0:v>5</ns0:v>
      </ns0:c>
      <ns0:c r="R57" s="4">
        <ns0:f>INDEX(Script_List!$X$2:$X$161,MATCH(P57,Script_List!$A$2:$A$161,0))</ns0:f>
        <ns0:v>527.0</ns0:v>
      </ns0:c>
    </ns0:row>
    <ns0:row r="58">
      <ns0:c r="P58" s="4" t="inlineStr">
        <ns0:is>
          <ns0:t>SYN-033</ns0:t>
        </ns0:is>
      </ns0:c>
      <ns0:c r="Q58" s="4">
        <ns0:f>INDEX(Script_List!$R$2:$R$161,MATCH(P58,Script_List!$A$2:$A$161,0))</ns0:f>
        <ns0:v>1</ns0:v>
      </ns0:c>
      <ns0:c r="R58" s="4">
        <ns0:f>INDEX(Script_List!$X$2:$X$161,MATCH(P58,Script_List!$A$2:$A$161,0))</ns0:f>
        <ns0:v>324.0</ns0:v>
      </ns0:c>
    </ns0:row>
    <ns0:row r="59">
      <ns0:c r="P59" s="4" t="inlineStr">
        <ns0:is>
          <ns0:t>SYN-034</ns0:t>
        </ns0:is>
      </ns0:c>
      <ns0:c r="Q59" s="4">
        <ns0:f>INDEX(Script_List!$R$2:$R$161,MATCH(P59,Script_List!$A$2:$A$161,0))</ns0:f>
        <ns0:v>2</ns0:v>
      </ns0:c>
      <ns0:c r="R59" s="4">
        <ns0:f>INDEX(Script_List!$X$2:$X$161,MATCH(P59,Script_List!$A$2:$A$161,0))</ns0:f>
        <ns0:v>563.0</ns0:v>
      </ns0:c>
    </ns0:row>
    <ns0:row r="60">
      <ns0:c r="P60" s="4" t="inlineStr">
        <ns0:is>
          <ns0:t>SYN-035</ns0:t>
        </ns0:is>
      </ns0:c>
      <ns0:c r="Q60" s="4">
        <ns0:f>INDEX(Script_List!$R$2:$R$161,MATCH(P60,Script_List!$A$2:$A$161,0))</ns0:f>
        <ns0:v>7</ns0:v>
      </ns0:c>
      <ns0:c r="R60" s="4">
        <ns0:f>INDEX(Script_List!$X$2:$X$161,MATCH(P60,Script_List!$A$2:$A$161,0))</ns0:f>
        <ns0:v>560.0</ns0:v>
      </ns0:c>
    </ns0:row>
    <ns0:row r="61">
      <ns0:c r="P61" s="4" t="inlineStr">
        <ns0:is>
          <ns0:t>SYN-036</ns0:t>
        </ns0:is>
      </ns0:c>
      <ns0:c r="Q61" s="4">
        <ns0:f>INDEX(Script_List!$R$2:$R$161,MATCH(P61,Script_List!$A$2:$A$161,0))</ns0:f>
        <ns0:v>1</ns0:v>
      </ns0:c>
      <ns0:c r="R61" s="4">
        <ns0:f>INDEX(Script_List!$X$2:$X$161,MATCH(P61,Script_List!$A$2:$A$161,0))</ns0:f>
        <ns0:v>648.0</ns0:v>
      </ns0:c>
    </ns0:row>
    <ns0:row r="62">
      <ns0:c r="P62" s="4" t="inlineStr">
        <ns0:is>
          <ns0:t>SYN-037</ns0:t>
        </ns0:is>
      </ns0:c>
      <ns0:c r="Q62" s="4">
        <ns0:f>INDEX(Script_List!$R$2:$R$161,MATCH(P62,Script_List!$A$2:$A$161,0))</ns0:f>
        <ns0:v>3</ns0:v>
      </ns0:c>
      <ns0:c r="R62" s="4">
        <ns0:f>INDEX(Script_List!$X$2:$X$161,MATCH(P62,Script_List!$A$2:$A$161,0))</ns0:f>
        <ns0:v>482.0</ns0:v>
      </ns0:c>
    </ns0:row>
    <ns0:row r="63">
      <ns0:c r="P63" s="4" t="inlineStr">
        <ns0:is>
          <ns0:t>SYN-038</ns0:t>
        </ns0:is>
      </ns0:c>
      <ns0:c r="Q63" s="4">
        <ns0:f>INDEX(Script_List!$R$2:$R$161,MATCH(P63,Script_List!$A$2:$A$161,0))</ns0:f>
        <ns0:v>10</ns0:v>
      </ns0:c>
      <ns0:c r="R63" s="4">
        <ns0:f>INDEX(Script_List!$X$2:$X$161,MATCH(P63,Script_List!$A$2:$A$161,0))</ns0:f>
        <ns0:v>332.0</ns0:v>
      </ns0:c>
    </ns0:row>
    <ns0:row r="64">
      <ns0:c r="P64" s="4" t="inlineStr">
        <ns0:is>
          <ns0:t>SYN-039</ns0:t>
        </ns0:is>
      </ns0:c>
      <ns0:c r="Q64" s="4">
        <ns0:f>INDEX(Script_List!$R$2:$R$161,MATCH(P64,Script_List!$A$2:$A$161,0))</ns0:f>
        <ns0:v>1</ns0:v>
      </ns0:c>
      <ns0:c r="R64" s="4">
        <ns0:f>INDEX(Script_List!$X$2:$X$161,MATCH(P64,Script_List!$A$2:$A$161,0))</ns0:f>
        <ns0:v>609.0</ns0:v>
      </ns0:c>
    </ns0:row>
    <ns0:row r="65">
      <ns0:c r="P65" s="4" t="inlineStr">
        <ns0:is>
          <ns0:t>SYN-040</ns0:t>
        </ns0:is>
      </ns0:c>
      <ns0:c r="Q65" s="4">
        <ns0:f>INDEX(Script_List!$R$2:$R$161,MATCH(P65,Script_List!$A$2:$A$161,0))</ns0:f>
        <ns0:v>3</ns0:v>
      </ns0:c>
      <ns0:c r="R65" s="4">
        <ns0:f>INDEX(Script_List!$X$2:$X$161,MATCH(P65,Script_List!$A$2:$A$161,0))</ns0:f>
        <ns0:v>564.0</ns0:v>
      </ns0:c>
    </ns0:row>
    <ns0:row r="66">
      <ns0:c r="P66" s="4" t="inlineStr">
        <ns0:is>
          <ns0:t>SYN-042</ns0:t>
        </ns0:is>
      </ns0:c>
      <ns0:c r="Q66" s="4">
        <ns0:f>INDEX(Script_List!$R$2:$R$161,MATCH(P66,Script_List!$A$2:$A$161,0))</ns0:f>
        <ns0:v>1</ns0:v>
      </ns0:c>
      <ns0:c r="R66" s="4">
        <ns0:f>INDEX(Script_List!$X$2:$X$161,MATCH(P66,Script_List!$A$2:$A$161,0))</ns0:f>
        <ns0:v>332.0</ns0:v>
      </ns0:c>
    </ns0:row>
    <ns0:row r="67">
      <ns0:c r="P67" s="4" t="inlineStr">
        <ns0:is>
          <ns0:t>SYN-043</ns0:t>
        </ns0:is>
      </ns0:c>
      <ns0:c r="Q67" s="4">
        <ns0:f>INDEX(Script_List!$R$2:$R$161,MATCH(P67,Script_List!$A$2:$A$161,0))</ns0:f>
        <ns0:v>3</ns0:v>
      </ns0:c>
      <ns0:c r="R67" s="4">
        <ns0:f>INDEX(Script_List!$X$2:$X$161,MATCH(P67,Script_List!$A$2:$A$161,0))</ns0:f>
        <ns0:v>438.0</ns0:v>
      </ns0:c>
    </ns0:row>
    <ns0:row r="68">
      <ns0:c r="P68" s="4" t="inlineStr">
        <ns0:is>
          <ns0:t>SYN-045</ns0:t>
        </ns0:is>
      </ns0:c>
      <ns0:c r="Q68" s="4">
        <ns0:f>INDEX(Script_List!$R$2:$R$161,MATCH(P68,Script_List!$A$2:$A$161,0))</ns0:f>
        <ns0:v>2</ns0:v>
      </ns0:c>
      <ns0:c r="R68" s="4">
        <ns0:f>INDEX(Script_List!$X$2:$X$161,MATCH(P68,Script_List!$A$2:$A$161,0))</ns0:f>
        <ns0:v>383.0</ns0:v>
      </ns0:c>
    </ns0:row>
    <ns0:row r="69">
      <ns0:c r="P69" s="4" t="inlineStr">
        <ns0:is>
          <ns0:t>SYN-046</ns0:t>
        </ns0:is>
      </ns0:c>
      <ns0:c r="Q69" s="4">
        <ns0:f>INDEX(Script_List!$R$2:$R$161,MATCH(P69,Script_List!$A$2:$A$161,0))</ns0:f>
        <ns0:v>4</ns0:v>
      </ns0:c>
      <ns0:c r="R69" s="4">
        <ns0:f>INDEX(Script_List!$X$2:$X$161,MATCH(P69,Script_List!$A$2:$A$161,0))</ns0:f>
        <ns0:v>474.0</ns0:v>
      </ns0:c>
    </ns0:row>
    <ns0:row r="70">
      <ns0:c r="P70" s="4" t="inlineStr">
        <ns0:is>
          <ns0:t>SYN-048</ns0:t>
        </ns0:is>
      </ns0:c>
      <ns0:c r="Q70" s="4">
        <ns0:f>INDEX(Script_List!$R$2:$R$161,MATCH(P70,Script_List!$A$2:$A$161,0))</ns0:f>
        <ns0:v>2</ns0:v>
      </ns0:c>
      <ns0:c r="R70" s="4">
        <ns0:f>INDEX(Script_List!$X$2:$X$161,MATCH(P70,Script_List!$A$2:$A$161,0))</ns0:f>
        <ns0:v>527.0</ns0:v>
      </ns0:c>
    </ns0:row>
    <ns0:row r="71">
      <ns0:c r="P71" s="4" t="inlineStr">
        <ns0:is>
          <ns0:t>SYN-049</ns0:t>
        </ns0:is>
      </ns0:c>
      <ns0:c r="Q71" s="4">
        <ns0:f>INDEX(Script_List!$R$2:$R$161,MATCH(P71,Script_List!$A$2:$A$161,0))</ns0:f>
        <ns0:v>4</ns0:v>
      </ns0:c>
      <ns0:c r="R71" s="4">
        <ns0:f>INDEX(Script_List!$X$2:$X$161,MATCH(P71,Script_List!$A$2:$A$161,0))</ns0:f>
        <ns0:v>490.0</ns0:v>
      </ns0:c>
    </ns0:row>
    <ns0:row r="72">
      <ns0:c r="P72" s="4" t="inlineStr">
        <ns0:is>
          <ns0:t>SYN-050</ns0:t>
        </ns0:is>
      </ns0:c>
      <ns0:c r="Q72" s="4">
        <ns0:f>INDEX(Script_List!$R$2:$R$161,MATCH(P72,Script_List!$A$2:$A$161,0))</ns0:f>
        <ns0:v>1</ns0:v>
      </ns0:c>
      <ns0:c r="R72" s="4">
        <ns0:f>INDEX(Script_List!$X$2:$X$161,MATCH(P72,Script_List!$A$2:$A$161,0))</ns0:f>
        <ns0:v>332.0</ns0:v>
      </ns0:c>
    </ns0:row>
    <ns0:row r="73">
      <ns0:c r="P73" s="4" t="inlineStr">
        <ns0:is>
          <ns0:t>SYN-051</ns0:t>
        </ns0:is>
      </ns0:c>
      <ns0:c r="Q73" s="4">
        <ns0:f>INDEX(Script_List!$R$2:$R$161,MATCH(P73,Script_List!$A$2:$A$161,0))</ns0:f>
        <ns0:v>2</ns0:v>
      </ns0:c>
      <ns0:c r="R73" s="4">
        <ns0:f>INDEX(Script_List!$X$2:$X$161,MATCH(P73,Script_List!$A$2:$A$161,0))</ns0:f>
        <ns0:v>528.0</ns0:v>
      </ns0:c>
    </ns0:row>
    <ns0:row r="74">
      <ns0:c r="P74" s="4" t="inlineStr">
        <ns0:is>
          <ns0:t>SYN-052</ns0:t>
        </ns0:is>
      </ns0:c>
      <ns0:c r="Q74" s="4">
        <ns0:f>INDEX(Script_List!$R$2:$R$161,MATCH(P74,Script_List!$A$2:$A$161,0))</ns0:f>
        <ns0:v>5</ns0:v>
      </ns0:c>
      <ns0:c r="R74" s="4">
        <ns0:f>INDEX(Script_List!$X$2:$X$161,MATCH(P74,Script_List!$A$2:$A$161,0))</ns0:f>
        <ns0:v>527.0</ns0:v>
      </ns0:c>
    </ns0:row>
    <ns0:row r="75">
      <ns0:c r="P75" s="4" t="inlineStr">
        <ns0:is>
          <ns0:t>SYN-053</ns0:t>
        </ns0:is>
      </ns0:c>
      <ns0:c r="Q75" s="4">
        <ns0:f>INDEX(Script_List!$R$2:$R$161,MATCH(P75,Script_List!$A$2:$A$161,0))</ns0:f>
        <ns0:v>1</ns0:v>
      </ns0:c>
      <ns0:c r="R75" s="4">
        <ns0:f>INDEX(Script_List!$X$2:$X$161,MATCH(P75,Script_List!$A$2:$A$161,0))</ns0:f>
        <ns0:v>324.0</ns0:v>
      </ns0:c>
    </ns0:row>
    <ns0:row r="76">
      <ns0:c r="P76" s="4" t="inlineStr">
        <ns0:is>
          <ns0:t>SYN-054</ns0:t>
        </ns0:is>
      </ns0:c>
      <ns0:c r="Q76" s="4">
        <ns0:f>INDEX(Script_List!$R$2:$R$161,MATCH(P76,Script_List!$A$2:$A$161,0))</ns0:f>
        <ns0:v>2</ns0:v>
      </ns0:c>
      <ns0:c r="R76" s="4">
        <ns0:f>INDEX(Script_List!$X$2:$X$161,MATCH(P76,Script_List!$A$2:$A$161,0))</ns0:f>
        <ns0:v>563.0</ns0:v>
      </ns0:c>
    </ns0:row>
    <ns0:row r="77">
      <ns0:c r="P77" s="4" t="inlineStr">
        <ns0:is>
          <ns0:t>SYN-055</ns0:t>
        </ns0:is>
      </ns0:c>
      <ns0:c r="Q77" s="4">
        <ns0:f>INDEX(Script_List!$R$2:$R$161,MATCH(P77,Script_List!$A$2:$A$161,0))</ns0:f>
        <ns0:v>7</ns0:v>
      </ns0:c>
      <ns0:c r="R77" s="4">
        <ns0:f>INDEX(Script_List!$X$2:$X$161,MATCH(P77,Script_List!$A$2:$A$161,0))</ns0:f>
        <ns0:v>560.0</ns0:v>
      </ns0:c>
    </ns0:row>
    <ns0:row r="78">
      <ns0:c r="P78" s="4" t="inlineStr">
        <ns0:is>
          <ns0:t>SYN-056</ns0:t>
        </ns0:is>
      </ns0:c>
      <ns0:c r="Q78" s="4">
        <ns0:f>INDEX(Script_List!$R$2:$R$161,MATCH(P78,Script_List!$A$2:$A$161,0))</ns0:f>
        <ns0:v>1</ns0:v>
      </ns0:c>
      <ns0:c r="R78" s="4">
        <ns0:f>INDEX(Script_List!$X$2:$X$161,MATCH(P78,Script_List!$A$2:$A$161,0))</ns0:f>
        <ns0:v>648.0</ns0:v>
      </ns0:c>
    </ns0:row>
    <ns0:row r="79">
      <ns0:c r="P79" s="4" t="inlineStr">
        <ns0:is>
          <ns0:t>SYN-057</ns0:t>
        </ns0:is>
      </ns0:c>
      <ns0:c r="Q79" s="4">
        <ns0:f>INDEX(Script_List!$R$2:$R$161,MATCH(P79,Script_List!$A$2:$A$161,0))</ns0:f>
        <ns0:v>3</ns0:v>
      </ns0:c>
      <ns0:c r="R79" s="4">
        <ns0:f>INDEX(Script_List!$X$2:$X$161,MATCH(P79,Script_List!$A$2:$A$161,0))</ns0:f>
        <ns0:v>482.0</ns0:v>
      </ns0:c>
    </ns0:row>
    <ns0:row r="80">
      <ns0:c r="P80" s="4" t="inlineStr">
        <ns0:is>
          <ns0:t>SYN-058</ns0:t>
        </ns0:is>
      </ns0:c>
      <ns0:c r="Q80" s="4">
        <ns0:f>INDEX(Script_List!$R$2:$R$161,MATCH(P80,Script_List!$A$2:$A$161,0))</ns0:f>
        <ns0:v>10</ns0:v>
      </ns0:c>
      <ns0:c r="R80" s="4">
        <ns0:f>INDEX(Script_List!$X$2:$X$161,MATCH(P80,Script_List!$A$2:$A$161,0))</ns0:f>
        <ns0:v>332.0</ns0:v>
      </ns0:c>
    </ns0:row>
    <ns0:row r="81">
      <ns0:c r="P81" s="4" t="inlineStr">
        <ns0:is>
          <ns0:t>SYN-059</ns0:t>
        </ns0:is>
      </ns0:c>
      <ns0:c r="Q81" s="4">
        <ns0:f>INDEX(Script_List!$R$2:$R$161,MATCH(P81,Script_List!$A$2:$A$161,0))</ns0:f>
        <ns0:v>1</ns0:v>
      </ns0:c>
      <ns0:c r="R81" s="4">
        <ns0:f>INDEX(Script_List!$X$2:$X$161,MATCH(P81,Script_List!$A$2:$A$161,0))</ns0:f>
        <ns0:v>609.0</ns0:v>
      </ns0:c>
    </ns0:row>
    <ns0:row r="82">
      <ns0:c r="P82" s="4" t="inlineStr">
        <ns0:is>
          <ns0:t>SYN-060</ns0:t>
        </ns0:is>
      </ns0:c>
      <ns0:c r="Q82" s="4">
        <ns0:f>INDEX(Script_List!$R$2:$R$161,MATCH(P82,Script_List!$A$2:$A$161,0))</ns0:f>
        <ns0:v>3</ns0:v>
      </ns0:c>
      <ns0:c r="R82" s="4">
        <ns0:f>INDEX(Script_List!$X$2:$X$161,MATCH(P82,Script_List!$A$2:$A$161,0))</ns0:f>
        <ns0:v>564.0</ns0:v>
      </ns0:c>
    </ns0:row>
    <ns0:row r="83">
      <ns0:c r="P83" s="4" t="inlineStr">
        <ns0:is>
          <ns0:t>SYN-062</ns0:t>
        </ns0:is>
      </ns0:c>
      <ns0:c r="Q83" s="4">
        <ns0:f>INDEX(Script_List!$R$2:$R$161,MATCH(P83,Script_List!$A$2:$A$161,0))</ns0:f>
        <ns0:v>1</ns0:v>
      </ns0:c>
      <ns0:c r="R83" s="4">
        <ns0:f>INDEX(Script_List!$X$2:$X$161,MATCH(P83,Script_List!$A$2:$A$161,0))</ns0:f>
        <ns0:v>332.0</ns0:v>
      </ns0:c>
    </ns0:row>
    <ns0:row r="84">
      <ns0:c r="P84" s="4" t="inlineStr">
        <ns0:is>
          <ns0:t>SYN-063</ns0:t>
        </ns0:is>
      </ns0:c>
      <ns0:c r="Q84" s="4">
        <ns0:f>INDEX(Script_List!$R$2:$R$161,MATCH(P84,Script_List!$A$2:$A$161,0))</ns0:f>
        <ns0:v>3</ns0:v>
      </ns0:c>
      <ns0:c r="R84" s="4">
        <ns0:f>INDEX(Script_List!$X$2:$X$161,MATCH(P84,Script_List!$A$2:$A$161,0))</ns0:f>
        <ns0:v>438.0</ns0:v>
      </ns0:c>
    </ns0:row>
    <ns0:row r="85">
      <ns0:c r="P85" s="4" t="inlineStr">
        <ns0:is>
          <ns0:t>SYN-065</ns0:t>
        </ns0:is>
      </ns0:c>
      <ns0:c r="Q85" s="4">
        <ns0:f>INDEX(Script_List!$R$2:$R$161,MATCH(P85,Script_List!$A$2:$A$161,0))</ns0:f>
        <ns0:v>2</ns0:v>
      </ns0:c>
      <ns0:c r="R85" s="4">
        <ns0:f>INDEX(Script_List!$X$2:$X$161,MATCH(P85,Script_List!$A$2:$A$161,0))</ns0:f>
        <ns0:v>383.0</ns0:v>
      </ns0:c>
    </ns0:row>
    <ns0:row r="86">
      <ns0:c r="P86" s="4" t="inlineStr">
        <ns0:is>
          <ns0:t>SYN-066</ns0:t>
        </ns0:is>
      </ns0:c>
      <ns0:c r="Q86" s="4">
        <ns0:f>INDEX(Script_List!$R$2:$R$161,MATCH(P86,Script_List!$A$2:$A$161,0))</ns0:f>
        <ns0:v>4</ns0:v>
      </ns0:c>
      <ns0:c r="R86" s="4">
        <ns0:f>INDEX(Script_List!$X$2:$X$161,MATCH(P86,Script_List!$A$2:$A$161,0))</ns0:f>
        <ns0:v>474.0</ns0:v>
      </ns0:c>
    </ns0:row>
    <ns0:row r="87">
      <ns0:c r="P87" s="4" t="inlineStr">
        <ns0:is>
          <ns0:t>SYN-068</ns0:t>
        </ns0:is>
      </ns0:c>
      <ns0:c r="Q87" s="4">
        <ns0:f>INDEX(Script_List!$R$2:$R$161,MATCH(P87,Script_List!$A$2:$A$161,0))</ns0:f>
        <ns0:v>2</ns0:v>
      </ns0:c>
      <ns0:c r="R87" s="4">
        <ns0:f>INDEX(Script_List!$X$2:$X$161,MATCH(P87,Script_List!$A$2:$A$161,0))</ns0:f>
        <ns0:v>527.0</ns0:v>
      </ns0:c>
    </ns0:row>
    <ns0:row r="88">
      <ns0:c r="P88" s="4" t="inlineStr">
        <ns0:is>
          <ns0:t>SYN-069</ns0:t>
        </ns0:is>
      </ns0:c>
      <ns0:c r="Q88" s="4">
        <ns0:f>INDEX(Script_List!$R$2:$R$161,MATCH(P88,Script_List!$A$2:$A$161,0))</ns0:f>
        <ns0:v>4</ns0:v>
      </ns0:c>
      <ns0:c r="R88" s="4">
        <ns0:f>INDEX(Script_List!$X$2:$X$161,MATCH(P88,Script_List!$A$2:$A$161,0))</ns0:f>
        <ns0:v>490.0</ns0:v>
      </ns0:c>
    </ns0:row>
    <ns0:row r="89">
      <ns0:c r="P89" s="4" t="inlineStr">
        <ns0:is>
          <ns0:t>SYN-070</ns0:t>
        </ns0:is>
      </ns0:c>
      <ns0:c r="Q89" s="4">
        <ns0:f>INDEX(Script_List!$R$2:$R$161,MATCH(P89,Script_List!$A$2:$A$161,0))</ns0:f>
        <ns0:v>1</ns0:v>
      </ns0:c>
      <ns0:c r="R89" s="4">
        <ns0:f>INDEX(Script_List!$X$2:$X$161,MATCH(P89,Script_List!$A$2:$A$161,0))</ns0:f>
        <ns0:v>332.0</ns0:v>
      </ns0:c>
    </ns0:row>
    <ns0:row r="90">
      <ns0:c r="P90" s="4" t="inlineStr">
        <ns0:is>
          <ns0:t>SYN-071</ns0:t>
        </ns0:is>
      </ns0:c>
      <ns0:c r="Q90" s="4">
        <ns0:f>INDEX(Script_List!$R$2:$R$161,MATCH(P90,Script_List!$A$2:$A$161,0))</ns0:f>
        <ns0:v>2</ns0:v>
      </ns0:c>
      <ns0:c r="R90" s="4">
        <ns0:f>INDEX(Script_List!$X$2:$X$161,MATCH(P90,Script_List!$A$2:$A$161,0))</ns0:f>
        <ns0:v>528.0</ns0:v>
      </ns0:c>
    </ns0:row>
    <ns0:row r="91">
      <ns0:c r="P91" s="4" t="inlineStr">
        <ns0:is>
          <ns0:t>SYN-072</ns0:t>
        </ns0:is>
      </ns0:c>
      <ns0:c r="Q91" s="4">
        <ns0:f>INDEX(Script_List!$R$2:$R$161,MATCH(P91,Script_List!$A$2:$A$161,0))</ns0:f>
        <ns0:v>5</ns0:v>
      </ns0:c>
      <ns0:c r="R91" s="4">
        <ns0:f>INDEX(Script_List!$X$2:$X$161,MATCH(P91,Script_List!$A$2:$A$161,0))</ns0:f>
        <ns0:v>527.0</ns0:v>
      </ns0:c>
    </ns0:row>
    <ns0:row r="92">
      <ns0:c r="P92" s="4" t="inlineStr">
        <ns0:is>
          <ns0:t>SYN-073</ns0:t>
        </ns0:is>
      </ns0:c>
      <ns0:c r="Q92" s="4">
        <ns0:f>INDEX(Script_List!$R$2:$R$161,MATCH(P92,Script_List!$A$2:$A$161,0))</ns0:f>
        <ns0:v>1</ns0:v>
      </ns0:c>
      <ns0:c r="R92" s="4">
        <ns0:f>INDEX(Script_List!$X$2:$X$161,MATCH(P92,Script_List!$A$2:$A$161,0))</ns0:f>
        <ns0:v>324.0</ns0:v>
      </ns0:c>
    </ns0:row>
    <ns0:row r="93">
      <ns0:c r="P93" s="4" t="inlineStr">
        <ns0:is>
          <ns0:t>SYN-074</ns0:t>
        </ns0:is>
      </ns0:c>
      <ns0:c r="Q93" s="4">
        <ns0:f>INDEX(Script_List!$R$2:$R$161,MATCH(P93,Script_List!$A$2:$A$161,0))</ns0:f>
        <ns0:v>2</ns0:v>
      </ns0:c>
      <ns0:c r="R93" s="4">
        <ns0:f>INDEX(Script_List!$X$2:$X$161,MATCH(P93,Script_List!$A$2:$A$161,0))</ns0:f>
        <ns0:v>563.0</ns0:v>
      </ns0:c>
    </ns0:row>
    <ns0:row r="94">
      <ns0:c r="P94" s="4" t="inlineStr">
        <ns0:is>
          <ns0:t>SYN-075</ns0:t>
        </ns0:is>
      </ns0:c>
      <ns0:c r="Q94" s="4">
        <ns0:f>INDEX(Script_List!$R$2:$R$161,MATCH(P94,Script_List!$A$2:$A$161,0))</ns0:f>
        <ns0:v>7</ns0:v>
      </ns0:c>
      <ns0:c r="R94" s="4">
        <ns0:f>INDEX(Script_List!$X$2:$X$161,MATCH(P94,Script_List!$A$2:$A$161,0))</ns0:f>
        <ns0:v>560.0</ns0:v>
      </ns0:c>
    </ns0:row>
    <ns0:row r="95">
      <ns0:c r="P95" s="4" t="inlineStr">
        <ns0:is>
          <ns0:t>SYN-076</ns0:t>
        </ns0:is>
      </ns0:c>
      <ns0:c r="Q95" s="4">
        <ns0:f>INDEX(Script_List!$R$2:$R$161,MATCH(P95,Script_List!$A$2:$A$161,0))</ns0:f>
        <ns0:v>1</ns0:v>
      </ns0:c>
      <ns0:c r="R95" s="4">
        <ns0:f>INDEX(Script_List!$X$2:$X$161,MATCH(P95,Script_List!$A$2:$A$161,0))</ns0:f>
        <ns0:v>648.0</ns0:v>
      </ns0:c>
    </ns0:row>
    <ns0:row r="96">
      <ns0:c r="P96" s="4" t="inlineStr">
        <ns0:is>
          <ns0:t>SYN-077</ns0:t>
        </ns0:is>
      </ns0:c>
      <ns0:c r="Q96" s="4">
        <ns0:f>INDEX(Script_List!$R$2:$R$161,MATCH(P96,Script_List!$A$2:$A$161,0))</ns0:f>
        <ns0:v>3</ns0:v>
      </ns0:c>
      <ns0:c r="R96" s="4">
        <ns0:f>INDEX(Script_List!$X$2:$X$161,MATCH(P96,Script_List!$A$2:$A$161,0))</ns0:f>
        <ns0:v>482.0</ns0:v>
      </ns0:c>
    </ns0:row>
    <ns0:row r="97">
      <ns0:c r="P97" s="4" t="inlineStr">
        <ns0:is>
          <ns0:t>SYN-078</ns0:t>
        </ns0:is>
      </ns0:c>
      <ns0:c r="Q97" s="4">
        <ns0:f>INDEX(Script_List!$R$2:$R$161,MATCH(P97,Script_List!$A$2:$A$161,0))</ns0:f>
        <ns0:v>10</ns0:v>
      </ns0:c>
      <ns0:c r="R97" s="4">
        <ns0:f>INDEX(Script_List!$X$2:$X$161,MATCH(P97,Script_List!$A$2:$A$161,0))</ns0:f>
        <ns0:v>332.0</ns0:v>
      </ns0:c>
    </ns0:row>
    <ns0:row r="98">
      <ns0:c r="P98" s="4" t="inlineStr">
        <ns0:is>
          <ns0:t>SYN-079</ns0:t>
        </ns0:is>
      </ns0:c>
      <ns0:c r="Q98" s="4">
        <ns0:f>INDEX(Script_List!$R$2:$R$161,MATCH(P98,Script_List!$A$2:$A$161,0))</ns0:f>
        <ns0:v>1</ns0:v>
      </ns0:c>
      <ns0:c r="R98" s="4">
        <ns0:f>INDEX(Script_List!$X$2:$X$161,MATCH(P98,Script_List!$A$2:$A$161,0))</ns0:f>
        <ns0:v>609.0</ns0:v>
      </ns0:c>
    </ns0:row>
    <ns0:row r="99">
      <ns0:c r="P99" s="4" t="inlineStr">
        <ns0:is>
          <ns0:t>SYN-080</ns0:t>
        </ns0:is>
      </ns0:c>
      <ns0:c r="Q99" s="4">
        <ns0:f>INDEX(Script_List!$R$2:$R$161,MATCH(P99,Script_List!$A$2:$A$161,0))</ns0:f>
        <ns0:v>3</ns0:v>
      </ns0:c>
      <ns0:c r="R99" s="4">
        <ns0:f>INDEX(Script_List!$X$2:$X$161,MATCH(P99,Script_List!$A$2:$A$161,0))</ns0:f>
        <ns0:v>564.0</ns0:v>
      </ns0:c>
    </ns0:row>
    <ns0:row r="100">
      <ns0:c r="P100" s="4" t="inlineStr">
        <ns0:is>
          <ns0:t>SYN-082</ns0:t>
        </ns0:is>
      </ns0:c>
      <ns0:c r="Q100" s="4">
        <ns0:f>INDEX(Script_List!$R$2:$R$161,MATCH(P100,Script_List!$A$2:$A$161,0))</ns0:f>
        <ns0:v>1</ns0:v>
      </ns0:c>
      <ns0:c r="R100" s="4">
        <ns0:f>INDEX(Script_List!$X$2:$X$161,MATCH(P100,Script_List!$A$2:$A$161,0))</ns0:f>
        <ns0:v>332.0</ns0:v>
      </ns0:c>
    </ns0:row>
    <ns0:row r="101">
      <ns0:c r="P101" s="4" t="inlineStr">
        <ns0:is>
          <ns0:t>SYN-083</ns0:t>
        </ns0:is>
      </ns0:c>
      <ns0:c r="Q101" s="4">
        <ns0:f>INDEX(Script_List!$R$2:$R$161,MATCH(P101,Script_List!$A$2:$A$161,0))</ns0:f>
        <ns0:v>3</ns0:v>
      </ns0:c>
      <ns0:c r="R101" s="4">
        <ns0:f>INDEX(Script_List!$X$2:$X$161,MATCH(P101,Script_List!$A$2:$A$161,0))</ns0:f>
        <ns0:v>438.0</ns0:v>
      </ns0:c>
    </ns0:row>
    <ns0:row r="102">
      <ns0:c r="P102" s="4" t="inlineStr">
        <ns0:is>
          <ns0:t>SYN-085</ns0:t>
        </ns0:is>
      </ns0:c>
      <ns0:c r="Q102" s="4">
        <ns0:f>INDEX(Script_List!$R$2:$R$161,MATCH(P102,Script_List!$A$2:$A$161,0))</ns0:f>
        <ns0:v>2</ns0:v>
      </ns0:c>
      <ns0:c r="R102" s="4">
        <ns0:f>INDEX(Script_List!$X$2:$X$161,MATCH(P102,Script_List!$A$2:$A$161,0))</ns0:f>
        <ns0:v>383.0</ns0:v>
      </ns0:c>
    </ns0:row>
    <ns0:row r="103">
      <ns0:c r="P103" s="4" t="inlineStr">
        <ns0:is>
          <ns0:t>SYN-086</ns0:t>
        </ns0:is>
      </ns0:c>
      <ns0:c r="Q103" s="4">
        <ns0:f>INDEX(Script_List!$R$2:$R$161,MATCH(P103,Script_List!$A$2:$A$161,0))</ns0:f>
        <ns0:v>4</ns0:v>
      </ns0:c>
      <ns0:c r="R103" s="4">
        <ns0:f>INDEX(Script_List!$X$2:$X$161,MATCH(P103,Script_List!$A$2:$A$161,0))</ns0:f>
        <ns0:v>474.0</ns0:v>
      </ns0:c>
    </ns0:row>
    <ns0:row r="104">
      <ns0:c r="P104" s="4" t="inlineStr">
        <ns0:is>
          <ns0:t>SYN-088</ns0:t>
        </ns0:is>
      </ns0:c>
      <ns0:c r="Q104" s="4">
        <ns0:f>INDEX(Script_List!$R$2:$R$161,MATCH(P104,Script_List!$A$2:$A$161,0))</ns0:f>
        <ns0:v>2</ns0:v>
      </ns0:c>
      <ns0:c r="R104" s="4">
        <ns0:f>INDEX(Script_List!$X$2:$X$161,MATCH(P104,Script_List!$A$2:$A$161,0))</ns0:f>
        <ns0:v>527.0</ns0:v>
      </ns0:c>
    </ns0:row>
    <ns0:row r="105">
      <ns0:c r="P105" s="4" t="inlineStr">
        <ns0:is>
          <ns0:t>SYN-089</ns0:t>
        </ns0:is>
      </ns0:c>
      <ns0:c r="Q105" s="4">
        <ns0:f>INDEX(Script_List!$R$2:$R$161,MATCH(P105,Script_List!$A$2:$A$161,0))</ns0:f>
        <ns0:v>4</ns0:v>
      </ns0:c>
      <ns0:c r="R105" s="4">
        <ns0:f>INDEX(Script_List!$X$2:$X$161,MATCH(P105,Script_List!$A$2:$A$161,0))</ns0:f>
        <ns0:v>490.0</ns0:v>
      </ns0:c>
    </ns0:row>
    <ns0:row r="106">
      <ns0:c r="P106" s="4" t="inlineStr">
        <ns0:is>
          <ns0:t>SYN-090</ns0:t>
        </ns0:is>
      </ns0:c>
      <ns0:c r="Q106" s="4">
        <ns0:f>INDEX(Script_List!$R$2:$R$161,MATCH(P106,Script_List!$A$2:$A$161,0))</ns0:f>
        <ns0:v>1</ns0:v>
      </ns0:c>
      <ns0:c r="R106" s="4">
        <ns0:f>INDEX(Script_List!$X$2:$X$161,MATCH(P106,Script_List!$A$2:$A$161,0))</ns0:f>
        <ns0:v>332.0</ns0:v>
      </ns0:c>
    </ns0:row>
    <ns0:row r="107">
      <ns0:c r="P107" s="4" t="inlineStr">
        <ns0:is>
          <ns0:t>SYN-091</ns0:t>
        </ns0:is>
      </ns0:c>
      <ns0:c r="Q107" s="4">
        <ns0:f>INDEX(Script_List!$R$2:$R$161,MATCH(P107,Script_List!$A$2:$A$161,0))</ns0:f>
        <ns0:v>2</ns0:v>
      </ns0:c>
      <ns0:c r="R107" s="4">
        <ns0:f>INDEX(Script_List!$X$2:$X$161,MATCH(P107,Script_List!$A$2:$A$161,0))</ns0:f>
        <ns0:v>528.0</ns0:v>
      </ns0:c>
    </ns0:row>
    <ns0:row r="108">
      <ns0:c r="P108" s="4" t="inlineStr">
        <ns0:is>
          <ns0:t>SYN-092</ns0:t>
        </ns0:is>
      </ns0:c>
      <ns0:c r="Q108" s="4">
        <ns0:f>INDEX(Script_List!$R$2:$R$161,MATCH(P108,Script_List!$A$2:$A$161,0))</ns0:f>
        <ns0:v>5</ns0:v>
      </ns0:c>
      <ns0:c r="R108" s="4">
        <ns0:f>INDEX(Script_List!$X$2:$X$161,MATCH(P108,Script_List!$A$2:$A$161,0))</ns0:f>
        <ns0:v>527.0</ns0:v>
      </ns0:c>
    </ns0:row>
    <ns0:row r="109">
      <ns0:c r="P109" s="4" t="inlineStr">
        <ns0:is>
          <ns0:t>SYN-093</ns0:t>
        </ns0:is>
      </ns0:c>
      <ns0:c r="Q109" s="4">
        <ns0:f>INDEX(Script_List!$R$2:$R$161,MATCH(P109,Script_List!$A$2:$A$161,0))</ns0:f>
        <ns0:v>1</ns0:v>
      </ns0:c>
      <ns0:c r="R109" s="4">
        <ns0:f>INDEX(Script_List!$X$2:$X$161,MATCH(P109,Script_List!$A$2:$A$161,0))</ns0:f>
        <ns0:v>324.0</ns0:v>
      </ns0:c>
    </ns0:row>
    <ns0:row r="110">
      <ns0:c r="P110" s="4" t="inlineStr">
        <ns0:is>
          <ns0:t>SYN-094</ns0:t>
        </ns0:is>
      </ns0:c>
      <ns0:c r="Q110" s="4">
        <ns0:f>INDEX(Script_List!$R$2:$R$161,MATCH(P110,Script_List!$A$2:$A$161,0))</ns0:f>
        <ns0:v>2</ns0:v>
      </ns0:c>
      <ns0:c r="R110" s="4">
        <ns0:f>INDEX(Script_List!$X$2:$X$161,MATCH(P110,Script_List!$A$2:$A$161,0))</ns0:f>
        <ns0:v>563.0</ns0:v>
      </ns0:c>
    </ns0:row>
    <ns0:row r="111">
      <ns0:c r="P111" s="4" t="inlineStr">
        <ns0:is>
          <ns0:t>SYN-095</ns0:t>
        </ns0:is>
      </ns0:c>
      <ns0:c r="Q111" s="4">
        <ns0:f>INDEX(Script_List!$R$2:$R$161,MATCH(P111,Script_List!$A$2:$A$161,0))</ns0:f>
        <ns0:v>7</ns0:v>
      </ns0:c>
      <ns0:c r="R111" s="4">
        <ns0:f>INDEX(Script_List!$X$2:$X$161,MATCH(P111,Script_List!$A$2:$A$161,0))</ns0:f>
        <ns0:v>560.0</ns0:v>
      </ns0:c>
    </ns0:row>
    <ns0:row r="112">
      <ns0:c r="P112" s="4" t="inlineStr">
        <ns0:is>
          <ns0:t>SYN-096</ns0:t>
        </ns0:is>
      </ns0:c>
      <ns0:c r="Q112" s="4">
        <ns0:f>INDEX(Script_List!$R$2:$R$161,MATCH(P112,Script_List!$A$2:$A$161,0))</ns0:f>
        <ns0:v>1</ns0:v>
      </ns0:c>
      <ns0:c r="R112" s="4">
        <ns0:f>INDEX(Script_List!$X$2:$X$161,MATCH(P112,Script_List!$A$2:$A$161,0))</ns0:f>
        <ns0:v>648.0</ns0:v>
      </ns0:c>
    </ns0:row>
    <ns0:row r="113">
      <ns0:c r="P113" s="4" t="inlineStr">
        <ns0:is>
          <ns0:t>SYN-097</ns0:t>
        </ns0:is>
      </ns0:c>
      <ns0:c r="Q113" s="4">
        <ns0:f>INDEX(Script_List!$R$2:$R$161,MATCH(P113,Script_List!$A$2:$A$161,0))</ns0:f>
        <ns0:v>3</ns0:v>
      </ns0:c>
      <ns0:c r="R113" s="4">
        <ns0:f>INDEX(Script_List!$X$2:$X$161,MATCH(P113,Script_List!$A$2:$A$161,0))</ns0:f>
        <ns0:v>482.0</ns0:v>
      </ns0:c>
    </ns0:row>
    <ns0:row r="114">
      <ns0:c r="P114" s="4" t="inlineStr">
        <ns0:is>
          <ns0:t>SYN-098</ns0:t>
        </ns0:is>
      </ns0:c>
      <ns0:c r="Q114" s="4">
        <ns0:f>INDEX(Script_List!$R$2:$R$161,MATCH(P114,Script_List!$A$2:$A$161,0))</ns0:f>
        <ns0:v>10</ns0:v>
      </ns0:c>
      <ns0:c r="R114" s="4">
        <ns0:f>INDEX(Script_List!$X$2:$X$161,MATCH(P114,Script_List!$A$2:$A$161,0))</ns0:f>
        <ns0:v>332.0</ns0:v>
      </ns0:c>
    </ns0:row>
    <ns0:row r="115">
      <ns0:c r="P115" s="4" t="inlineStr">
        <ns0:is>
          <ns0:t>SYN-099</ns0:t>
        </ns0:is>
      </ns0:c>
      <ns0:c r="Q115" s="4">
        <ns0:f>INDEX(Script_List!$R$2:$R$161,MATCH(P115,Script_List!$A$2:$A$161,0))</ns0:f>
        <ns0:v>1</ns0:v>
      </ns0:c>
      <ns0:c r="R115" s="4">
        <ns0:f>INDEX(Script_List!$X$2:$X$161,MATCH(P115,Script_List!$A$2:$A$161,0))</ns0:f>
        <ns0:v>609.0</ns0:v>
      </ns0:c>
    </ns0:row>
    <ns0:row r="116">
      <ns0:c r="P116" s="4" t="inlineStr">
        <ns0:is>
          <ns0:t>SYN-100</ns0:t>
        </ns0:is>
      </ns0:c>
      <ns0:c r="Q116" s="4">
        <ns0:f>INDEX(Script_List!$R$2:$R$161,MATCH(P116,Script_List!$A$2:$A$161,0))</ns0:f>
        <ns0:v>3</ns0:v>
      </ns0:c>
      <ns0:c r="R116" s="4">
        <ns0:f>INDEX(Script_List!$X$2:$X$161,MATCH(P116,Script_List!$A$2:$A$161,0))</ns0:f>
        <ns0:v>564.0</ns0:v>
      </ns0:c>
    </ns0:row>
    <ns0:row r="117">
      <ns0:c r="P117" s="4" t="inlineStr">
        <ns0:is>
          <ns0:t>SYN-102</ns0:t>
        </ns0:is>
      </ns0:c>
      <ns0:c r="Q117" s="4">
        <ns0:f>INDEX(Script_List!$R$2:$R$161,MATCH(P117,Script_List!$A$2:$A$161,0))</ns0:f>
        <ns0:v>1</ns0:v>
      </ns0:c>
      <ns0:c r="R117" s="4">
        <ns0:f>INDEX(Script_List!$X$2:$X$161,MATCH(P117,Script_List!$A$2:$A$161,0))</ns0:f>
        <ns0:v>332.0</ns0:v>
      </ns0:c>
    </ns0:row>
    <ns0:row r="118">
      <ns0:c r="P118" s="4" t="inlineStr">
        <ns0:is>
          <ns0:t>SYN-103</ns0:t>
        </ns0:is>
      </ns0:c>
      <ns0:c r="Q118" s="4">
        <ns0:f>INDEX(Script_List!$R$2:$R$161,MATCH(P118,Script_List!$A$2:$A$161,0))</ns0:f>
        <ns0:v>3</ns0:v>
      </ns0:c>
      <ns0:c r="R118" s="4">
        <ns0:f>INDEX(Script_List!$X$2:$X$161,MATCH(P118,Script_List!$A$2:$A$161,0))</ns0:f>
        <ns0:v>438.0</ns0:v>
      </ns0:c>
    </ns0:row>
    <ns0:row r="119">
      <ns0:c r="P119" s="4" t="inlineStr">
        <ns0:is>
          <ns0:t>SYN-105</ns0:t>
        </ns0:is>
      </ns0:c>
      <ns0:c r="Q119" s="4">
        <ns0:f>INDEX(Script_List!$R$2:$R$161,MATCH(P119,Script_List!$A$2:$A$161,0))</ns0:f>
        <ns0:v>2</ns0:v>
      </ns0:c>
      <ns0:c r="R119" s="4">
        <ns0:f>INDEX(Script_List!$X$2:$X$161,MATCH(P119,Script_List!$A$2:$A$161,0))</ns0:f>
        <ns0:v>383.0</ns0:v>
      </ns0:c>
    </ns0:row>
    <ns0:row r="120">
      <ns0:c r="P120" s="4" t="inlineStr">
        <ns0:is>
          <ns0:t>SYN-106</ns0:t>
        </ns0:is>
      </ns0:c>
      <ns0:c r="Q120" s="4">
        <ns0:f>INDEX(Script_List!$R$2:$R$161,MATCH(P120,Script_List!$A$2:$A$161,0))</ns0:f>
        <ns0:v>4</ns0:v>
      </ns0:c>
      <ns0:c r="R120" s="4">
        <ns0:f>INDEX(Script_List!$X$2:$X$161,MATCH(P120,Script_List!$A$2:$A$161,0))</ns0:f>
        <ns0:v>474.0</ns0:v>
      </ns0:c>
    </ns0:row>
    <ns0:row r="121">
      <ns0:c r="P121" s="4" t="inlineStr">
        <ns0:is>
          <ns0:t>SYN-108</ns0:t>
        </ns0:is>
      </ns0:c>
      <ns0:c r="Q121" s="4">
        <ns0:f>INDEX(Script_List!$R$2:$R$161,MATCH(P121,Script_List!$A$2:$A$161,0))</ns0:f>
        <ns0:v>2</ns0:v>
      </ns0:c>
      <ns0:c r="R121" s="4">
        <ns0:f>INDEX(Script_List!$X$2:$X$161,MATCH(P121,Script_List!$A$2:$A$161,0))</ns0:f>
        <ns0:v>527.0</ns0:v>
      </ns0:c>
    </ns0:row>
    <ns0:row r="122">
      <ns0:c r="P122" s="4" t="inlineStr">
        <ns0:is>
          <ns0:t>SYN-109</ns0:t>
        </ns0:is>
      </ns0:c>
      <ns0:c r="Q122" s="4">
        <ns0:f>INDEX(Script_List!$R$2:$R$161,MATCH(P122,Script_List!$A$2:$A$161,0))</ns0:f>
        <ns0:v>4</ns0:v>
      </ns0:c>
      <ns0:c r="R122" s="4">
        <ns0:f>INDEX(Script_List!$X$2:$X$161,MATCH(P122,Script_List!$A$2:$A$161,0))</ns0:f>
        <ns0:v>490.0</ns0:v>
      </ns0:c>
    </ns0:row>
    <ns0:row r="123">
      <ns0:c r="P123" s="4" t="inlineStr">
        <ns0:is>
          <ns0:t>SYN-110</ns0:t>
        </ns0:is>
      </ns0:c>
      <ns0:c r="Q123" s="4">
        <ns0:f>INDEX(Script_List!$R$2:$R$161,MATCH(P123,Script_List!$A$2:$A$161,0))</ns0:f>
        <ns0:v>1</ns0:v>
      </ns0:c>
      <ns0:c r="R123" s="4">
        <ns0:f>INDEX(Script_List!$X$2:$X$161,MATCH(P123,Script_List!$A$2:$A$161,0))</ns0:f>
        <ns0:v>332.0</ns0:v>
      </ns0:c>
    </ns0:row>
    <ns0:row r="124">
      <ns0:c r="P124" s="4" t="inlineStr">
        <ns0:is>
          <ns0:t>SYN-111</ns0:t>
        </ns0:is>
      </ns0:c>
      <ns0:c r="Q124" s="4">
        <ns0:f>INDEX(Script_List!$R$2:$R$161,MATCH(P124,Script_List!$A$2:$A$161,0))</ns0:f>
        <ns0:v>2</ns0:v>
      </ns0:c>
      <ns0:c r="R124" s="4">
        <ns0:f>INDEX(Script_List!$X$2:$X$161,MATCH(P124,Script_List!$A$2:$A$161,0))</ns0:f>
        <ns0:v>528.0</ns0:v>
      </ns0:c>
    </ns0:row>
    <ns0:row r="125">
      <ns0:c r="P125" s="4" t="inlineStr">
        <ns0:is>
          <ns0:t>SYN-112</ns0:t>
        </ns0:is>
      </ns0:c>
      <ns0:c r="Q125" s="4">
        <ns0:f>INDEX(Script_List!$R$2:$R$161,MATCH(P125,Script_List!$A$2:$A$161,0))</ns0:f>
        <ns0:v>5</ns0:v>
      </ns0:c>
      <ns0:c r="R125" s="4">
        <ns0:f>INDEX(Script_List!$X$2:$X$161,MATCH(P125,Script_List!$A$2:$A$161,0))</ns0:f>
        <ns0:v>527.0</ns0:v>
      </ns0:c>
    </ns0:row>
    <ns0:row r="126">
      <ns0:c r="P126" s="4" t="inlineStr">
        <ns0:is>
          <ns0:t>SYN-113</ns0:t>
        </ns0:is>
      </ns0:c>
      <ns0:c r="Q126" s="4">
        <ns0:f>INDEX(Script_List!$R$2:$R$161,MATCH(P126,Script_List!$A$2:$A$161,0))</ns0:f>
        <ns0:v>1</ns0:v>
      </ns0:c>
      <ns0:c r="R126" s="4">
        <ns0:f>INDEX(Script_List!$X$2:$X$161,MATCH(P126,Script_List!$A$2:$A$161,0))</ns0:f>
        <ns0:v>324.0</ns0:v>
      </ns0:c>
    </ns0:row>
    <ns0:row r="127">
      <ns0:c r="P127" s="4" t="inlineStr">
        <ns0:is>
          <ns0:t>SYN-114</ns0:t>
        </ns0:is>
      </ns0:c>
      <ns0:c r="Q127" s="4">
        <ns0:f>INDEX(Script_List!$R$2:$R$161,MATCH(P127,Script_List!$A$2:$A$161,0))</ns0:f>
        <ns0:v>2</ns0:v>
      </ns0:c>
      <ns0:c r="R127" s="4">
        <ns0:f>INDEX(Script_List!$X$2:$X$161,MATCH(P127,Script_List!$A$2:$A$161,0))</ns0:f>
        <ns0:v>563.0</ns0:v>
      </ns0:c>
    </ns0:row>
    <ns0:row r="128">
      <ns0:c r="P128" s="4" t="inlineStr">
        <ns0:is>
          <ns0:t>SYN-115</ns0:t>
        </ns0:is>
      </ns0:c>
      <ns0:c r="Q128" s="4">
        <ns0:f>INDEX(Script_List!$R$2:$R$161,MATCH(P128,Script_List!$A$2:$A$161,0))</ns0:f>
        <ns0:v>7</ns0:v>
      </ns0:c>
      <ns0:c r="R128" s="4">
        <ns0:f>INDEX(Script_List!$X$2:$X$161,MATCH(P128,Script_List!$A$2:$A$161,0))</ns0:f>
        <ns0:v>560.0</ns0:v>
      </ns0:c>
    </ns0:row>
    <ns0:row r="129">
      <ns0:c r="P129" s="4" t="inlineStr">
        <ns0:is>
          <ns0:t>SYN-116</ns0:t>
        </ns0:is>
      </ns0:c>
      <ns0:c r="Q129" s="4">
        <ns0:f>INDEX(Script_List!$R$2:$R$161,MATCH(P129,Script_List!$A$2:$A$161,0))</ns0:f>
        <ns0:v>1</ns0:v>
      </ns0:c>
      <ns0:c r="R129" s="4">
        <ns0:f>INDEX(Script_List!$X$2:$X$161,MATCH(P129,Script_List!$A$2:$A$161,0))</ns0:f>
        <ns0:v>648.0</ns0:v>
      </ns0:c>
    </ns0:row>
    <ns0:row r="130">
      <ns0:c r="P130" s="4" t="inlineStr">
        <ns0:is>
          <ns0:t>SYN-117</ns0:t>
        </ns0:is>
      </ns0:c>
      <ns0:c r="Q130" s="4">
        <ns0:f>INDEX(Script_List!$R$2:$R$161,MATCH(P130,Script_List!$A$2:$A$161,0))</ns0:f>
        <ns0:v>3</ns0:v>
      </ns0:c>
      <ns0:c r="R130" s="4">
        <ns0:f>INDEX(Script_List!$X$2:$X$161,MATCH(P130,Script_List!$A$2:$A$161,0))</ns0:f>
        <ns0:v>482.0</ns0:v>
      </ns0:c>
    </ns0:row>
    <ns0:row r="131">
      <ns0:c r="P131" s="4" t="inlineStr">
        <ns0:is>
          <ns0:t>SYN-118</ns0:t>
        </ns0:is>
      </ns0:c>
      <ns0:c r="Q131" s="4">
        <ns0:f>INDEX(Script_List!$R$2:$R$161,MATCH(P131,Script_List!$A$2:$A$161,0))</ns0:f>
        <ns0:v>10</ns0:v>
      </ns0:c>
      <ns0:c r="R131" s="4">
        <ns0:f>INDEX(Script_List!$X$2:$X$161,MATCH(P131,Script_List!$A$2:$A$161,0))</ns0:f>
        <ns0:v>332.0</ns0:v>
      </ns0:c>
    </ns0:row>
    <ns0:row r="132">
      <ns0:c r="P132" s="4" t="inlineStr">
        <ns0:is>
          <ns0:t>SYN-119</ns0:t>
        </ns0:is>
      </ns0:c>
      <ns0:c r="Q132" s="4">
        <ns0:f>INDEX(Script_List!$R$2:$R$161,MATCH(P132,Script_List!$A$2:$A$161,0))</ns0:f>
        <ns0:v>1</ns0:v>
      </ns0:c>
      <ns0:c r="R132" s="4">
        <ns0:f>INDEX(Script_List!$X$2:$X$161,MATCH(P132,Script_List!$A$2:$A$161,0))</ns0:f>
        <ns0:v>609.0</ns0:v>
      </ns0:c>
    </ns0:row>
    <ns0:row r="133">
      <ns0:c r="P133" s="4" t="inlineStr">
        <ns0:is>
          <ns0:t>SYN-120</ns0:t>
        </ns0:is>
      </ns0:c>
      <ns0:c r="Q133" s="4">
        <ns0:f>INDEX(Script_List!$R$2:$R$161,MATCH(P133,Script_List!$A$2:$A$161,0))</ns0:f>
        <ns0:v>3</ns0:v>
      </ns0:c>
      <ns0:c r="R133" s="4">
        <ns0:f>INDEX(Script_List!$X$2:$X$161,MATCH(P133,Script_List!$A$2:$A$161,0))</ns0:f>
        <ns0:v>564.0</ns0:v>
      </ns0:c>
    </ns0:row>
    <ns0:row r="134">
      <ns0:c r="P134" s="4" t="inlineStr">
        <ns0:is>
          <ns0:t>SYN-122</ns0:t>
        </ns0:is>
      </ns0:c>
      <ns0:c r="Q134" s="4">
        <ns0:f>INDEX(Script_List!$R$2:$R$161,MATCH(P134,Script_List!$A$2:$A$161,0))</ns0:f>
        <ns0:v>1</ns0:v>
      </ns0:c>
      <ns0:c r="R134" s="4">
        <ns0:f>INDEX(Script_List!$X$2:$X$161,MATCH(P134,Script_List!$A$2:$A$161,0))</ns0:f>
        <ns0:v>332.0</ns0:v>
      </ns0:c>
    </ns0:row>
    <ns0:row r="135">
      <ns0:c r="P135" s="4" t="inlineStr">
        <ns0:is>
          <ns0:t>SYN-123</ns0:t>
        </ns0:is>
      </ns0:c>
      <ns0:c r="Q135" s="4">
        <ns0:f>INDEX(Script_List!$R$2:$R$161,MATCH(P135,Script_List!$A$2:$A$161,0))</ns0:f>
        <ns0:v>3</ns0:v>
      </ns0:c>
      <ns0:c r="R135" s="4">
        <ns0:f>INDEX(Script_List!$X$2:$X$161,MATCH(P135,Script_List!$A$2:$A$161,0))</ns0:f>
        <ns0:v>438.0</ns0:v>
      </ns0:c>
    </ns0:row>
    <ns0:row r="136">
      <ns0:c r="P136" s="4" t="inlineStr">
        <ns0:is>
          <ns0:t>SYN-125</ns0:t>
        </ns0:is>
      </ns0:c>
      <ns0:c r="Q136" s="4">
        <ns0:f>INDEX(Script_List!$R$2:$R$161,MATCH(P136,Script_List!$A$2:$A$161,0))</ns0:f>
        <ns0:v>2</ns0:v>
      </ns0:c>
      <ns0:c r="R136" s="4">
        <ns0:f>INDEX(Script_List!$X$2:$X$161,MATCH(P136,Script_List!$A$2:$A$161,0))</ns0:f>
        <ns0:v>383.0</ns0:v>
      </ns0:c>
    </ns0:row>
    <ns0:row r="137">
      <ns0:c r="P137" s="4" t="inlineStr">
        <ns0:is>
          <ns0:t>SYN-126</ns0:t>
        </ns0:is>
      </ns0:c>
      <ns0:c r="Q137" s="4">
        <ns0:f>INDEX(Script_List!$R$2:$R$161,MATCH(P137,Script_List!$A$2:$A$161,0))</ns0:f>
        <ns0:v>4</ns0:v>
      </ns0:c>
      <ns0:c r="R137" s="4">
        <ns0:f>INDEX(Script_List!$X$2:$X$161,MATCH(P137,Script_List!$A$2:$A$161,0))</ns0:f>
        <ns0:v>474.0</ns0:v>
      </ns0:c>
    </ns0:row>
    <ns0:row r="138">
      <ns0:c r="P138" s="4" t="inlineStr">
        <ns0:is>
          <ns0:t>SYN-128</ns0:t>
        </ns0:is>
      </ns0:c>
      <ns0:c r="Q138" s="4">
        <ns0:f>INDEX(Script_List!$R$2:$R$161,MATCH(P138,Script_List!$A$2:$A$161,0))</ns0:f>
        <ns0:v>2</ns0:v>
      </ns0:c>
      <ns0:c r="R138" s="4">
        <ns0:f>INDEX(Script_List!$X$2:$X$161,MATCH(P138,Script_List!$A$2:$A$161,0))</ns0:f>
        <ns0:v>527.0</ns0:v>
      </ns0:c>
    </ns0:row>
    <ns0:row r="139">
      <ns0:c r="P139" s="4" t="inlineStr">
        <ns0:is>
          <ns0:t>SYN-129</ns0:t>
        </ns0:is>
      </ns0:c>
      <ns0:c r="Q139" s="4">
        <ns0:f>INDEX(Script_List!$R$2:$R$161,MATCH(P139,Script_List!$A$2:$A$161,0))</ns0:f>
        <ns0:v>4</ns0:v>
      </ns0:c>
      <ns0:c r="R139" s="4">
        <ns0:f>INDEX(Script_List!$X$2:$X$161,MATCH(P139,Script_List!$A$2:$A$161,0))</ns0:f>
        <ns0:v>490.0</ns0:v>
      </ns0:c>
    </ns0:row>
    <ns0:row r="140">
      <ns0:c r="P140" s="4" t="inlineStr">
        <ns0:is>
          <ns0:t>SYN-130</ns0:t>
        </ns0:is>
      </ns0:c>
      <ns0:c r="Q140" s="4">
        <ns0:f>INDEX(Script_List!$R$2:$R$161,MATCH(P140,Script_List!$A$2:$A$161,0))</ns0:f>
        <ns0:v>1</ns0:v>
      </ns0:c>
      <ns0:c r="R140" s="4">
        <ns0:f>INDEX(Script_List!$X$2:$X$161,MATCH(P140,Script_List!$A$2:$A$161,0))</ns0:f>
        <ns0:v>332.0</ns0:v>
      </ns0:c>
    </ns0:row>
    <ns0:row r="141">
      <ns0:c r="P141" s="4" t="inlineStr">
        <ns0:is>
          <ns0:t>SYN-131</ns0:t>
        </ns0:is>
      </ns0:c>
      <ns0:c r="Q141" s="4">
        <ns0:f>INDEX(Script_List!$R$2:$R$161,MATCH(P141,Script_List!$A$2:$A$161,0))</ns0:f>
        <ns0:v>2</ns0:v>
      </ns0:c>
      <ns0:c r="R141" s="4">
        <ns0:f>INDEX(Script_List!$X$2:$X$161,MATCH(P141,Script_List!$A$2:$A$161,0))</ns0:f>
        <ns0:v>528.0</ns0:v>
      </ns0:c>
    </ns0:row>
    <ns0:row r="142">
      <ns0:c r="P142" s="4" t="inlineStr">
        <ns0:is>
          <ns0:t>SYN-132</ns0:t>
        </ns0:is>
      </ns0:c>
      <ns0:c r="Q142" s="4">
        <ns0:f>INDEX(Script_List!$R$2:$R$161,MATCH(P142,Script_List!$A$2:$A$161,0))</ns0:f>
        <ns0:v>5</ns0:v>
      </ns0:c>
      <ns0:c r="R142" s="4">
        <ns0:f>INDEX(Script_List!$X$2:$X$161,MATCH(P142,Script_List!$A$2:$A$161,0))</ns0:f>
        <ns0:v>527.0</ns0:v>
      </ns0:c>
    </ns0:row>
    <ns0:row r="143">
      <ns0:c r="P143" s="4" t="inlineStr">
        <ns0:is>
          <ns0:t>SYN-133</ns0:t>
        </ns0:is>
      </ns0:c>
      <ns0:c r="Q143" s="4">
        <ns0:f>INDEX(Script_List!$R$2:$R$161,MATCH(P143,Script_List!$A$2:$A$161,0))</ns0:f>
        <ns0:v>1</ns0:v>
      </ns0:c>
      <ns0:c r="R143" s="4">
        <ns0:f>INDEX(Script_List!$X$2:$X$161,MATCH(P143,Script_List!$A$2:$A$161,0))</ns0:f>
        <ns0:v>324.0</ns0:v>
      </ns0:c>
    </ns0:row>
    <ns0:row r="144">
      <ns0:c r="P144" s="4" t="inlineStr">
        <ns0:is>
          <ns0:t>SYN-134</ns0:t>
        </ns0:is>
      </ns0:c>
      <ns0:c r="Q144" s="4">
        <ns0:f>INDEX(Script_List!$R$2:$R$161,MATCH(P144,Script_List!$A$2:$A$161,0))</ns0:f>
        <ns0:v>2</ns0:v>
      </ns0:c>
      <ns0:c r="R144" s="4">
        <ns0:f>INDEX(Script_List!$X$2:$X$161,MATCH(P144,Script_List!$A$2:$A$161,0))</ns0:f>
        <ns0:v>563.0</ns0:v>
      </ns0:c>
    </ns0:row>
    <ns0:row r="145">
      <ns0:c r="P145" s="4" t="inlineStr">
        <ns0:is>
          <ns0:t>SYN-135</ns0:t>
        </ns0:is>
      </ns0:c>
      <ns0:c r="Q145" s="4">
        <ns0:f>INDEX(Script_List!$R$2:$R$161,MATCH(P145,Script_List!$A$2:$A$161,0))</ns0:f>
        <ns0:v>7</ns0:v>
      </ns0:c>
      <ns0:c r="R145" s="4">
        <ns0:f>INDEX(Script_List!$X$2:$X$161,MATCH(P145,Script_List!$A$2:$A$161,0))</ns0:f>
        <ns0:v>560.0</ns0:v>
      </ns0:c>
    </ns0:row>
    <ns0:row r="146">
      <ns0:c r="P146" s="4" t="inlineStr">
        <ns0:is>
          <ns0:t>SYN-136</ns0:t>
        </ns0:is>
      </ns0:c>
      <ns0:c r="Q146" s="4">
        <ns0:f>INDEX(Script_List!$R$2:$R$161,MATCH(P146,Script_List!$A$2:$A$161,0))</ns0:f>
        <ns0:v>1</ns0:v>
      </ns0:c>
      <ns0:c r="R146" s="4">
        <ns0:f>INDEX(Script_List!$X$2:$X$161,MATCH(P146,Script_List!$A$2:$A$161,0))</ns0:f>
        <ns0:v>648.0</ns0:v>
      </ns0:c>
    </ns0:row>
    <ns0:row r="147">
      <ns0:c r="P147" s="4" t="inlineStr">
        <ns0:is>
          <ns0:t>SYN-137</ns0:t>
        </ns0:is>
      </ns0:c>
      <ns0:c r="Q147" s="4">
        <ns0:f>INDEX(Script_List!$R$2:$R$161,MATCH(P147,Script_List!$A$2:$A$161,0))</ns0:f>
        <ns0:v>3</ns0:v>
      </ns0:c>
      <ns0:c r="R147" s="4">
        <ns0:f>INDEX(Script_List!$X$2:$X$161,MATCH(P147,Script_List!$A$2:$A$161,0))</ns0:f>
        <ns0:v>482.0</ns0:v>
      </ns0:c>
    </ns0:row>
    <ns0:row r="148">
      <ns0:c r="P148" s="4" t="inlineStr">
        <ns0:is>
          <ns0:t>SYN-138</ns0:t>
        </ns0:is>
      </ns0:c>
      <ns0:c r="Q148" s="4">
        <ns0:f>INDEX(Script_List!$R$2:$R$161,MATCH(P148,Script_List!$A$2:$A$161,0))</ns0:f>
        <ns0:v>10</ns0:v>
      </ns0:c>
      <ns0:c r="R148" s="4">
        <ns0:f>INDEX(Script_List!$X$2:$X$161,MATCH(P148,Script_List!$A$2:$A$161,0))</ns0:f>
        <ns0:v>332.0</ns0:v>
      </ns0:c>
    </ns0:row>
    <ns0:row r="149">
      <ns0:c r="P149" s="4" t="inlineStr">
        <ns0:is>
          <ns0:t>SYN-139</ns0:t>
        </ns0:is>
      </ns0:c>
      <ns0:c r="Q149" s="4">
        <ns0:f>INDEX(Script_List!$R$2:$R$161,MATCH(P149,Script_List!$A$2:$A$161,0))</ns0:f>
        <ns0:v>1</ns0:v>
      </ns0:c>
      <ns0:c r="R149" s="4">
        <ns0:f>INDEX(Script_List!$X$2:$X$161,MATCH(P149,Script_List!$A$2:$A$161,0))</ns0:f>
        <ns0:v>609.0</ns0:v>
      </ns0:c>
    </ns0:row>
    <ns0:row r="150">
      <ns0:c r="P150" s="4" t="inlineStr">
        <ns0:is>
          <ns0:t>SYN-140</ns0:t>
        </ns0:is>
      </ns0:c>
      <ns0:c r="Q150" s="4">
        <ns0:f>INDEX(Script_List!$R$2:$R$161,MATCH(P150,Script_List!$A$2:$A$161,0))</ns0:f>
        <ns0:v>3</ns0:v>
      </ns0:c>
      <ns0:c r="R150" s="4">
        <ns0:f>INDEX(Script_List!$X$2:$X$161,MATCH(P150,Script_List!$A$2:$A$161,0))</ns0:f>
        <ns0:v>564.0</ns0:v>
      </ns0:c>
    </ns0:row>
    <ns0:row r="151">
      <ns0:c r="P151" s="4" t="inlineStr">
        <ns0:is>
          <ns0:t>SYN-142</ns0:t>
        </ns0:is>
      </ns0:c>
      <ns0:c r="Q151" s="4">
        <ns0:f>INDEX(Script_List!$R$2:$R$161,MATCH(P151,Script_List!$A$2:$A$161,0))</ns0:f>
        <ns0:v>1</ns0:v>
      </ns0:c>
      <ns0:c r="R151" s="4">
        <ns0:f>INDEX(Script_List!$X$2:$X$161,MATCH(P151,Script_List!$A$2:$A$161,0))</ns0:f>
        <ns0:v>332.0</ns0:v>
      </ns0:c>
    </ns0:row>
    <ns0:row r="152">
      <ns0:c r="P152" s="4" t="inlineStr">
        <ns0:is>
          <ns0:t>SYN-143</ns0:t>
        </ns0:is>
      </ns0:c>
      <ns0:c r="Q152" s="4">
        <ns0:f>INDEX(Script_List!$R$2:$R$161,MATCH(P152,Script_List!$A$2:$A$161,0))</ns0:f>
        <ns0:v>3</ns0:v>
      </ns0:c>
      <ns0:c r="R152" s="4">
        <ns0:f>INDEX(Script_List!$X$2:$X$161,MATCH(P152,Script_List!$A$2:$A$161,0))</ns0:f>
        <ns0:v>438.0</ns0:v>
      </ns0:c>
    </ns0:row>
    <ns0:row r="153">
      <ns0:c r="P153" s="4" t="inlineStr">
        <ns0:is>
          <ns0:t>SYN-145</ns0:t>
        </ns0:is>
      </ns0:c>
      <ns0:c r="Q153" s="4">
        <ns0:f>INDEX(Script_List!$R$2:$R$161,MATCH(P153,Script_List!$A$2:$A$161,0))</ns0:f>
        <ns0:v>2</ns0:v>
      </ns0:c>
      <ns0:c r="R153" s="4">
        <ns0:f>INDEX(Script_List!$X$2:$X$161,MATCH(P153,Script_List!$A$2:$A$161,0))</ns0:f>
        <ns0:v>383.0</ns0:v>
      </ns0:c>
    </ns0:row>
    <ns0:row r="154">
      <ns0:c r="P154" s="4" t="inlineStr">
        <ns0:is>
          <ns0:t>SYN-146</ns0:t>
        </ns0:is>
      </ns0:c>
      <ns0:c r="Q154" s="4">
        <ns0:f>INDEX(Script_List!$R$2:$R$161,MATCH(P154,Script_List!$A$2:$A$161,0))</ns0:f>
        <ns0:v>4</ns0:v>
      </ns0:c>
      <ns0:c r="R154" s="4">
        <ns0:f>INDEX(Script_List!$X$2:$X$161,MATCH(P154,Script_List!$A$2:$A$161,0))</ns0:f>
        <ns0:v>474.0</ns0:v>
      </ns0:c>
    </ns0:row>
    <ns0:row r="155">
      <ns0:c r="P155" s="4" t="inlineStr">
        <ns0:is>
          <ns0:t>SYN-148</ns0:t>
        </ns0:is>
      </ns0:c>
      <ns0:c r="Q155" s="4">
        <ns0:f>INDEX(Script_List!$R$2:$R$161,MATCH(P155,Script_List!$A$2:$A$161,0))</ns0:f>
        <ns0:v>2</ns0:v>
      </ns0:c>
      <ns0:c r="R155" s="4">
        <ns0:f>INDEX(Script_List!$X$2:$X$161,MATCH(P155,Script_List!$A$2:$A$161,0))</ns0:f>
        <ns0:v>527.0</ns0:v>
      </ns0:c>
    </ns0:row>
    <ns0:row r="156">
      <ns0:c r="P156" s="4" t="inlineStr">
        <ns0:is>
          <ns0:t>SYN-149</ns0:t>
        </ns0:is>
      </ns0:c>
      <ns0:c r="Q156" s="4">
        <ns0:f>INDEX(Script_List!$R$2:$R$161,MATCH(P156,Script_List!$A$2:$A$161,0))</ns0:f>
        <ns0:v>4</ns0:v>
      </ns0:c>
      <ns0:c r="R156" s="4">
        <ns0:f>INDEX(Script_List!$X$2:$X$161,MATCH(P156,Script_List!$A$2:$A$161,0))</ns0:f>
        <ns0:v>490.0</ns0:v>
      </ns0:c>
    </ns0:row>
    <ns0:row r="157">
      <ns0:c r="P157" s="4" t="inlineStr">
        <ns0:is>
          <ns0:t>SYN-150</ns0:t>
        </ns0:is>
      </ns0:c>
      <ns0:c r="Q157" s="4">
        <ns0:f>INDEX(Script_List!$R$2:$R$161,MATCH(P157,Script_List!$A$2:$A$161,0))</ns0:f>
        <ns0:v>1</ns0:v>
      </ns0:c>
      <ns0:c r="R157" s="4">
        <ns0:f>INDEX(Script_List!$X$2:$X$161,MATCH(P157,Script_List!$A$2:$A$161,0))</ns0:f>
        <ns0:v>332.0</ns0:v>
      </ns0:c>
    </ns0:row>
    <ns0:row r="158">
      <ns0:c r="P158" s="4" t="inlineStr">
        <ns0:is>
          <ns0:t>SYN-151</ns0:t>
        </ns0:is>
      </ns0:c>
      <ns0:c r="Q158" s="4">
        <ns0:f>INDEX(Script_List!$R$2:$R$161,MATCH(P158,Script_List!$A$2:$A$161,0))</ns0:f>
        <ns0:v>2</ns0:v>
      </ns0:c>
      <ns0:c r="R158" s="4">
        <ns0:f>INDEX(Script_List!$X$2:$X$161,MATCH(P158,Script_List!$A$2:$A$161,0))</ns0:f>
        <ns0:v>528.0</ns0:v>
      </ns0:c>
    </ns0:row>
    <ns0:row r="159">
      <ns0:c r="P159" s="4" t="inlineStr">
        <ns0:is>
          <ns0:t>SYN-152</ns0:t>
        </ns0:is>
      </ns0:c>
      <ns0:c r="Q159" s="4">
        <ns0:f>INDEX(Script_List!$R$2:$R$161,MATCH(P159,Script_List!$A$2:$A$161,0))</ns0:f>
        <ns0:v>5</ns0:v>
      </ns0:c>
      <ns0:c r="R159" s="4">
        <ns0:f>INDEX(Script_List!$X$2:$X$161,MATCH(P159,Script_List!$A$2:$A$161,0))</ns0:f>
        <ns0:v>527.0</ns0:v>
      </ns0:c>
    </ns0:row>
    <ns0:row r="160">
      <ns0:c r="P160" s="4" t="inlineStr">
        <ns0:is>
          <ns0:t>SYN-153</ns0:t>
        </ns0:is>
      </ns0:c>
      <ns0:c r="Q160" s="4">
        <ns0:f>INDEX(Script_List!$R$2:$R$161,MATCH(P160,Script_List!$A$2:$A$161,0))</ns0:f>
        <ns0:v>1</ns0:v>
      </ns0:c>
      <ns0:c r="R160" s="4">
        <ns0:f>INDEX(Script_List!$X$2:$X$161,MATCH(P160,Script_List!$A$2:$A$161,0))</ns0:f>
        <ns0:v>324.0</ns0:v>
      </ns0:c>
    </ns0:row>
    <ns0:row r="161">
      <ns0:c r="P161" s="4" t="inlineStr">
        <ns0:is>
          <ns0:t>SYN-154</ns0:t>
        </ns0:is>
      </ns0:c>
      <ns0:c r="Q161" s="4">
        <ns0:f>INDEX(Script_List!$R$2:$R$161,MATCH(P161,Script_List!$A$2:$A$161,0))</ns0:f>
        <ns0:v>2</ns0:v>
      </ns0:c>
      <ns0:c r="R161" s="4">
        <ns0:f>INDEX(Script_List!$X$2:$X$161,MATCH(P161,Script_List!$A$2:$A$161,0))</ns0:f>
        <ns0:v>563.0</ns0:v>
      </ns0:c>
    </ns0:row>
    <ns0:row r="162">
      <ns0:c r="P162" s="4" t="inlineStr">
        <ns0:is>
          <ns0:t>SYN-155</ns0:t>
        </ns0:is>
      </ns0:c>
      <ns0:c r="Q162" s="4">
        <ns0:f>INDEX(Script_List!$R$2:$R$161,MATCH(P162,Script_List!$A$2:$A$161,0))</ns0:f>
        <ns0:v>7</ns0:v>
      </ns0:c>
      <ns0:c r="R162" s="4">
        <ns0:f>INDEX(Script_List!$X$2:$X$161,MATCH(P162,Script_List!$A$2:$A$161,0))</ns0:f>
        <ns0:v>560.0</ns0:v>
      </ns0:c>
    </ns0:row>
    <ns0:row r="163">
      <ns0:c r="P163" s="4" t="inlineStr">
        <ns0:is>
          <ns0:t>SYN-156</ns0:t>
        </ns0:is>
      </ns0:c>
      <ns0:c r="Q163" s="4">
        <ns0:f>INDEX(Script_List!$R$2:$R$161,MATCH(P163,Script_List!$A$2:$A$161,0))</ns0:f>
        <ns0:v>1</ns0:v>
      </ns0:c>
      <ns0:c r="R163" s="4">
        <ns0:f>INDEX(Script_List!$X$2:$X$161,MATCH(P163,Script_List!$A$2:$A$161,0))</ns0:f>
        <ns0:v>648.0</ns0:v>
      </ns0:c>
    </ns0:row>
    <ns0:row r="164">
      <ns0:c r="P164" s="4" t="inlineStr">
        <ns0:is>
          <ns0:t>SYN-157</ns0:t>
        </ns0:is>
      </ns0:c>
      <ns0:c r="Q164" s="4">
        <ns0:f>INDEX(Script_List!$R$2:$R$161,MATCH(P164,Script_List!$A$2:$A$161,0))</ns0:f>
        <ns0:v>3</ns0:v>
      </ns0:c>
      <ns0:c r="R164" s="4">
        <ns0:f>INDEX(Script_List!$X$2:$X$161,MATCH(P164,Script_List!$A$2:$A$161,0))</ns0:f>
        <ns0:v>482.0</ns0:v>
      </ns0:c>
    </ns0:row>
    <ns0:row r="165">
      <ns0:c r="P165" s="4" t="inlineStr">
        <ns0:is>
          <ns0:t>SYN-158</ns0:t>
        </ns0:is>
      </ns0:c>
      <ns0:c r="Q165" s="4">
        <ns0:f>INDEX(Script_List!$R$2:$R$161,MATCH(P165,Script_List!$A$2:$A$161,0))</ns0:f>
        <ns0:v>10</ns0:v>
      </ns0:c>
      <ns0:c r="R165" s="4">
        <ns0:f>INDEX(Script_List!$X$2:$X$161,MATCH(P165,Script_List!$A$2:$A$161,0))</ns0:f>
        <ns0:v>332.0</ns0:v>
      </ns0:c>
    </ns0:row>
    <ns0:row r="166">
      <ns0:c r="P166" s="4" t="inlineStr">
        <ns0:is>
          <ns0:t>SYN-159</ns0:t>
        </ns0:is>
      </ns0:c>
      <ns0:c r="Q166" s="4">
        <ns0:f>INDEX(Script_List!$R$2:$R$161,MATCH(P166,Script_List!$A$2:$A$161,0))</ns0:f>
        <ns0:v>1</ns0:v>
      </ns0:c>
      <ns0:c r="R166" s="4">
        <ns0:f>INDEX(Script_List!$X$2:$X$161,MATCH(P166,Script_List!$A$2:$A$161,0))</ns0:f>
        <ns0:v>609.0</ns0:v>
      </ns0:c>
    </ns0:row>
    <ns0:row r="167">
      <ns0:c r="P167" s="4" t="inlineStr">
        <ns0:is>
          <ns0:t>SYN-160</ns0:t>
        </ns0:is>
      </ns0:c>
      <ns0:c r="Q167" s="4">
        <ns0:f>INDEX(Script_List!$R$2:$R$161,MATCH(P167,Script_List!$A$2:$A$161,0))</ns0:f>
        <ns0:v>3</ns0:v>
      </ns0:c>
      <ns0:c r="R167" s="4">
        <ns0:f>INDEX(Script_List!$X$2:$X$161,MATCH(P167,Script_List!$A$2:$A$161,0))</ns0:f>
        <ns0:v>564.0</ns0:v>
      </ns0:c>
    </ns0:row>
  </ns0:sheetData>
  <ns0:mergeCells count="7">
    <ns0:mergeCell ref="A2:L2"/>
    <ns0:mergeCell ref="A49:L49"/>
    <ns0:mergeCell ref="A47:L47"/>
    <ns0:mergeCell ref="A45:L45"/>
    <ns0:mergeCell ref="A1:L1"/>
    <ns0:mergeCell ref="A46:L46"/>
    <ns0:mergeCell ref="A44:L44"/>
  </ns0:mergeCells>
  <ns0:pageMargins left="0.75" right="0.75" top="1" bottom="1" header="0.5" footer="0.5"/>
  <ns0:pageSetup orientation="landscape" paperSize="8" fitToHeight="1" fitToWidth="1"/>
  <ns0:drawing ns1:id="rId1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B11"/>
  <ns0:sheetViews>
    <ns0:sheetView showGridLines="0" workbookViewId="0">
      <ns0:selection activeCell="A1" sqref="A1"/>
    </ns0:sheetView>
  </ns0:sheetViews>
  <ns0:sheetFormatPr baseColWidth="8" defaultRowHeight="15"/>
  <ns0:cols>
    <ns0:col width="39" customWidth="1" min="1" max="1"/>
    <ns0:col width="108" customWidth="1" min="2" max="2"/>
  </ns0:cols>
  <ns0:sheetData>
    <ns0:row r="1" ht="34" customHeight="1">
      <ns0:c r="A1" s="1" t="inlineStr">
        <ns0:is>
          <ns0:t>Assumption</ns0:t>
        </ns0:is>
      </ns0:c>
      <ns0:c r="B1" s="1" t="inlineStr">
        <ns0:is>
          <ns0:t>Value</ns0:t>
        </ns0:is>
      </ns0:c>
    </ns0:row>
    <ns0:row r="2" ht="34" customHeight="1">
      <ns0:c r="A2" s="2" t="inlineStr">
        <ns0:is>
          <ns0:t>RMB Per USD</ns0:t>
        </ns0:is>
      </ns0:c>
      <ns0:c r="B2" s="2" t="n">
        <ns0:v>7.2</ns0:v>
      </ns0:c>
    </ns0:row>
    <ns0:row r="3" ht="34" customHeight="1">
      <ns0:c r="A3" s="2" t="inlineStr">
        <ns0:is>
          <ns0:t>Opened-script session median</ns0:t>
        </ns0:is>
      </ns0:c>
      <ns0:c r="B3" s="2">
        <ns0:f>MEDIAN(Pivot_Analysis!$N$2:$N$137)</ns0:f>
        <ns0:v>2.0</ns0:v>
      </ns0:c>
    </ns0:row>
    <ns0:row r="4" ht="34" customHeight="1">
      <ns0:c r="A4" s="2" t="inlineStr">
        <ns0:is>
          <ns0:t>Opened-script contribution median</ns0:t>
        </ns0:is>
      </ns0:c>
      <ns0:c r="B4" s="2">
        <ns0:f>MEDIAN(Pivot_Analysis!$O$2:$O$137)</ns0:f>
        <ns0:v>490.0</ns0:v>
      </ns0:c>
    </ns0:row>
    <ns0:row r="5" ht="34" customHeight="1">
      <ns0:c r="A5" s="2" t="inlineStr">
        <ns0:is>
          <ns0:t>Analysis start</ns0:t>
        </ns0:is>
      </ns0:c>
      <ns0:c r="B5" s="8" t="n">
        <ns0:v>45901</ns0:v>
      </ns0:c>
    </ns0:row>
    <ns0:row r="6" ht="34" customHeight="1">
      <ns0:c r="A6" s="2" t="inlineStr">
        <ns0:is>
          <ns0:t>Analysis end</ns0:t>
        </ns0:is>
      </ns0:c>
      <ns0:c r="B6" s="8" t="n">
        <ns0:v>46303</ns0:v>
      </ns0:c>
    </ns0:row>
    <ns0:row r="7" ht="34" customHeight="1">
      <ns0:c r="A7" s="2" t="inlineStr">
        <ns0:is>
          <ns0:t>Percentage wage factor</ns0:t>
        </ns0:is>
      </ns0:c>
      <ns0:c r="B7" s="2" t="n">
        <ns0:v>0.2625</ns0:v>
      </ns0:c>
    </ns0:row>
    <ns0:row r="8" ht="34" customHeight="1">
      <ns0:c r="A8" s="2" t="inlineStr">
        <ns0:is>
          <ns0:t>Wage rule</ns0:t>
        </ns0:is>
      </ns0:c>
      <ns0:c r="B8" s="2" t="inlineStr">
        <ns0:is>
          <ns0:t>Script wage inputs are total session wages; no extra DM-count multiplication.</ns0:t>
        </ns0:is>
      </ns0:c>
    </ns0:row>
    <ns0:row r="9" ht="34" customHeight="1">
      <ns0:c r="A9" s="2" t="inlineStr">
        <ns0:is>
          <ns0:t>Acquisition convention</ns0:t>
        </ns0:is>
      </ns0:c>
      <ns0:c r="B9" s="2" t="inlineStr">
        <ns0:is>
          <ns0:t>USD acquisition costs rounded to whole dollars.</ns0:t>
        </ns0:is>
      </ns0:c>
    </ns0:row>
    <ns0:row r="10" ht="34" customHeight="1">
      <ns0:c r="A10" s="2" t="inlineStr">
        <ns0:is>
          <ns0:t>Threshold population</ns0:t>
        </ns0:is>
      </ns0:c>
      <ns0:c r="B10" s="2" t="inlineStr">
        <ns0:is>
          <ns0:t>Opened scripts only. Median ties classified as high.</ns0:t>
        </ns0:is>
      </ns0:c>
    </ns0:row>
    <ns0:row r="11" ht="34" customHeight="1">
      <ns0:c r="A11" s="2" t="inlineStr">
        <ns0:is>
          <ns0:t>Partial month</ns0:t>
        </ns0:is>
      </ns0:c>
      <ns0:c r="B11" s="2" t="inlineStr">
        <ns0:is>
          <ns0:t>October 2026 contains October 1–8 only.</ns0:t>
        </ns0:is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A161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7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  <ns0:col width="20" customWidth="1" min="16" max="16"/>
    <ns0:col width="20" customWidth="1" min="17" max="17"/>
    <ns0:col width="20" customWidth="1" min="18" max="18"/>
    <ns0:col width="20" customWidth="1" min="19" max="19"/>
    <ns0:col width="20" customWidth="1" min="20" max="20"/>
    <ns0:col width="20" customWidth="1" min="21" max="21"/>
    <ns0:col width="20" customWidth="1" min="22" max="22"/>
    <ns0:col width="30" customWidth="1" min="23" max="23"/>
    <ns0:col width="20" customWidth="1" min="24" max="24"/>
    <ns0:col width="20" customWidth="1" min="25" max="25"/>
    <ns0:col width="20" customWidth="1" min="26" max="26"/>
    <ns0:col width="43" customWidth="1" min="27" max="27"/>
  </ns0:cols>
  <ns0:sheetData>
    <ns0:row r="1" ht="44" customHeight="1">
      <ns0:c r="A1" s="1" t="inlineStr">
        <ns0:is>
          <ns0:t>Script ID</ns0:t>
        </ns0:is>
      </ns0:c>
      <ns0:c r="B1" s="1" t="inlineStr">
        <ns0:is>
          <ns0:t>Script Name</ns0:t>
        </ns0:is>
      </ns0:c>
      <ns0:c r="C1" s="1" t="inlineStr">
        <ns0:is>
          <ns0:t>Script Type</ns0:t>
        </ns0:is>
      </ns0:c>
      <ns0:c r="D1" s="1" t="inlineStr">
        <ns0:is>
          <ns0:t>DM</ns0:t>
        </ns0:is>
      </ns0:c>
      <ns0:c r="E1" s="1" t="inlineStr">
        <ns0:is>
          <ns0:t>Players</ns0:t>
        </ns0:is>
      </ns0:c>
      <ns0:c r="F1" s="1" t="inlineStr">
        <ns0:is>
          <ns0:t>Price Per Player</ns0:t>
        </ns0:is>
      </ns0:c>
      <ns0:c r="G1" s="1" t="inlineStr">
        <ns0:is>
          <ns0:t>Estimated Gross Revenue</ns0:t>
        </ns0:is>
      </ns0:c>
      <ns0:c r="H1" s="1" t="inlineStr">
        <ns0:is>
          <ns0:t>Standard DM Wage</ns0:t>
        </ns0:is>
      </ns0:c>
      <ns0:c r="I1" s="1" t="inlineStr">
        <ns0:is>
          <ns0:t>Script Edition</ns0:t>
        </ns0:is>
      </ns0:c>
      <ns0:c r="J1" s="1" t="inlineStr">
        <ns0:is>
          <ns0:t>Estimated Contribution</ns0:t>
        </ns0:is>
      </ns0:c>
      <ns0:c r="K1" s="1" t="inlineStr">
        <ns0:is>
          <ns0:t>Rating</ns0:t>
        </ns0:is>
      </ns0:c>
      <ns0:c r="L1" s="1" t="inlineStr">
        <ns0:is>
          <ns0:t>Cost Low(RMB)</ns0:t>
        </ns0:is>
      </ns0:c>
      <ns0:c r="M1" s="1" t="inlineStr">
        <ns0:is>
          <ns0:t>Cost Base(RMB)</ns0:t>
        </ns0:is>
      </ns0:c>
      <ns0:c r="N1" s="1" t="inlineStr">
        <ns0:is>
          <ns0:t>Cost High(RMB)</ns0:t>
        </ns0:is>
      </ns0:c>
      <ns0:c r="O1" s="1" t="inlineStr">
        <ns0:is>
          <ns0:t>Cost Low(USD)</ns0:t>
        </ns0:is>
      </ns0:c>
      <ns0:c r="P1" s="1" t="inlineStr">
        <ns0:is>
          <ns0:t>Cost Base(USD)</ns0:t>
        </ns0:is>
      </ns0:c>
      <ns0:c r="Q1" s="1" t="inlineStr">
        <ns0:is>
          <ns0:t>Cost High(USD)</ns0:t>
        </ns0:is>
      </ns0:c>
      <ns0:c r="R1" s="1" t="inlineStr">
        <ns0:is>
          <ns0:t>Observed Session Count</ns0:t>
        </ns0:is>
      </ns0:c>
      <ns0:c r="S1" s="1" t="inlineStr">
        <ns0:is>
          <ns0:t>Cumulative Estimated Contribution</ns0:t>
        </ns0:is>
      </ns0:c>
      <ns0:c r="T1" s="1" t="inlineStr">
        <ns0:is>
          <ns0:t>Surplus - Low Cost</ns0:t>
        </ns0:is>
      </ns0:c>
      <ns0:c r="U1" s="1" t="inlineStr">
        <ns0:is>
          <ns0:t>Surplus - Base Cost</ns0:t>
        </ns0:is>
      </ns0:c>
      <ns0:c r="V1" s="1" t="inlineStr">
        <ns0:is>
          <ns0:t>Surplus - High Cost</ns0:t>
        </ns0:is>
      </ns0:c>
      <ns0:c r="W1" s="1" t="inlineStr">
        <ns0:is>
          <ns0:t>Cost Recovery Status</ns0:t>
        </ns0:is>
      </ns0:c>
      <ns0:c r="X1" s="1" t="inlineStr">
        <ns0:is>
          <ns0:t>Average Contribution per Session</ns0:t>
        </ns0:is>
      </ns0:c>
      <ns0:c r="Y1" s="1" t="inlineStr">
        <ns0:is>
          <ns0:t>Open Session Count</ns0:t>
        </ns0:is>
      </ns0:c>
      <ns0:c r="Z1" s="1" t="inlineStr">
        <ns0:is>
          <ns0:t>Avg Contribution(Opened Only)</ns0:t>
        </ns0:is>
      </ns0:c>
      <ns0:c r="AA1" s="1" t="inlineStr">
        <ns0:is>
          <ns0:t>Strategy Segment</ns0:t>
        </ns0:is>
      </ns0:c>
    </ns0:row>
    <ns0:row r="2">
      <ns0:c r="A2" s="4" t="inlineStr">
        <ns0:is>
          <ns0:t>SYN-001</ns0:t>
        </ns0:is>
      </ns0:c>
      <ns0:c r="B2" s="4" t="inlineStr">
        <ns0:is>
          <ns0:t>Synthetic Script 001</ns0:t>
        </ns0:is>
      </ns0:c>
      <ns0:c r="C2" s="4" t="inlineStr">
        <ns0:is>
          <ns0:t>情感</ns0:t>
        </ns0:is>
      </ns0:c>
      <ns0:c r="D2" s="4" t="n">
        <ns0:v>2</ns0:v>
      </ns0:c>
      <ns0:c r="E2" s="4" t="n">
        <ns0:v>6</ns0:v>
      </ns0:c>
      <ns0:c r="F2" s="9" t="n">
        <ns0:v>99</ns0:v>
      </ns0:c>
      <ns0:c r="G2" s="9">
        <ns0:f>E2*F2</ns0:f>
        <ns0:v>594</ns0:v>
      </ns0:c>
      <ns0:c r="H2" s="9" t="n">
        <ns0:v>180</ns0:v>
      </ns0:c>
      <ns0:c r="I2" s="4" t="inlineStr">
        <ns0:is>
          <ns0:t>盒装</ns0:t>
        </ns0:is>
      </ns0:c>
      <ns0:c r="J2" s="9">
        <ns0:f>G2-H2</ns0:f>
        <ns0:v>414</ns0:v>
      </ns0:c>
      <ns0:c r="K2" s="4" t="n">
        <ns0:v>7</ns0:v>
      </ns0:c>
      <ns0:c r="L2" s="4" t="n">
        <ns0:v>0</ns0:v>
      </ns0:c>
      <ns0:c r="M2" s="4" t="n">
        <ns0:v>750</ns0:v>
      </ns0:c>
      <ns0:c r="N2" s="4" t="n">
        <ns0:v>1000</ns0:v>
      </ns0:c>
      <ns0:c r="O2" s="9">
        <ns0:f>ROUND(L2/Assumptions!$B$2,0)</ns0:f>
        <ns0:v>0</ns0:v>
      </ns0:c>
      <ns0:c r="P2" s="9">
        <ns0:f>ROUND(M2/Assumptions!$B$2,0)</ns0:f>
        <ns0:v>104</ns0:v>
      </ns0:c>
      <ns0:c r="Q2" s="9">
        <ns0:f>ROUND(N2/Assumptions!$B$2,0)</ns0:f>
        <ns0:v>139</ns0:v>
      </ns0:c>
      <ns0:c r="R2" s="4">
        <ns0:f>COUNTIF(RawData[Script ID],A2)</ns0:f>
        <ns0:v>0</ns0:v>
      </ns0:c>
      <ns0:c r="S2" s="9">
        <ns0:f>SUMIF(RawData[Script ID],A2,RawData[Estimated Contribution])</ns0:f>
        <ns0:v>0.0</ns0:v>
      </ns0:c>
      <ns0:c r="T2" s="9">
        <ns0:f>S2-O2</ns0:f>
        <ns0:v>0.0</ns0:v>
      </ns0:c>
      <ns0:c r="U2" s="9">
        <ns0:f>S2-P2</ns0:f>
        <ns0:v>-104.0</ns0:v>
      </ns0:c>
      <ns0:c r="V2" s="9">
        <ns0:f>S2-Q2</ns0:f>
        <ns0:v>-139.0</ns0:v>
      </ns0:c>
      <ns0:c r="W2" s="4" t="str">
        <ns0:f>IF(R2=0,"Not Opened",IF(V2&gt;=0,"Recovered - All Scenarios",IF(U2&gt;=0,"Recovered - Low &amp; Base",IF(T2&gt;=0,"Recovered - Low Only","Not Recovered"))))</ns0:f>
        <ns0:v>Not Opened</ns0:v>
      </ns0:c>
      <ns0:c r="X2" s="9">
        <ns0:f>IF(R2=0,0,S2/R2)</ns0:f>
        <ns0:v>0</ns0:v>
      </ns0:c>
      <ns0:c r="Y2" s="4">
        <ns0:f>R2</ns0:f>
        <ns0:v>0</ns0:v>
      </ns0:c>
      <ns0:c r="Z2" s="9" t="str">
        <ns0:f>IF(R2=0,"",S2/R2)</ns0:f>
        <ns0:v/>
      </ns0:c>
      <ns0:c r="AA2" s="4" t="str">
        <ns0:f>IF(R2=0,"Not Opened",IF(R2&gt;=Assumptions!$B$3,"High Frequency","Low Frequency")&amp;" / "&amp;IF(X2&gt;=Assumptions!$B$4,"High Contribution","Low Contribution"))</ns0:f>
        <ns0:v>Not Opened</ns0:v>
      </ns0:c>
    </ns0:row>
    <ns0:row r="3">
      <ns0:c r="A3" s="4" t="inlineStr">
        <ns0:is>
          <ns0:t>SYN-002</ns0:t>
        </ns0:is>
      </ns0:c>
      <ns0:c r="B3" s="4" t="inlineStr">
        <ns0:is>
          <ns0:t>Synthetic Script 002</ns0:t>
        </ns0:is>
      </ns0:c>
      <ns0:c r="C3" s="4" t="inlineStr">
        <ns0:is>
          <ns0:t>推理</ns0:t>
        </ns0:is>
      </ns0:c>
      <ns0:c r="D3" s="4" t="n">
        <ns0:v>1</ns0:v>
      </ns0:c>
      <ns0:c r="E3" s="4" t="n">
        <ns0:v>6</ns0:v>
      </ns0:c>
      <ns0:c r="F3" s="9" t="n">
        <ns0:v>75</ns0:v>
      </ns0:c>
      <ns0:c r="G3" s="9">
        <ns0:f>E3*F3</ns0:f>
        <ns0:v>450</ns0:v>
      </ns0:c>
      <ns0:c r="H3" s="9" t="n">
        <ns0:v>118</ns0:v>
      </ns0:c>
      <ns0:c r="I3" s="4" t="inlineStr">
        <ns0:is>
          <ns0:t>城限</ns0:t>
        </ns0:is>
      </ns0:c>
      <ns0:c r="J3" s="9">
        <ns0:f>G3-H3</ns0:f>
        <ns0:v>332</ns0:v>
      </ns0:c>
      <ns0:c r="K3" s="4" t="n">
        <ns0:v>7.7</ns0:v>
      </ns0:c>
      <ns0:c r="L3" s="4" t="n">
        <ns0:v>1500</ns0:v>
      </ns0:c>
      <ns0:c r="M3" s="4" t="n">
        <ns0:v>2000</ns0:v>
      </ns0:c>
      <ns0:c r="N3" s="4" t="n">
        <ns0:v>2500</ns0:v>
      </ns0:c>
      <ns0:c r="O3" s="9">
        <ns0:f>ROUND(L3/Assumptions!$B$2,0)</ns0:f>
        <ns0:v>208</ns0:v>
      </ns0:c>
      <ns0:c r="P3" s="9">
        <ns0:f>ROUND(M3/Assumptions!$B$2,0)</ns0:f>
        <ns0:v>278</ns0:v>
      </ns0:c>
      <ns0:c r="Q3" s="9">
        <ns0:f>ROUND(N3/Assumptions!$B$2,0)</ns0:f>
        <ns0:v>347</ns0:v>
      </ns0:c>
      <ns0:c r="R3" s="4">
        <ns0:f>COUNTIF(RawData[Script ID],A3)</ns0:f>
        <ns0:v>1</ns0:v>
      </ns0:c>
      <ns0:c r="S3" s="9">
        <ns0:f>SUMIF(RawData[Script ID],A3,RawData[Estimated Contribution])</ns0:f>
        <ns0:v>332.0</ns0:v>
      </ns0:c>
      <ns0:c r="T3" s="9">
        <ns0:f>S3-O3</ns0:f>
        <ns0:v>124.0</ns0:v>
      </ns0:c>
      <ns0:c r="U3" s="9">
        <ns0:f>S3-P3</ns0:f>
        <ns0:v>54.0</ns0:v>
      </ns0:c>
      <ns0:c r="V3" s="9">
        <ns0:f>S3-Q3</ns0:f>
        <ns0:v>-15.0</ns0:v>
      </ns0:c>
      <ns0:c r="W3" s="4" t="str">
        <ns0:f>IF(R3=0,"Not Opened",IF(V3&gt;=0,"Recovered - All Scenarios",IF(U3&gt;=0,"Recovered - Low &amp; Base",IF(T3&gt;=0,"Recovered - Low Only","Not Recovered"))))</ns0:f>
        <ns0:v>Recovered - Low &amp; Base</ns0:v>
      </ns0:c>
      <ns0:c r="X3" s="9">
        <ns0:f>IF(R3=0,0,S3/R3)</ns0:f>
        <ns0:v>332.0</ns0:v>
      </ns0:c>
      <ns0:c r="Y3" s="4">
        <ns0:f>R3</ns0:f>
        <ns0:v>1</ns0:v>
      </ns0:c>
      <ns0:c r="Z3" s="9">
        <ns0:f>IF(R3=0,"",S3/R3)</ns0:f>
        <ns0:v>332.0</ns0:v>
      </ns0:c>
      <ns0:c r="AA3" s="4" t="str">
        <ns0:f>IF(R3=0,"Not Opened",IF(R3&gt;=Assumptions!$B$3,"High Frequency","Low Frequency")&amp;" / "&amp;IF(X3&gt;=Assumptions!$B$4,"High Contribution","Low Contribution"))</ns0:f>
        <ns0:v>Low Frequency / Low Contribution</ns0:v>
      </ns0:c>
    </ns0:row>
    <ns0:row r="4">
      <ns0:c r="A4" s="4" t="inlineStr">
        <ns0:is>
          <ns0:t>SYN-003</ns0:t>
        </ns0:is>
      </ns0:c>
      <ns0:c r="B4" s="4" t="inlineStr">
        <ns0:is>
          <ns0:t>Synthetic Script 003</ns0:t>
        </ns0:is>
      </ns0:c>
      <ns0:c r="C4" s="4" t="inlineStr">
        <ns0:is>
          <ns0:t>情感</ns0:t>
        </ns0:is>
      </ns0:c>
      <ns0:c r="D4" s="4" t="n">
        <ns0:v>3</ns0:v>
      </ns0:c>
      <ns0:c r="E4" s="4" t="n">
        <ns0:v>6</ns0:v>
      </ns0:c>
      <ns0:c r="F4" s="9" t="n">
        <ns0:v>118</ns0:v>
      </ns0:c>
      <ns0:c r="G4" s="9">
        <ns0:f>E4*F4</ns0:f>
        <ns0:v>708</ns0:v>
      </ns0:c>
      <ns0:c r="H4" s="9" t="n">
        <ns0:v>270</ns0:v>
      </ns0:c>
      <ns0:c r="I4" s="4" t="inlineStr">
        <ns0:is>
          <ns0:t>盒装</ns0:t>
        </ns0:is>
      </ns0:c>
      <ns0:c r="J4" s="9">
        <ns0:f>G4-H4</ns0:f>
        <ns0:v>438</ns0:v>
      </ns0:c>
      <ns0:c r="K4" s="4" t="n">
        <ns0:v>8.4</ns0:v>
      </ns0:c>
      <ns0:c r="L4" s="4" t="n">
        <ns0:v>0</ns0:v>
      </ns0:c>
      <ns0:c r="M4" s="4" t="n">
        <ns0:v>750</ns0:v>
      </ns0:c>
      <ns0:c r="N4" s="4" t="n">
        <ns0:v>1000</ns0:v>
      </ns0:c>
      <ns0:c r="O4" s="9">
        <ns0:f>ROUND(L4/Assumptions!$B$2,0)</ns0:f>
        <ns0:v>0</ns0:v>
      </ns0:c>
      <ns0:c r="P4" s="9">
        <ns0:f>ROUND(M4/Assumptions!$B$2,0)</ns0:f>
        <ns0:v>104</ns0:v>
      </ns0:c>
      <ns0:c r="Q4" s="9">
        <ns0:f>ROUND(N4/Assumptions!$B$2,0)</ns0:f>
        <ns0:v>139</ns0:v>
      </ns0:c>
      <ns0:c r="R4" s="4">
        <ns0:f>COUNTIF(RawData[Script ID],A4)</ns0:f>
        <ns0:v>3</ns0:v>
      </ns0:c>
      <ns0:c r="S4" s="9">
        <ns0:f>SUMIF(RawData[Script ID],A4,RawData[Estimated Contribution])</ns0:f>
        <ns0:v>1314.0</ns0:v>
      </ns0:c>
      <ns0:c r="T4" s="9">
        <ns0:f>S4-O4</ns0:f>
        <ns0:v>1314.0</ns0:v>
      </ns0:c>
      <ns0:c r="U4" s="9">
        <ns0:f>S4-P4</ns0:f>
        <ns0:v>1210.0</ns0:v>
      </ns0:c>
      <ns0:c r="V4" s="9">
        <ns0:f>S4-Q4</ns0:f>
        <ns0:v>1175.0</ns0:v>
      </ns0:c>
      <ns0:c r="W4" s="4" t="str">
        <ns0:f>IF(R4=0,"Not Opened",IF(V4&gt;=0,"Recovered - All Scenarios",IF(U4&gt;=0,"Recovered - Low &amp; Base",IF(T4&gt;=0,"Recovered - Low Only","Not Recovered"))))</ns0:f>
        <ns0:v>Recovered - All Scenarios</ns0:v>
      </ns0:c>
      <ns0:c r="X4" s="9">
        <ns0:f>IF(R4=0,0,S4/R4)</ns0:f>
        <ns0:v>438.0</ns0:v>
      </ns0:c>
      <ns0:c r="Y4" s="4">
        <ns0:f>R4</ns0:f>
        <ns0:v>3</ns0:v>
      </ns0:c>
      <ns0:c r="Z4" s="9">
        <ns0:f>IF(R4=0,"",S4/R4)</ns0:f>
        <ns0:v>438.0</ns0:v>
      </ns0:c>
      <ns0:c r="AA4" s="4" t="str">
        <ns0:f>IF(R4=0,"Not Opened",IF(R4&gt;=Assumptions!$B$3,"High Frequency","Low Frequency")&amp;" / "&amp;IF(X4&gt;=Assumptions!$B$4,"High Contribution","Low Contribution"))</ns0:f>
        <ns0:v>High Frequency / Low Contribution</ns0:v>
      </ns0:c>
    </ns0:row>
    <ns0:row r="5">
      <ns0:c r="A5" s="4" t="inlineStr">
        <ns0:is>
          <ns0:t>SYN-004</ns0:t>
        </ns0:is>
      </ns0:c>
      <ns0:c r="B5" s="4" t="inlineStr">
        <ns0:is>
          <ns0:t>Synthetic Script 004</ns0:t>
        </ns0:is>
      </ns0:c>
      <ns0:c r="C5" s="4" t="inlineStr">
        <ns0:is>
          <ns0:t>欢乐</ns0:t>
        </ns0:is>
      </ns0:c>
      <ns0:c r="D5" s="4" t="n">
        <ns0:v>3</ns0:v>
      </ns0:c>
      <ns0:c r="E5" s="4" t="n">
        <ns0:v>7</ns0:v>
      </ns0:c>
      <ns0:c r="F5" s="9" t="n">
        <ns0:v>129</ns0:v>
      </ns0:c>
      <ns0:c r="G5" s="9">
        <ns0:f>E5*F5</ns0:f>
        <ns0:v>903</ns0:v>
      </ns0:c>
      <ns0:c r="H5" s="9" t="n">
        <ns0:v>237</ns0:v>
      </ns0:c>
      <ns0:c r="I5" s="4" t="inlineStr">
        <ns0:is>
          <ns0:t>独家</ns0:t>
        </ns0:is>
      </ns0:c>
      <ns0:c r="J5" s="9">
        <ns0:f>G5-H5</ns0:f>
        <ns0:v>666</ns0:v>
      </ns0:c>
      <ns0:c r="K5" s="4" t="n">
        <ns0:v>7</ns0:v>
      </ns0:c>
      <ns0:c r="L5" s="4" t="n">
        <ns0:v>2500</ns0:v>
      </ns0:c>
      <ns0:c r="M5" s="4" t="n">
        <ns0:v>3000</ns0:v>
      </ns0:c>
      <ns0:c r="N5" s="4" t="n">
        <ns0:v>3500</ns0:v>
      </ns0:c>
      <ns0:c r="O5" s="9">
        <ns0:f>ROUND(L5/Assumptions!$B$2,0)</ns0:f>
        <ns0:v>347</ns0:v>
      </ns0:c>
      <ns0:c r="P5" s="9">
        <ns0:f>ROUND(M5/Assumptions!$B$2,0)</ns0:f>
        <ns0:v>417</ns0:v>
      </ns0:c>
      <ns0:c r="Q5" s="9">
        <ns0:f>ROUND(N5/Assumptions!$B$2,0)</ns0:f>
        <ns0:v>486</ns0:v>
      </ns0:c>
      <ns0:c r="R5" s="4">
        <ns0:f>COUNTIF(RawData[Script ID],A5)</ns0:f>
        <ns0:v>0</ns0:v>
      </ns0:c>
      <ns0:c r="S5" s="9">
        <ns0:f>SUMIF(RawData[Script ID],A5,RawData[Estimated Contribution])</ns0:f>
        <ns0:v>0.0</ns0:v>
      </ns0:c>
      <ns0:c r="T5" s="9">
        <ns0:f>S5-O5</ns0:f>
        <ns0:v>-347.0</ns0:v>
      </ns0:c>
      <ns0:c r="U5" s="9">
        <ns0:f>S5-P5</ns0:f>
        <ns0:v>-417.0</ns0:v>
      </ns0:c>
      <ns0:c r="V5" s="9">
        <ns0:f>S5-Q5</ns0:f>
        <ns0:v>-486.0</ns0:v>
      </ns0:c>
      <ns0:c r="W5" s="4" t="str">
        <ns0:f>IF(R5=0,"Not Opened",IF(V5&gt;=0,"Recovered - All Scenarios",IF(U5&gt;=0,"Recovered - Low &amp; Base",IF(T5&gt;=0,"Recovered - Low Only","Not Recovered"))))</ns0:f>
        <ns0:v>Not Opened</ns0:v>
      </ns0:c>
      <ns0:c r="X5" s="9">
        <ns0:f>IF(R5=0,0,S5/R5)</ns0:f>
        <ns0:v>0</ns0:v>
      </ns0:c>
      <ns0:c r="Y5" s="4">
        <ns0:f>R5</ns0:f>
        <ns0:v>0</ns0:v>
      </ns0:c>
      <ns0:c r="Z5" s="9" t="str">
        <ns0:f>IF(R5=0,"",S5/R5)</ns0:f>
        <ns0:v/>
      </ns0:c>
      <ns0:c r="AA5" s="4" t="str">
        <ns0:f>IF(R5=0,"Not Opened",IF(R5&gt;=Assumptions!$B$3,"High Frequency","Low Frequency")&amp;" / "&amp;IF(X5&gt;=Assumptions!$B$4,"High Contribution","Low Contribution"))</ns0:f>
        <ns0:v>Not Opened</ns0:v>
      </ns0:c>
    </ns0:row>
    <ns0:row r="6">
      <ns0:c r="A6" s="4" t="inlineStr">
        <ns0:is>
          <ns0:t>SYN-005</ns0:t>
        </ns0:is>
      </ns0:c>
      <ns0:c r="B6" s="4" t="inlineStr">
        <ns0:is>
          <ns0:t>Synthetic Script 005</ns0:t>
        </ns0:is>
      </ns0:c>
      <ns0:c r="C6" s="4" t="inlineStr">
        <ns0:is>
          <ns0:t>推理</ns0:t>
        </ns0:is>
      </ns0:c>
      <ns0:c r="D6" s="4" t="n">
        <ns0:v>2</ns0:v>
      </ns0:c>
      <ns0:c r="E6" s="4" t="n">
        <ns0:v>8</ns0:v>
      </ns0:c>
      <ns0:c r="F6" s="9" t="n">
        <ns0:v>65</ns0:v>
      </ns0:c>
      <ns0:c r="G6" s="9">
        <ns0:f>E6*F6</ns0:f>
        <ns0:v>520</ns0:v>
      </ns0:c>
      <ns0:c r="H6" s="9" t="n">
        <ns0:v>137</ns0:v>
      </ns0:c>
      <ns0:c r="I6" s="4" t="inlineStr">
        <ns0:is>
          <ns0:t>城限</ns0:t>
        </ns0:is>
      </ns0:c>
      <ns0:c r="J6" s="9">
        <ns0:f>G6-H6</ns0:f>
        <ns0:v>383</ns0:v>
      </ns0:c>
      <ns0:c r="K6" s="4" t="n">
        <ns0:v>7.7</ns0:v>
      </ns0:c>
      <ns0:c r="L6" s="4" t="n">
        <ns0:v>1500</ns0:v>
      </ns0:c>
      <ns0:c r="M6" s="4" t="n">
        <ns0:v>2000</ns0:v>
      </ns0:c>
      <ns0:c r="N6" s="4" t="n">
        <ns0:v>2500</ns0:v>
      </ns0:c>
      <ns0:c r="O6" s="9">
        <ns0:f>ROUND(L6/Assumptions!$B$2,0)</ns0:f>
        <ns0:v>208</ns0:v>
      </ns0:c>
      <ns0:c r="P6" s="9">
        <ns0:f>ROUND(M6/Assumptions!$B$2,0)</ns0:f>
        <ns0:v>278</ns0:v>
      </ns0:c>
      <ns0:c r="Q6" s="9">
        <ns0:f>ROUND(N6/Assumptions!$B$2,0)</ns0:f>
        <ns0:v>347</ns0:v>
      </ns0:c>
      <ns0:c r="R6" s="4">
        <ns0:f>COUNTIF(RawData[Script ID],A6)</ns0:f>
        <ns0:v>2</ns0:v>
      </ns0:c>
      <ns0:c r="S6" s="9">
        <ns0:f>SUMIF(RawData[Script ID],A6,RawData[Estimated Contribution])</ns0:f>
        <ns0:v>766.0</ns0:v>
      </ns0:c>
      <ns0:c r="T6" s="9">
        <ns0:f>S6-O6</ns0:f>
        <ns0:v>558.0</ns0:v>
      </ns0:c>
      <ns0:c r="U6" s="9">
        <ns0:f>S6-P6</ns0:f>
        <ns0:v>488.0</ns0:v>
      </ns0:c>
      <ns0:c r="V6" s="9">
        <ns0:f>S6-Q6</ns0:f>
        <ns0:v>419.0</ns0:v>
      </ns0:c>
      <ns0:c r="W6" s="4" t="str">
        <ns0:f>IF(R6=0,"Not Opened",IF(V6&gt;=0,"Recovered - All Scenarios",IF(U6&gt;=0,"Recovered - Low &amp; Base",IF(T6&gt;=0,"Recovered - Low Only","Not Recovered"))))</ns0:f>
        <ns0:v>Recovered - All Scenarios</ns0:v>
      </ns0:c>
      <ns0:c r="X6" s="9">
        <ns0:f>IF(R6=0,0,S6/R6)</ns0:f>
        <ns0:v>383.0</ns0:v>
      </ns0:c>
      <ns0:c r="Y6" s="4">
        <ns0:f>R6</ns0:f>
        <ns0:v>2</ns0:v>
      </ns0:c>
      <ns0:c r="Z6" s="9">
        <ns0:f>IF(R6=0,"",S6/R6)</ns0:f>
        <ns0:v>383.0</ns0:v>
      </ns0:c>
      <ns0:c r="AA6" s="4" t="str">
        <ns0:f>IF(R6=0,"Not Opened",IF(R6&gt;=Assumptions!$B$3,"High Frequency","Low Frequency")&amp;" / "&amp;IF(X6&gt;=Assumptions!$B$4,"High Contribution","Low Contribution"))</ns0:f>
        <ns0:v>High Frequency / Low Contribution</ns0:v>
      </ns0:c>
    </ns0:row>
    <ns0:row r="7">
      <ns0:c r="A7" s="4" t="inlineStr">
        <ns0:is>
          <ns0:t>SYN-006</ns0:t>
        </ns0:is>
      </ns0:c>
      <ns0:c r="B7" s="4" t="inlineStr">
        <ns0:is>
          <ns0:t>Synthetic Script 006</ns0:t>
        </ns0:is>
      </ns0:c>
      <ns0:c r="C7" s="4" t="inlineStr">
        <ns0:is>
          <ns0:t>情感</ns0:t>
        </ns0:is>
      </ns0:c>
      <ns0:c r="D7" s="4" t="n">
        <ns0:v>2</ns0:v>
      </ns0:c>
      <ns0:c r="E7" s="4" t="n">
        <ns0:v>6</ns0:v>
      </ns0:c>
      <ns0:c r="F7" s="9" t="n">
        <ns0:v>109</ns0:v>
      </ns0:c>
      <ns0:c r="G7" s="9">
        <ns0:f>E7*F7</ns0:f>
        <ns0:v>654</ns0:v>
      </ns0:c>
      <ns0:c r="H7" s="9" t="n">
        <ns0:v>180</ns0:v>
      </ns0:c>
      <ns0:c r="I7" s="4" t="inlineStr">
        <ns0:is>
          <ns0:t>盒装</ns0:t>
        </ns0:is>
      </ns0:c>
      <ns0:c r="J7" s="9">
        <ns0:f>G7-H7</ns0:f>
        <ns0:v>474</ns0:v>
      </ns0:c>
      <ns0:c r="K7" s="4" t="n">
        <ns0:v>8.4</ns0:v>
      </ns0:c>
      <ns0:c r="L7" s="4" t="n">
        <ns0:v>0</ns0:v>
      </ns0:c>
      <ns0:c r="M7" s="4" t="n">
        <ns0:v>750</ns0:v>
      </ns0:c>
      <ns0:c r="N7" s="4" t="n">
        <ns0:v>1000</ns0:v>
      </ns0:c>
      <ns0:c r="O7" s="9">
        <ns0:f>ROUND(L7/Assumptions!$B$2,0)</ns0:f>
        <ns0:v>0</ns0:v>
      </ns0:c>
      <ns0:c r="P7" s="9">
        <ns0:f>ROUND(M7/Assumptions!$B$2,0)</ns0:f>
        <ns0:v>104</ns0:v>
      </ns0:c>
      <ns0:c r="Q7" s="9">
        <ns0:f>ROUND(N7/Assumptions!$B$2,0)</ns0:f>
        <ns0:v>139</ns0:v>
      </ns0:c>
      <ns0:c r="R7" s="4">
        <ns0:f>COUNTIF(RawData[Script ID],A7)</ns0:f>
        <ns0:v>4</ns0:v>
      </ns0:c>
      <ns0:c r="S7" s="9">
        <ns0:f>SUMIF(RawData[Script ID],A7,RawData[Estimated Contribution])</ns0:f>
        <ns0:v>1896.0</ns0:v>
      </ns0:c>
      <ns0:c r="T7" s="9">
        <ns0:f>S7-O7</ns0:f>
        <ns0:v>1896.0</ns0:v>
      </ns0:c>
      <ns0:c r="U7" s="9">
        <ns0:f>S7-P7</ns0:f>
        <ns0:v>1792.0</ns0:v>
      </ns0:c>
      <ns0:c r="V7" s="9">
        <ns0:f>S7-Q7</ns0:f>
        <ns0:v>1757.0</ns0:v>
      </ns0:c>
      <ns0:c r="W7" s="4" t="str">
        <ns0:f>IF(R7=0,"Not Opened",IF(V7&gt;=0,"Recovered - All Scenarios",IF(U7&gt;=0,"Recovered - Low &amp; Base",IF(T7&gt;=0,"Recovered - Low Only","Not Recovered"))))</ns0:f>
        <ns0:v>Recovered - All Scenarios</ns0:v>
      </ns0:c>
      <ns0:c r="X7" s="9">
        <ns0:f>IF(R7=0,0,S7/R7)</ns0:f>
        <ns0:v>474.0</ns0:v>
      </ns0:c>
      <ns0:c r="Y7" s="4">
        <ns0:f>R7</ns0:f>
        <ns0:v>4</ns0:v>
      </ns0:c>
      <ns0:c r="Z7" s="9">
        <ns0:f>IF(R7=0,"",S7/R7)</ns0:f>
        <ns0:v>474.0</ns0:v>
      </ns0:c>
      <ns0:c r="AA7" s="4" t="str">
        <ns0:f>IF(R7=0,"Not Opened",IF(R7&gt;=Assumptions!$B$3,"High Frequency","Low Frequency")&amp;" / "&amp;IF(X7&gt;=Assumptions!$B$4,"High Contribution","Low Contribution"))</ns0:f>
        <ns0:v>High Frequency / Low Contribution</ns0:v>
      </ns0:c>
    </ns0:row>
    <ns0:row r="8">
      <ns0:c r="A8" s="4" t="inlineStr">
        <ns0:is>
          <ns0:t>SYN-007</ns0:t>
        </ns0:is>
      </ns0:c>
      <ns0:c r="B8" s="4" t="inlineStr">
        <ns0:is>
          <ns0:t>Synthetic Script 007</ns0:t>
        </ns0:is>
      </ns0:c>
      <ns0:c r="C8" s="4" t="inlineStr">
        <ns0:is>
          <ns0:t>机制</ns0:t>
        </ns0:is>
      </ns0:c>
      <ns0:c r="D8" s="4" t="n">
        <ns0:v>1</ns0:v>
      </ns0:c>
      <ns0:c r="E8" s="4" t="n">
        <ns0:v>6</ns0:v>
      </ns0:c>
      <ns0:c r="F8" s="9" t="n">
        <ns0:v>129</ns0:v>
      </ns0:c>
      <ns0:c r="G8" s="9">
        <ns0:f>E8*F8</ns0:f>
        <ns0:v>774</ns0:v>
      </ns0:c>
      <ns0:c r="H8" s="9" t="n">
        <ns0:v>203</ns0:v>
      </ns0:c>
      <ns0:c r="I8" s="4" t="inlineStr">
        <ns0:is>
          <ns0:t>城限</ns0:t>
        </ns0:is>
      </ns0:c>
      <ns0:c r="J8" s="9">
        <ns0:f>G8-H8</ns0:f>
        <ns0:v>571</ns0:v>
      </ns0:c>
      <ns0:c r="K8" s="4" t="n">
        <ns0:v>7</ns0:v>
      </ns0:c>
      <ns0:c r="L8" s="4" t="n">
        <ns0:v>1500</ns0:v>
      </ns0:c>
      <ns0:c r="M8" s="4" t="n">
        <ns0:v>2000</ns0:v>
      </ns0:c>
      <ns0:c r="N8" s="4" t="n">
        <ns0:v>2500</ns0:v>
      </ns0:c>
      <ns0:c r="O8" s="9">
        <ns0:f>ROUND(L8/Assumptions!$B$2,0)</ns0:f>
        <ns0:v>208</ns0:v>
      </ns0:c>
      <ns0:c r="P8" s="9">
        <ns0:f>ROUND(M8/Assumptions!$B$2,0)</ns0:f>
        <ns0:v>278</ns0:v>
      </ns0:c>
      <ns0:c r="Q8" s="9">
        <ns0:f>ROUND(N8/Assumptions!$B$2,0)</ns0:f>
        <ns0:v>347</ns0:v>
      </ns0:c>
      <ns0:c r="R8" s="4">
        <ns0:f>COUNTIF(RawData[Script ID],A8)</ns0:f>
        <ns0:v>0</ns0:v>
      </ns0:c>
      <ns0:c r="S8" s="9">
        <ns0:f>SUMIF(RawData[Script ID],A8,RawData[Estimated Contribution])</ns0:f>
        <ns0:v>0.0</ns0:v>
      </ns0:c>
      <ns0:c r="T8" s="9">
        <ns0:f>S8-O8</ns0:f>
        <ns0:v>-208.0</ns0:v>
      </ns0:c>
      <ns0:c r="U8" s="9">
        <ns0:f>S8-P8</ns0:f>
        <ns0:v>-278.0</ns0:v>
      </ns0:c>
      <ns0:c r="V8" s="9">
        <ns0:f>S8-Q8</ns0:f>
        <ns0:v>-347.0</ns0:v>
      </ns0:c>
      <ns0:c r="W8" s="4" t="str">
        <ns0:f>IF(R8=0,"Not Opened",IF(V8&gt;=0,"Recovered - All Scenarios",IF(U8&gt;=0,"Recovered - Low &amp; Base",IF(T8&gt;=0,"Recovered - Low Only","Not Recovered"))))</ns0:f>
        <ns0:v>Not Opened</ns0:v>
      </ns0:c>
      <ns0:c r="X8" s="9">
        <ns0:f>IF(R8=0,0,S8/R8)</ns0:f>
        <ns0:v>0</ns0:v>
      </ns0:c>
      <ns0:c r="Y8" s="4">
        <ns0:f>R8</ns0:f>
        <ns0:v>0</ns0:v>
      </ns0:c>
      <ns0:c r="Z8" s="9" t="str">
        <ns0:f>IF(R8=0,"",S8/R8)</ns0:f>
        <ns0:v/>
      </ns0:c>
      <ns0:c r="AA8" s="4" t="str">
        <ns0:f>IF(R8=0,"Not Opened",IF(R8&gt;=Assumptions!$B$3,"High Frequency","Low Frequency")&amp;" / "&amp;IF(X8&gt;=Assumptions!$B$4,"High Contribution","Low Contribution"))</ns0:f>
        <ns0:v>Not Opened</ns0:v>
      </ns0:c>
    </ns0:row>
    <ns0:row r="9">
      <ns0:c r="A9" s="4" t="inlineStr">
        <ns0:is>
          <ns0:t>SYN-008</ns0:t>
        </ns0:is>
      </ns0:c>
      <ns0:c r="B9" s="4" t="inlineStr">
        <ns0:is>
          <ns0:t>Synthetic Script 008</ns0:t>
        </ns0:is>
      </ns0:c>
      <ns0:c r="C9" s="4" t="inlineStr">
        <ns0:is>
          <ns0:t>推理</ns0:t>
        </ns0:is>
      </ns0:c>
      <ns0:c r="D9" s="4" t="n">
        <ns0:v>1</ns0:v>
      </ns0:c>
      <ns0:c r="E9" s="4" t="n">
        <ns0:v>6</ns0:v>
      </ns0:c>
      <ns0:c r="F9" s="9" t="n">
        <ns0:v>119</ns0:v>
      </ns0:c>
      <ns0:c r="G9" s="9">
        <ns0:f>E9*F9</ns0:f>
        <ns0:v>714</ns0:v>
      </ns0:c>
      <ns0:c r="H9" s="9" t="n">
        <ns0:v>187</ns0:v>
      </ns0:c>
      <ns0:c r="I9" s="4" t="inlineStr">
        <ns0:is>
          <ns0:t>盒装</ns0:t>
        </ns0:is>
      </ns0:c>
      <ns0:c r="J9" s="9">
        <ns0:f>G9-H9</ns0:f>
        <ns0:v>527</ns0:v>
      </ns0:c>
      <ns0:c r="K9" s="4" t="n">
        <ns0:v>7.7</ns0:v>
      </ns0:c>
      <ns0:c r="L9" s="4" t="n">
        <ns0:v>0</ns0:v>
      </ns0:c>
      <ns0:c r="M9" s="4" t="n">
        <ns0:v>750</ns0:v>
      </ns0:c>
      <ns0:c r="N9" s="4" t="n">
        <ns0:v>1000</ns0:v>
      </ns0:c>
      <ns0:c r="O9" s="9">
        <ns0:f>ROUND(L9/Assumptions!$B$2,0)</ns0:f>
        <ns0:v>0</ns0:v>
      </ns0:c>
      <ns0:c r="P9" s="9">
        <ns0:f>ROUND(M9/Assumptions!$B$2,0)</ns0:f>
        <ns0:v>104</ns0:v>
      </ns0:c>
      <ns0:c r="Q9" s="9">
        <ns0:f>ROUND(N9/Assumptions!$B$2,0)</ns0:f>
        <ns0:v>139</ns0:v>
      </ns0:c>
      <ns0:c r="R9" s="4">
        <ns0:f>COUNTIF(RawData[Script ID],A9)</ns0:f>
        <ns0:v>2</ns0:v>
      </ns0:c>
      <ns0:c r="S9" s="9">
        <ns0:f>SUMIF(RawData[Script ID],A9,RawData[Estimated Contribution])</ns0:f>
        <ns0:v>1054.0</ns0:v>
      </ns0:c>
      <ns0:c r="T9" s="9">
        <ns0:f>S9-O9</ns0:f>
        <ns0:v>1054.0</ns0:v>
      </ns0:c>
      <ns0:c r="U9" s="9">
        <ns0:f>S9-P9</ns0:f>
        <ns0:v>950.0</ns0:v>
      </ns0:c>
      <ns0:c r="V9" s="9">
        <ns0:f>S9-Q9</ns0:f>
        <ns0:v>915.0</ns0:v>
      </ns0:c>
      <ns0:c r="W9" s="4" t="str">
        <ns0:f>IF(R9=0,"Not Opened",IF(V9&gt;=0,"Recovered - All Scenarios",IF(U9&gt;=0,"Recovered - Low &amp; Base",IF(T9&gt;=0,"Recovered - Low Only","Not Recovered"))))</ns0:f>
        <ns0:v>Recovered - All Scenarios</ns0:v>
      </ns0:c>
      <ns0:c r="X9" s="9">
        <ns0:f>IF(R9=0,0,S9/R9)</ns0:f>
        <ns0:v>527.0</ns0:v>
      </ns0:c>
      <ns0:c r="Y9" s="4">
        <ns0:f>R9</ns0:f>
        <ns0:v>2</ns0:v>
      </ns0:c>
      <ns0:c r="Z9" s="9">
        <ns0:f>IF(R9=0,"",S9/R9)</ns0:f>
        <ns0:v>527.0</ns0:v>
      </ns0:c>
      <ns0:c r="AA9" s="4" t="str">
        <ns0:f>IF(R9=0,"Not Opened",IF(R9&gt;=Assumptions!$B$3,"High Frequency","Low Frequency")&amp;" / "&amp;IF(X9&gt;=Assumptions!$B$4,"High Contribution","Low Contribution"))</ns0:f>
        <ns0:v>High Frequency / High Contribution</ns0:v>
      </ns0:c>
    </ns0:row>
    <ns0:row r="10">
      <ns0:c r="A10" s="4" t="inlineStr">
        <ns0:is>
          <ns0:t>SYN-009</ns0:t>
        </ns0:is>
      </ns0:c>
      <ns0:c r="B10" s="4" t="inlineStr">
        <ns0:is>
          <ns0:t>Synthetic Script 009</ns0:t>
        </ns0:is>
      </ns0:c>
      <ns0:c r="C10" s="4" t="inlineStr">
        <ns0:is>
          <ns0:t>欢乐</ns0:t>
        </ns0:is>
      </ns0:c>
      <ns0:c r="D10" s="4" t="n">
        <ns0:v>3</ns0:v>
      </ns0:c>
      <ns0:c r="E10" s="4" t="n">
        <ns0:v>7</ns0:v>
      </ns0:c>
      <ns0:c r="F10" s="9" t="n">
        <ns0:v>95</ns0:v>
      </ns0:c>
      <ns0:c r="G10" s="9">
        <ns0:f>E10*F10</ns0:f>
        <ns0:v>665</ns0:v>
      </ns0:c>
      <ns0:c r="H10" s="9" t="n">
        <ns0:v>175</ns0:v>
      </ns0:c>
      <ns0:c r="I10" s="4" t="inlineStr">
        <ns0:is>
          <ns0:t>独家</ns0:t>
        </ns0:is>
      </ns0:c>
      <ns0:c r="J10" s="9">
        <ns0:f>G10-H10</ns0:f>
        <ns0:v>490</ns0:v>
      </ns0:c>
      <ns0:c r="K10" s="4" t="n">
        <ns0:v>8.4</ns0:v>
      </ns0:c>
      <ns0:c r="L10" s="4" t="n">
        <ns0:v>2500</ns0:v>
      </ns0:c>
      <ns0:c r="M10" s="4" t="n">
        <ns0:v>3000</ns0:v>
      </ns0:c>
      <ns0:c r="N10" s="4" t="n">
        <ns0:v>3500</ns0:v>
      </ns0:c>
      <ns0:c r="O10" s="9">
        <ns0:f>ROUND(L10/Assumptions!$B$2,0)</ns0:f>
        <ns0:v>347</ns0:v>
      </ns0:c>
      <ns0:c r="P10" s="9">
        <ns0:f>ROUND(M10/Assumptions!$B$2,0)</ns0:f>
        <ns0:v>417</ns0:v>
      </ns0:c>
      <ns0:c r="Q10" s="9">
        <ns0:f>ROUND(N10/Assumptions!$B$2,0)</ns0:f>
        <ns0:v>486</ns0:v>
      </ns0:c>
      <ns0:c r="R10" s="4">
        <ns0:f>COUNTIF(RawData[Script ID],A10)</ns0:f>
        <ns0:v>4</ns0:v>
      </ns0:c>
      <ns0:c r="S10" s="9">
        <ns0:f>SUMIF(RawData[Script ID],A10,RawData[Estimated Contribution])</ns0:f>
        <ns0:v>1960.0</ns0:v>
      </ns0:c>
      <ns0:c r="T10" s="9">
        <ns0:f>S10-O10</ns0:f>
        <ns0:v>1613.0</ns0:v>
      </ns0:c>
      <ns0:c r="U10" s="9">
        <ns0:f>S10-P10</ns0:f>
        <ns0:v>1543.0</ns0:v>
      </ns0:c>
      <ns0:c r="V10" s="9">
        <ns0:f>S10-Q10</ns0:f>
        <ns0:v>1474.0</ns0:v>
      </ns0:c>
      <ns0:c r="W10" s="4" t="str">
        <ns0:f>IF(R10=0,"Not Opened",IF(V10&gt;=0,"Recovered - All Scenarios",IF(U10&gt;=0,"Recovered - Low &amp; Base",IF(T10&gt;=0,"Recovered - Low Only","Not Recovered"))))</ns0:f>
        <ns0:v>Recovered - All Scenarios</ns0:v>
      </ns0:c>
      <ns0:c r="X10" s="9">
        <ns0:f>IF(R10=0,0,S10/R10)</ns0:f>
        <ns0:v>490.0</ns0:v>
      </ns0:c>
      <ns0:c r="Y10" s="4">
        <ns0:f>R10</ns0:f>
        <ns0:v>4</ns0:v>
      </ns0:c>
      <ns0:c r="Z10" s="9">
        <ns0:f>IF(R10=0,"",S10/R10)</ns0:f>
        <ns0:v>490.0</ns0:v>
      </ns0:c>
      <ns0:c r="AA10" s="4" t="str">
        <ns0:f>IF(R10=0,"Not Opened",IF(R10&gt;=Assumptions!$B$3,"High Frequency","Low Frequency")&amp;" / "&amp;IF(X10&gt;=Assumptions!$B$4,"High Contribution","Low Contribution"))</ns0:f>
        <ns0:v>High Frequency / High Contribution</ns0:v>
      </ns0:c>
    </ns0:row>
    <ns0:row r="11">
      <ns0:c r="A11" s="4" t="inlineStr">
        <ns0:is>
          <ns0:t>SYN-010</ns0:t>
        </ns0:is>
      </ns0:c>
      <ns0:c r="B11" s="4" t="inlineStr">
        <ns0:is>
          <ns0:t>Synthetic Script 010</ns0:t>
        </ns0:is>
      </ns0:c>
      <ns0:c r="C11" s="4" t="inlineStr">
        <ns0:is>
          <ns0:t>情感</ns0:t>
        </ns0:is>
      </ns0:c>
      <ns0:c r="D11" s="4" t="n">
        <ns0:v>6</ns0:v>
      </ns0:c>
      <ns0:c r="E11" s="4" t="n">
        <ns0:v>8</ns0:v>
      </ns0:c>
      <ns0:c r="F11" s="9" t="n">
        <ns0:v>109</ns0:v>
      </ns0:c>
      <ns0:c r="G11" s="9">
        <ns0:f>E11*F11</ns0:f>
        <ns0:v>872</ns0:v>
      </ns0:c>
      <ns0:c r="H11" s="9" t="n">
        <ns0:v>540</ns0:v>
      </ns0:c>
      <ns0:c r="I11" s="4" t="inlineStr">
        <ns0:is>
          <ns0:t>盒装</ns0:t>
        </ns0:is>
      </ns0:c>
      <ns0:c r="J11" s="9">
        <ns0:f>G11-H11</ns0:f>
        <ns0:v>332</ns0:v>
      </ns0:c>
      <ns0:c r="K11" s="4" t="n">
        <ns0:v>7</ns0:v>
      </ns0:c>
      <ns0:c r="L11" s="4" t="n">
        <ns0:v>0</ns0:v>
      </ns0:c>
      <ns0:c r="M11" s="4" t="n">
        <ns0:v>750</ns0:v>
      </ns0:c>
      <ns0:c r="N11" s="4" t="n">
        <ns0:v>1000</ns0:v>
      </ns0:c>
      <ns0:c r="O11" s="9">
        <ns0:f>ROUND(L11/Assumptions!$B$2,0)</ns0:f>
        <ns0:v>0</ns0:v>
      </ns0:c>
      <ns0:c r="P11" s="9">
        <ns0:f>ROUND(M11/Assumptions!$B$2,0)</ns0:f>
        <ns0:v>104</ns0:v>
      </ns0:c>
      <ns0:c r="Q11" s="9">
        <ns0:f>ROUND(N11/Assumptions!$B$2,0)</ns0:f>
        <ns0:v>139</ns0:v>
      </ns0:c>
      <ns0:c r="R11" s="4">
        <ns0:f>COUNTIF(RawData[Script ID],A11)</ns0:f>
        <ns0:v>1</ns0:v>
      </ns0:c>
      <ns0:c r="S11" s="9">
        <ns0:f>SUMIF(RawData[Script ID],A11,RawData[Estimated Contribution])</ns0:f>
        <ns0:v>332.0</ns0:v>
      </ns0:c>
      <ns0:c r="T11" s="9">
        <ns0:f>S11-O11</ns0:f>
        <ns0:v>332.0</ns0:v>
      </ns0:c>
      <ns0:c r="U11" s="9">
        <ns0:f>S11-P11</ns0:f>
        <ns0:v>228.0</ns0:v>
      </ns0:c>
      <ns0:c r="V11" s="9">
        <ns0:f>S11-Q11</ns0:f>
        <ns0:v>193.0</ns0:v>
      </ns0:c>
      <ns0:c r="W11" s="4" t="str">
        <ns0:f>IF(R11=0,"Not Opened",IF(V11&gt;=0,"Recovered - All Scenarios",IF(U11&gt;=0,"Recovered - Low &amp; Base",IF(T11&gt;=0,"Recovered - Low Only","Not Recovered"))))</ns0:f>
        <ns0:v>Recovered - All Scenarios</ns0:v>
      </ns0:c>
      <ns0:c r="X11" s="9">
        <ns0:f>IF(R11=0,0,S11/R11)</ns0:f>
        <ns0:v>332.0</ns0:v>
      </ns0:c>
      <ns0:c r="Y11" s="4">
        <ns0:f>R11</ns0:f>
        <ns0:v>1</ns0:v>
      </ns0:c>
      <ns0:c r="Z11" s="9">
        <ns0:f>IF(R11=0,"",S11/R11)</ns0:f>
        <ns0:v>332.0</ns0:v>
      </ns0:c>
      <ns0:c r="AA11" s="4" t="str">
        <ns0:f>IF(R11=0,"Not Opened",IF(R11&gt;=Assumptions!$B$3,"High Frequency","Low Frequency")&amp;" / "&amp;IF(X11&gt;=Assumptions!$B$4,"High Contribution","Low Contribution"))</ns0:f>
        <ns0:v>Low Frequency / Low Contribution</ns0:v>
      </ns0:c>
    </ns0:row>
    <ns0:row r="12">
      <ns0:c r="A12" s="4" t="inlineStr">
        <ns0:is>
          <ns0:t>SYN-011</ns0:t>
        </ns0:is>
      </ns0:c>
      <ns0:c r="B12" s="4" t="inlineStr">
        <ns0:is>
          <ns0:t>Synthetic Script 011</ns0:t>
        </ns0:is>
      </ns0:c>
      <ns0:c r="C12" s="4" t="inlineStr">
        <ns0:is>
          <ns0:t>情感</ns0:t>
        </ns0:is>
      </ns0:c>
      <ns0:c r="D12" s="4" t="n">
        <ns0:v>2</ns0:v>
      </ns0:c>
      <ns0:c r="E12" s="4" t="n">
        <ns0:v>6</ns0:v>
      </ns0:c>
      <ns0:c r="F12" s="9" t="n">
        <ns0:v>118</ns0:v>
      </ns0:c>
      <ns0:c r="G12" s="9">
        <ns0:f>E12*F12</ns0:f>
        <ns0:v>708</ns0:v>
      </ns0:c>
      <ns0:c r="H12" s="9" t="n">
        <ns0:v>180</ns0:v>
      </ns0:c>
      <ns0:c r="I12" s="4" t="inlineStr">
        <ns0:is>
          <ns0:t>盒装</ns0:t>
        </ns0:is>
      </ns0:c>
      <ns0:c r="J12" s="9">
        <ns0:f>G12-H12</ns0:f>
        <ns0:v>528</ns0:v>
      </ns0:c>
      <ns0:c r="K12" s="4" t="n">
        <ns0:v>7.7</ns0:v>
      </ns0:c>
      <ns0:c r="L12" s="4" t="n">
        <ns0:v>0</ns0:v>
      </ns0:c>
      <ns0:c r="M12" s="4" t="n">
        <ns0:v>750</ns0:v>
      </ns0:c>
      <ns0:c r="N12" s="4" t="n">
        <ns0:v>1000</ns0:v>
      </ns0:c>
      <ns0:c r="O12" s="9">
        <ns0:f>ROUND(L12/Assumptions!$B$2,0)</ns0:f>
        <ns0:v>0</ns0:v>
      </ns0:c>
      <ns0:c r="P12" s="9">
        <ns0:f>ROUND(M12/Assumptions!$B$2,0)</ns0:f>
        <ns0:v>104</ns0:v>
      </ns0:c>
      <ns0:c r="Q12" s="9">
        <ns0:f>ROUND(N12/Assumptions!$B$2,0)</ns0:f>
        <ns0:v>139</ns0:v>
      </ns0:c>
      <ns0:c r="R12" s="4">
        <ns0:f>COUNTIF(RawData[Script ID],A12)</ns0:f>
        <ns0:v>2</ns0:v>
      </ns0:c>
      <ns0:c r="S12" s="9">
        <ns0:f>SUMIF(RawData[Script ID],A12,RawData[Estimated Contribution])</ns0:f>
        <ns0:v>1056.0</ns0:v>
      </ns0:c>
      <ns0:c r="T12" s="9">
        <ns0:f>S12-O12</ns0:f>
        <ns0:v>1056.0</ns0:v>
      </ns0:c>
      <ns0:c r="U12" s="9">
        <ns0:f>S12-P12</ns0:f>
        <ns0:v>952.0</ns0:v>
      </ns0:c>
      <ns0:c r="V12" s="9">
        <ns0:f>S12-Q12</ns0:f>
        <ns0:v>917.0</ns0:v>
      </ns0:c>
      <ns0:c r="W12" s="4" t="str">
        <ns0:f>IF(R12=0,"Not Opened",IF(V12&gt;=0,"Recovered - All Scenarios",IF(U12&gt;=0,"Recovered - Low &amp; Base",IF(T12&gt;=0,"Recovered - Low Only","Not Recovered"))))</ns0:f>
        <ns0:v>Recovered - All Scenarios</ns0:v>
      </ns0:c>
      <ns0:c r="X12" s="9">
        <ns0:f>IF(R12=0,0,S12/R12)</ns0:f>
        <ns0:v>528.0</ns0:v>
      </ns0:c>
      <ns0:c r="Y12" s="4">
        <ns0:f>R12</ns0:f>
        <ns0:v>2</ns0:v>
      </ns0:c>
      <ns0:c r="Z12" s="9">
        <ns0:f>IF(R12=0,"",S12/R12)</ns0:f>
        <ns0:v>528.0</ns0:v>
      </ns0:c>
      <ns0:c r="AA12" s="4" t="str">
        <ns0:f>IF(R12=0,"Not Opened",IF(R12&gt;=Assumptions!$B$3,"High Frequency","Low Frequency")&amp;" / "&amp;IF(X12&gt;=Assumptions!$B$4,"High Contribution","Low Contribution"))</ns0:f>
        <ns0:v>High Frequency / High Contribution</ns0:v>
      </ns0:c>
    </ns0:row>
    <ns0:row r="13">
      <ns0:c r="A13" s="4" t="inlineStr">
        <ns0:is>
          <ns0:t>SYN-012</ns0:t>
        </ns0:is>
      </ns0:c>
      <ns0:c r="B13" s="4" t="inlineStr">
        <ns0:is>
          <ns0:t>Synthetic Script 012</ns0:t>
        </ns0:is>
      </ns0:c>
      <ns0:c r="C13" s="4" t="inlineStr">
        <ns0:is>
          <ns0:t>推理</ns0:t>
        </ns0:is>
      </ns0:c>
      <ns0:c r="D13" s="4" t="n">
        <ns0:v>1</ns0:v>
      </ns0:c>
      <ns0:c r="E13" s="4" t="n">
        <ns0:v>6</ns0:v>
      </ns0:c>
      <ns0:c r="F13" s="9" t="n">
        <ns0:v>119</ns0:v>
      </ns0:c>
      <ns0:c r="G13" s="9">
        <ns0:f>E13*F13</ns0:f>
        <ns0:v>714</ns0:v>
      </ns0:c>
      <ns0:c r="H13" s="9" t="n">
        <ns0:v>187</ns0:v>
      </ns0:c>
      <ns0:c r="I13" s="4" t="inlineStr">
        <ns0:is>
          <ns0:t>城限</ns0:t>
        </ns0:is>
      </ns0:c>
      <ns0:c r="J13" s="9">
        <ns0:f>G13-H13</ns0:f>
        <ns0:v>527</ns0:v>
      </ns0:c>
      <ns0:c r="K13" s="4" t="n">
        <ns0:v>8.4</ns0:v>
      </ns0:c>
      <ns0:c r="L13" s="4" t="n">
        <ns0:v>1500</ns0:v>
      </ns0:c>
      <ns0:c r="M13" s="4" t="n">
        <ns0:v>2000</ns0:v>
      </ns0:c>
      <ns0:c r="N13" s="4" t="n">
        <ns0:v>2500</ns0:v>
      </ns0:c>
      <ns0:c r="O13" s="9">
        <ns0:f>ROUND(L13/Assumptions!$B$2,0)</ns0:f>
        <ns0:v>208</ns0:v>
      </ns0:c>
      <ns0:c r="P13" s="9">
        <ns0:f>ROUND(M13/Assumptions!$B$2,0)</ns0:f>
        <ns0:v>278</ns0:v>
      </ns0:c>
      <ns0:c r="Q13" s="9">
        <ns0:f>ROUND(N13/Assumptions!$B$2,0)</ns0:f>
        <ns0:v>347</ns0:v>
      </ns0:c>
      <ns0:c r="R13" s="4">
        <ns0:f>COUNTIF(RawData[Script ID],A13)</ns0:f>
        <ns0:v>5</ns0:v>
      </ns0:c>
      <ns0:c r="S13" s="9">
        <ns0:f>SUMIF(RawData[Script ID],A13,RawData[Estimated Contribution])</ns0:f>
        <ns0:v>2635.0</ns0:v>
      </ns0:c>
      <ns0:c r="T13" s="9">
        <ns0:f>S13-O13</ns0:f>
        <ns0:v>2427.0</ns0:v>
      </ns0:c>
      <ns0:c r="U13" s="9">
        <ns0:f>S13-P13</ns0:f>
        <ns0:v>2357.0</ns0:v>
      </ns0:c>
      <ns0:c r="V13" s="9">
        <ns0:f>S13-Q13</ns0:f>
        <ns0:v>2288.0</ns0:v>
      </ns0:c>
      <ns0:c r="W13" s="4" t="str">
        <ns0:f>IF(R13=0,"Not Opened",IF(V13&gt;=0,"Recovered - All Scenarios",IF(U13&gt;=0,"Recovered - Low &amp; Base",IF(T13&gt;=0,"Recovered - Low Only","Not Recovered"))))</ns0:f>
        <ns0:v>Recovered - All Scenarios</ns0:v>
      </ns0:c>
      <ns0:c r="X13" s="9">
        <ns0:f>IF(R13=0,0,S13/R13)</ns0:f>
        <ns0:v>527.0</ns0:v>
      </ns0:c>
      <ns0:c r="Y13" s="4">
        <ns0:f>R13</ns0:f>
        <ns0:v>5</ns0:v>
      </ns0:c>
      <ns0:c r="Z13" s="9">
        <ns0:f>IF(R13=0,"",S13/R13)</ns0:f>
        <ns0:v>527.0</ns0:v>
      </ns0:c>
      <ns0:c r="AA13" s="4" t="str">
        <ns0:f>IF(R13=0,"Not Opened",IF(R13&gt;=Assumptions!$B$3,"High Frequency","Low Frequency")&amp;" / "&amp;IF(X13&gt;=Assumptions!$B$4,"High Contribution","Low Contribution"))</ns0:f>
        <ns0:v>High Frequency / High Contribution</ns0:v>
      </ns0:c>
    </ns0:row>
    <ns0:row r="14">
      <ns0:c r="A14" s="4" t="inlineStr">
        <ns0:is>
          <ns0:t>SYN-013</ns0:t>
        </ns0:is>
      </ns0:c>
      <ns0:c r="B14" s="4" t="inlineStr">
        <ns0:is>
          <ns0:t>Synthetic Script 013</ns0:t>
        </ns0:is>
      </ns0:c>
      <ns0:c r="C14" s="4" t="inlineStr">
        <ns0:is>
          <ns0:t>情感</ns0:t>
        </ns0:is>
      </ns0:c>
      <ns0:c r="D14" s="4" t="n">
        <ns0:v>3</ns0:v>
      </ns0:c>
      <ns0:c r="E14" s="4" t="n">
        <ns0:v>6</ns0:v>
      </ns0:c>
      <ns0:c r="F14" s="9" t="n">
        <ns0:v>99</ns0:v>
      </ns0:c>
      <ns0:c r="G14" s="9">
        <ns0:f>E14*F14</ns0:f>
        <ns0:v>594</ns0:v>
      </ns0:c>
      <ns0:c r="H14" s="9" t="n">
        <ns0:v>270</ns0:v>
      </ns0:c>
      <ns0:c r="I14" s="4" t="inlineStr">
        <ns0:is>
          <ns0:t>盒装</ns0:t>
        </ns0:is>
      </ns0:c>
      <ns0:c r="J14" s="9">
        <ns0:f>G14-H14</ns0:f>
        <ns0:v>324</ns0:v>
      </ns0:c>
      <ns0:c r="K14" s="4" t="n">
        <ns0:v>7</ns0:v>
      </ns0:c>
      <ns0:c r="L14" s="4" t="n">
        <ns0:v>0</ns0:v>
      </ns0:c>
      <ns0:c r="M14" s="4" t="n">
        <ns0:v>750</ns0:v>
      </ns0:c>
      <ns0:c r="N14" s="4" t="n">
        <ns0:v>1000</ns0:v>
      </ns0:c>
      <ns0:c r="O14" s="9">
        <ns0:f>ROUND(L14/Assumptions!$B$2,0)</ns0:f>
        <ns0:v>0</ns0:v>
      </ns0:c>
      <ns0:c r="P14" s="9">
        <ns0:f>ROUND(M14/Assumptions!$B$2,0)</ns0:f>
        <ns0:v>104</ns0:v>
      </ns0:c>
      <ns0:c r="Q14" s="9">
        <ns0:f>ROUND(N14/Assumptions!$B$2,0)</ns0:f>
        <ns0:v>139</ns0:v>
      </ns0:c>
      <ns0:c r="R14" s="4">
        <ns0:f>COUNTIF(RawData[Script ID],A14)</ns0:f>
        <ns0:v>1</ns0:v>
      </ns0:c>
      <ns0:c r="S14" s="9">
        <ns0:f>SUMIF(RawData[Script ID],A14,RawData[Estimated Contribution])</ns0:f>
        <ns0:v>324.0</ns0:v>
      </ns0:c>
      <ns0:c r="T14" s="9">
        <ns0:f>S14-O14</ns0:f>
        <ns0:v>324.0</ns0:v>
      </ns0:c>
      <ns0:c r="U14" s="9">
        <ns0:f>S14-P14</ns0:f>
        <ns0:v>220.0</ns0:v>
      </ns0:c>
      <ns0:c r="V14" s="9">
        <ns0:f>S14-Q14</ns0:f>
        <ns0:v>185.0</ns0:v>
      </ns0:c>
      <ns0:c r="W14" s="4" t="str">
        <ns0:f>IF(R14=0,"Not Opened",IF(V14&gt;=0,"Recovered - All Scenarios",IF(U14&gt;=0,"Recovered - Low &amp; Base",IF(T14&gt;=0,"Recovered - Low Only","Not Recovered"))))</ns0:f>
        <ns0:v>Recovered - All Scenarios</ns0:v>
      </ns0:c>
      <ns0:c r="X14" s="9">
        <ns0:f>IF(R14=0,0,S14/R14)</ns0:f>
        <ns0:v>324.0</ns0:v>
      </ns0:c>
      <ns0:c r="Y14" s="4">
        <ns0:f>R14</ns0:f>
        <ns0:v>1</ns0:v>
      </ns0:c>
      <ns0:c r="Z14" s="9">
        <ns0:f>IF(R14=0,"",S14/R14)</ns0:f>
        <ns0:v>324.0</ns0:v>
      </ns0:c>
      <ns0:c r="AA14" s="4" t="str">
        <ns0:f>IF(R14=0,"Not Opened",IF(R14&gt;=Assumptions!$B$3,"High Frequency","Low Frequency")&amp;" / "&amp;IF(X14&gt;=Assumptions!$B$4,"High Contribution","Low Contribution"))</ns0:f>
        <ns0:v>Low Frequency / Low Contribution</ns0:v>
      </ns0:c>
    </ns0:row>
    <ns0:row r="15">
      <ns0:c r="A15" s="4" t="inlineStr">
        <ns0:is>
          <ns0:t>SYN-014</ns0:t>
        </ns0:is>
      </ns0:c>
      <ns0:c r="B15" s="4" t="inlineStr">
        <ns0:is>
          <ns0:t>Synthetic Script 014</ns0:t>
        </ns0:is>
      </ns0:c>
      <ns0:c r="C15" s="4" t="inlineStr">
        <ns0:is>
          <ns0:t>欢乐</ns0:t>
        </ns0:is>
      </ns0:c>
      <ns0:c r="D15" s="4" t="n">
        <ns0:v>3</ns0:v>
      </ns0:c>
      <ns0:c r="E15" s="4" t="n">
        <ns0:v>7</ns0:v>
      </ns0:c>
      <ns0:c r="F15" s="9" t="n">
        <ns0:v>109</ns0:v>
      </ns0:c>
      <ns0:c r="G15" s="9">
        <ns0:f>E15*F15</ns0:f>
        <ns0:v>763</ns0:v>
      </ns0:c>
      <ns0:c r="H15" s="9" t="n">
        <ns0:v>200</ns0:v>
      </ns0:c>
      <ns0:c r="I15" s="4" t="inlineStr">
        <ns0:is>
          <ns0:t>独家</ns0:t>
        </ns0:is>
      </ns0:c>
      <ns0:c r="J15" s="9">
        <ns0:f>G15-H15</ns0:f>
        <ns0:v>563</ns0:v>
      </ns0:c>
      <ns0:c r="K15" s="4" t="n">
        <ns0:v>7.7</ns0:v>
      </ns0:c>
      <ns0:c r="L15" s="4" t="n">
        <ns0:v>2500</ns0:v>
      </ns0:c>
      <ns0:c r="M15" s="4" t="n">
        <ns0:v>3000</ns0:v>
      </ns0:c>
      <ns0:c r="N15" s="4" t="n">
        <ns0:v>3500</ns0:v>
      </ns0:c>
      <ns0:c r="O15" s="9">
        <ns0:f>ROUND(L15/Assumptions!$B$2,0)</ns0:f>
        <ns0:v>347</ns0:v>
      </ns0:c>
      <ns0:c r="P15" s="9">
        <ns0:f>ROUND(M15/Assumptions!$B$2,0)</ns0:f>
        <ns0:v>417</ns0:v>
      </ns0:c>
      <ns0:c r="Q15" s="9">
        <ns0:f>ROUND(N15/Assumptions!$B$2,0)</ns0:f>
        <ns0:v>486</ns0:v>
      </ns0:c>
      <ns0:c r="R15" s="4">
        <ns0:f>COUNTIF(RawData[Script ID],A15)</ns0:f>
        <ns0:v>2</ns0:v>
      </ns0:c>
      <ns0:c r="S15" s="9">
        <ns0:f>SUMIF(RawData[Script ID],A15,RawData[Estimated Contribution])</ns0:f>
        <ns0:v>1126.0</ns0:v>
      </ns0:c>
      <ns0:c r="T15" s="9">
        <ns0:f>S15-O15</ns0:f>
        <ns0:v>779.0</ns0:v>
      </ns0:c>
      <ns0:c r="U15" s="9">
        <ns0:f>S15-P15</ns0:f>
        <ns0:v>709.0</ns0:v>
      </ns0:c>
      <ns0:c r="V15" s="9">
        <ns0:f>S15-Q15</ns0:f>
        <ns0:v>640.0</ns0:v>
      </ns0:c>
      <ns0:c r="W15" s="4" t="str">
        <ns0:f>IF(R15=0,"Not Opened",IF(V15&gt;=0,"Recovered - All Scenarios",IF(U15&gt;=0,"Recovered - Low &amp; Base",IF(T15&gt;=0,"Recovered - Low Only","Not Recovered"))))</ns0:f>
        <ns0:v>Recovered - All Scenarios</ns0:v>
      </ns0:c>
      <ns0:c r="X15" s="9">
        <ns0:f>IF(R15=0,0,S15/R15)</ns0:f>
        <ns0:v>563.0</ns0:v>
      </ns0:c>
      <ns0:c r="Y15" s="4">
        <ns0:f>R15</ns0:f>
        <ns0:v>2</ns0:v>
      </ns0:c>
      <ns0:c r="Z15" s="9">
        <ns0:f>IF(R15=0,"",S15/R15)</ns0:f>
        <ns0:v>563.0</ns0:v>
      </ns0:c>
      <ns0:c r="AA15" s="4" t="str">
        <ns0:f>IF(R15=0,"Not Opened",IF(R15&gt;=Assumptions!$B$3,"High Frequency","Low Frequency")&amp;" / "&amp;IF(X15&gt;=Assumptions!$B$4,"High Contribution","Low Contribution"))</ns0:f>
        <ns0:v>High Frequency / High Contribution</ns0:v>
      </ns0:c>
    </ns0:row>
    <ns0:row r="16">
      <ns0:c r="A16" s="4" t="inlineStr">
        <ns0:is>
          <ns0:t>SYN-015</ns0:t>
        </ns0:is>
      </ns0:c>
      <ns0:c r="B16" s="4" t="inlineStr">
        <ns0:is>
          <ns0:t>Synthetic Script 015</ns0:t>
        </ns0:is>
      </ns0:c>
      <ns0:c r="C16" s="4" t="inlineStr">
        <ns0:is>
          <ns0:t>推理</ns0:t>
        </ns0:is>
      </ns0:c>
      <ns0:c r="D16" s="4" t="n">
        <ns0:v>2</ns0:v>
      </ns0:c>
      <ns0:c r="E16" s="4" t="n">
        <ns0:v>8</ns0:v>
      </ns0:c>
      <ns0:c r="F16" s="9" t="n">
        <ns0:v>95</ns0:v>
      </ns0:c>
      <ns0:c r="G16" s="9">
        <ns0:f>E16*F16</ns0:f>
        <ns0:v>760</ns0:v>
      </ns0:c>
      <ns0:c r="H16" s="9" t="n">
        <ns0:v>200</ns0:v>
      </ns0:c>
      <ns0:c r="I16" s="4" t="inlineStr">
        <ns0:is>
          <ns0:t>城限</ns0:t>
        </ns0:is>
      </ns0:c>
      <ns0:c r="J16" s="9">
        <ns0:f>G16-H16</ns0:f>
        <ns0:v>560</ns0:v>
      </ns0:c>
      <ns0:c r="K16" s="4" t="n">
        <ns0:v>8.4</ns0:v>
      </ns0:c>
      <ns0:c r="L16" s="4" t="n">
        <ns0:v>1500</ns0:v>
      </ns0:c>
      <ns0:c r="M16" s="4" t="n">
        <ns0:v>2000</ns0:v>
      </ns0:c>
      <ns0:c r="N16" s="4" t="n">
        <ns0:v>2500</ns0:v>
      </ns0:c>
      <ns0:c r="O16" s="9">
        <ns0:f>ROUND(L16/Assumptions!$B$2,0)</ns0:f>
        <ns0:v>208</ns0:v>
      </ns0:c>
      <ns0:c r="P16" s="9">
        <ns0:f>ROUND(M16/Assumptions!$B$2,0)</ns0:f>
        <ns0:v>278</ns0:v>
      </ns0:c>
      <ns0:c r="Q16" s="9">
        <ns0:f>ROUND(N16/Assumptions!$B$2,0)</ns0:f>
        <ns0:v>347</ns0:v>
      </ns0:c>
      <ns0:c r="R16" s="4">
        <ns0:f>COUNTIF(RawData[Script ID],A16)</ns0:f>
        <ns0:v>7</ns0:v>
      </ns0:c>
      <ns0:c r="S16" s="9">
        <ns0:f>SUMIF(RawData[Script ID],A16,RawData[Estimated Contribution])</ns0:f>
        <ns0:v>3920.0</ns0:v>
      </ns0:c>
      <ns0:c r="T16" s="9">
        <ns0:f>S16-O16</ns0:f>
        <ns0:v>3712.0</ns0:v>
      </ns0:c>
      <ns0:c r="U16" s="9">
        <ns0:f>S16-P16</ns0:f>
        <ns0:v>3642.0</ns0:v>
      </ns0:c>
      <ns0:c r="V16" s="9">
        <ns0:f>S16-Q16</ns0:f>
        <ns0:v>3573.0</ns0:v>
      </ns0:c>
      <ns0:c r="W16" s="4" t="str">
        <ns0:f>IF(R16=0,"Not Opened",IF(V16&gt;=0,"Recovered - All Scenarios",IF(U16&gt;=0,"Recovered - Low &amp; Base",IF(T16&gt;=0,"Recovered - Low Only","Not Recovered"))))</ns0:f>
        <ns0:v>Recovered - All Scenarios</ns0:v>
      </ns0:c>
      <ns0:c r="X16" s="9">
        <ns0:f>IF(R16=0,0,S16/R16)</ns0:f>
        <ns0:v>560.0</ns0:v>
      </ns0:c>
      <ns0:c r="Y16" s="4">
        <ns0:f>R16</ns0:f>
        <ns0:v>7</ns0:v>
      </ns0:c>
      <ns0:c r="Z16" s="9">
        <ns0:f>IF(R16=0,"",S16/R16)</ns0:f>
        <ns0:v>560.0</ns0:v>
      </ns0:c>
      <ns0:c r="AA16" s="4" t="str">
        <ns0:f>IF(R16=0,"Not Opened",IF(R16&gt;=Assumptions!$B$3,"High Frequency","Low Frequency")&amp;" / "&amp;IF(X16&gt;=Assumptions!$B$4,"High Contribution","Low Contribution"))</ns0:f>
        <ns0:v>High Frequency / High Contribution</ns0:v>
      </ns0:c>
    </ns0:row>
    <ns0:row r="17">
      <ns0:c r="A17" s="4" t="inlineStr">
        <ns0:is>
          <ns0:t>SYN-016</ns0:t>
        </ns0:is>
      </ns0:c>
      <ns0:c r="B17" s="4" t="inlineStr">
        <ns0:is>
          <ns0:t>Synthetic Script 016</ns0:t>
        </ns0:is>
      </ns0:c>
      <ns0:c r="C17" s="4" t="inlineStr">
        <ns0:is>
          <ns0:t>情感</ns0:t>
        </ns0:is>
      </ns0:c>
      <ns0:c r="D17" s="4" t="n">
        <ns0:v>2</ns0:v>
      </ns0:c>
      <ns0:c r="E17" s="4" t="n">
        <ns0:v>6</ns0:v>
      </ns0:c>
      <ns0:c r="F17" s="9" t="n">
        <ns0:v>138</ns0:v>
      </ns0:c>
      <ns0:c r="G17" s="9">
        <ns0:f>E17*F17</ns0:f>
        <ns0:v>828</ns0:v>
      </ns0:c>
      <ns0:c r="H17" s="9" t="n">
        <ns0:v>180</ns0:v>
      </ns0:c>
      <ns0:c r="I17" s="4" t="inlineStr">
        <ns0:is>
          <ns0:t>盒装</ns0:t>
        </ns0:is>
      </ns0:c>
      <ns0:c r="J17" s="9">
        <ns0:f>G17-H17</ns0:f>
        <ns0:v>648</ns0:v>
      </ns0:c>
      <ns0:c r="K17" s="4" t="n">
        <ns0:v>7</ns0:v>
      </ns0:c>
      <ns0:c r="L17" s="4" t="n">
        <ns0:v>0</ns0:v>
      </ns0:c>
      <ns0:c r="M17" s="4" t="n">
        <ns0:v>750</ns0:v>
      </ns0:c>
      <ns0:c r="N17" s="4" t="n">
        <ns0:v>1000</ns0:v>
      </ns0:c>
      <ns0:c r="O17" s="9">
        <ns0:f>ROUND(L17/Assumptions!$B$2,0)</ns0:f>
        <ns0:v>0</ns0:v>
      </ns0:c>
      <ns0:c r="P17" s="9">
        <ns0:f>ROUND(M17/Assumptions!$B$2,0)</ns0:f>
        <ns0:v>104</ns0:v>
      </ns0:c>
      <ns0:c r="Q17" s="9">
        <ns0:f>ROUND(N17/Assumptions!$B$2,0)</ns0:f>
        <ns0:v>139</ns0:v>
      </ns0:c>
      <ns0:c r="R17" s="4">
        <ns0:f>COUNTIF(RawData[Script ID],A17)</ns0:f>
        <ns0:v>1</ns0:v>
      </ns0:c>
      <ns0:c r="S17" s="9">
        <ns0:f>SUMIF(RawData[Script ID],A17,RawData[Estimated Contribution])</ns0:f>
        <ns0:v>648.0</ns0:v>
      </ns0:c>
      <ns0:c r="T17" s="9">
        <ns0:f>S17-O17</ns0:f>
        <ns0:v>648.0</ns0:v>
      </ns0:c>
      <ns0:c r="U17" s="9">
        <ns0:f>S17-P17</ns0:f>
        <ns0:v>544.0</ns0:v>
      </ns0:c>
      <ns0:c r="V17" s="9">
        <ns0:f>S17-Q17</ns0:f>
        <ns0:v>509.0</ns0:v>
      </ns0:c>
      <ns0:c r="W17" s="4" t="str">
        <ns0:f>IF(R17=0,"Not Opened",IF(V17&gt;=0,"Recovered - All Scenarios",IF(U17&gt;=0,"Recovered - Low &amp; Base",IF(T17&gt;=0,"Recovered - Low Only","Not Recovered"))))</ns0:f>
        <ns0:v>Recovered - All Scenarios</ns0:v>
      </ns0:c>
      <ns0:c r="X17" s="9">
        <ns0:f>IF(R17=0,0,S17/R17)</ns0:f>
        <ns0:v>648.0</ns0:v>
      </ns0:c>
      <ns0:c r="Y17" s="4">
        <ns0:f>R17</ns0:f>
        <ns0:v>1</ns0:v>
      </ns0:c>
      <ns0:c r="Z17" s="9">
        <ns0:f>IF(R17=0,"",S17/R17)</ns0:f>
        <ns0:v>648.0</ns0:v>
      </ns0:c>
      <ns0:c r="AA17" s="4" t="str">
        <ns0:f>IF(R17=0,"Not Opened",IF(R17&gt;=Assumptions!$B$3,"High Frequency","Low Frequency")&amp;" / "&amp;IF(X17&gt;=Assumptions!$B$4,"High Contribution","Low Contribution"))</ns0:f>
        <ns0:v>Low Frequency / High Contribution</ns0:v>
      </ns0:c>
    </ns0:row>
    <ns0:row r="18">
      <ns0:c r="A18" s="4" t="inlineStr">
        <ns0:is>
          <ns0:t>SYN-017</ns0:t>
        </ns0:is>
      </ns0:c>
      <ns0:c r="B18" s="4" t="inlineStr">
        <ns0:is>
          <ns0:t>Synthetic Script 017</ns0:t>
        </ns0:is>
      </ns0:c>
      <ns0:c r="C18" s="4" t="inlineStr">
        <ns0:is>
          <ns0:t>机制</ns0:t>
        </ns0:is>
      </ns0:c>
      <ns0:c r="D18" s="4" t="n">
        <ns0:v>1</ns0:v>
      </ns0:c>
      <ns0:c r="E18" s="4" t="n">
        <ns0:v>6</ns0:v>
      </ns0:c>
      <ns0:c r="F18" s="9" t="n">
        <ns0:v>109</ns0:v>
      </ns0:c>
      <ns0:c r="G18" s="9">
        <ns0:f>E18*F18</ns0:f>
        <ns0:v>654</ns0:v>
      </ns0:c>
      <ns0:c r="H18" s="9" t="n">
        <ns0:v>172</ns0:v>
      </ns0:c>
      <ns0:c r="I18" s="4" t="inlineStr">
        <ns0:is>
          <ns0:t>城限</ns0:t>
        </ns0:is>
      </ns0:c>
      <ns0:c r="J18" s="9">
        <ns0:f>G18-H18</ns0:f>
        <ns0:v>482</ns0:v>
      </ns0:c>
      <ns0:c r="K18" s="4" t="n">
        <ns0:v>7.7</ns0:v>
      </ns0:c>
      <ns0:c r="L18" s="4" t="n">
        <ns0:v>1500</ns0:v>
      </ns0:c>
      <ns0:c r="M18" s="4" t="n">
        <ns0:v>2000</ns0:v>
      </ns0:c>
      <ns0:c r="N18" s="4" t="n">
        <ns0:v>2500</ns0:v>
      </ns0:c>
      <ns0:c r="O18" s="9">
        <ns0:f>ROUND(L18/Assumptions!$B$2,0)</ns0:f>
        <ns0:v>208</ns0:v>
      </ns0:c>
      <ns0:c r="P18" s="9">
        <ns0:f>ROUND(M18/Assumptions!$B$2,0)</ns0:f>
        <ns0:v>278</ns0:v>
      </ns0:c>
      <ns0:c r="Q18" s="9">
        <ns0:f>ROUND(N18/Assumptions!$B$2,0)</ns0:f>
        <ns0:v>347</ns0:v>
      </ns0:c>
      <ns0:c r="R18" s="4">
        <ns0:f>COUNTIF(RawData[Script ID],A18)</ns0:f>
        <ns0:v>3</ns0:v>
      </ns0:c>
      <ns0:c r="S18" s="9">
        <ns0:f>SUMIF(RawData[Script ID],A18,RawData[Estimated Contribution])</ns0:f>
        <ns0:v>1446.0</ns0:v>
      </ns0:c>
      <ns0:c r="T18" s="9">
        <ns0:f>S18-O18</ns0:f>
        <ns0:v>1238.0</ns0:v>
      </ns0:c>
      <ns0:c r="U18" s="9">
        <ns0:f>S18-P18</ns0:f>
        <ns0:v>1168.0</ns0:v>
      </ns0:c>
      <ns0:c r="V18" s="9">
        <ns0:f>S18-Q18</ns0:f>
        <ns0:v>1099.0</ns0:v>
      </ns0:c>
      <ns0:c r="W18" s="4" t="str">
        <ns0:f>IF(R18=0,"Not Opened",IF(V18&gt;=0,"Recovered - All Scenarios",IF(U18&gt;=0,"Recovered - Low &amp; Base",IF(T18&gt;=0,"Recovered - Low Only","Not Recovered"))))</ns0:f>
        <ns0:v>Recovered - All Scenarios</ns0:v>
      </ns0:c>
      <ns0:c r="X18" s="9">
        <ns0:f>IF(R18=0,0,S18/R18)</ns0:f>
        <ns0:v>482.0</ns0:v>
      </ns0:c>
      <ns0:c r="Y18" s="4">
        <ns0:f>R18</ns0:f>
        <ns0:v>3</ns0:v>
      </ns0:c>
      <ns0:c r="Z18" s="9">
        <ns0:f>IF(R18=0,"",S18/R18)</ns0:f>
        <ns0:v>482.0</ns0:v>
      </ns0:c>
      <ns0:c r="AA18" s="4" t="str">
        <ns0:f>IF(R18=0,"Not Opened",IF(R18&gt;=Assumptions!$B$3,"High Frequency","Low Frequency")&amp;" / "&amp;IF(X18&gt;=Assumptions!$B$4,"High Contribution","Low Contribution"))</ns0:f>
        <ns0:v>High Frequency / Low Contribution</ns0:v>
      </ns0:c>
    </ns0:row>
    <ns0:row r="19">
      <ns0:c r="A19" s="4" t="inlineStr">
        <ns0:is>
          <ns0:t>SYN-018</ns0:t>
        </ns0:is>
      </ns0:c>
      <ns0:c r="B19" s="4" t="inlineStr">
        <ns0:is>
          <ns0:t>Synthetic Script 018</ns0:t>
        </ns0:is>
      </ns0:c>
      <ns0:c r="C19" s="4" t="inlineStr">
        <ns0:is>
          <ns0:t>推理</ns0:t>
        </ns0:is>
      </ns0:c>
      <ns0:c r="D19" s="4" t="n">
        <ns0:v>1</ns0:v>
      </ns0:c>
      <ns0:c r="E19" s="4" t="n">
        <ns0:v>6</ns0:v>
      </ns0:c>
      <ns0:c r="F19" s="9" t="n">
        <ns0:v>75</ns0:v>
      </ns0:c>
      <ns0:c r="G19" s="9">
        <ns0:f>E19*F19</ns0:f>
        <ns0:v>450</ns0:v>
      </ns0:c>
      <ns0:c r="H19" s="9" t="n">
        <ns0:v>118</ns0:v>
      </ns0:c>
      <ns0:c r="I19" s="4" t="inlineStr">
        <ns0:is>
          <ns0:t>盒装</ns0:t>
        </ns0:is>
      </ns0:c>
      <ns0:c r="J19" s="9">
        <ns0:f>G19-H19</ns0:f>
        <ns0:v>332</ns0:v>
      </ns0:c>
      <ns0:c r="K19" s="4" t="n">
        <ns0:v>8.4</ns0:v>
      </ns0:c>
      <ns0:c r="L19" s="4" t="n">
        <ns0:v>0</ns0:v>
      </ns0:c>
      <ns0:c r="M19" s="4" t="n">
        <ns0:v>750</ns0:v>
      </ns0:c>
      <ns0:c r="N19" s="4" t="n">
        <ns0:v>1000</ns0:v>
      </ns0:c>
      <ns0:c r="O19" s="9">
        <ns0:f>ROUND(L19/Assumptions!$B$2,0)</ns0:f>
        <ns0:v>0</ns0:v>
      </ns0:c>
      <ns0:c r="P19" s="9">
        <ns0:f>ROUND(M19/Assumptions!$B$2,0)</ns0:f>
        <ns0:v>104</ns0:v>
      </ns0:c>
      <ns0:c r="Q19" s="9">
        <ns0:f>ROUND(N19/Assumptions!$B$2,0)</ns0:f>
        <ns0:v>139</ns0:v>
      </ns0:c>
      <ns0:c r="R19" s="4">
        <ns0:f>COUNTIF(RawData[Script ID],A19)</ns0:f>
        <ns0:v>10</ns0:v>
      </ns0:c>
      <ns0:c r="S19" s="9">
        <ns0:f>SUMIF(RawData[Script ID],A19,RawData[Estimated Contribution])</ns0:f>
        <ns0:v>3320.0</ns0:v>
      </ns0:c>
      <ns0:c r="T19" s="9">
        <ns0:f>S19-O19</ns0:f>
        <ns0:v>3320.0</ns0:v>
      </ns0:c>
      <ns0:c r="U19" s="9">
        <ns0:f>S19-P19</ns0:f>
        <ns0:v>3216.0</ns0:v>
      </ns0:c>
      <ns0:c r="V19" s="9">
        <ns0:f>S19-Q19</ns0:f>
        <ns0:v>3181.0</ns0:v>
      </ns0:c>
      <ns0:c r="W19" s="4" t="str">
        <ns0:f>IF(R19=0,"Not Opened",IF(V19&gt;=0,"Recovered - All Scenarios",IF(U19&gt;=0,"Recovered - Low &amp; Base",IF(T19&gt;=0,"Recovered - Low Only","Not Recovered"))))</ns0:f>
        <ns0:v>Recovered - All Scenarios</ns0:v>
      </ns0:c>
      <ns0:c r="X19" s="9">
        <ns0:f>IF(R19=0,0,S19/R19)</ns0:f>
        <ns0:v>332.0</ns0:v>
      </ns0:c>
      <ns0:c r="Y19" s="4">
        <ns0:f>R19</ns0:f>
        <ns0:v>10</ns0:v>
      </ns0:c>
      <ns0:c r="Z19" s="9">
        <ns0:f>IF(R19=0,"",S19/R19)</ns0:f>
        <ns0:v>332.0</ns0:v>
      </ns0:c>
      <ns0:c r="AA19" s="4" t="str">
        <ns0:f>IF(R19=0,"Not Opened",IF(R19&gt;=Assumptions!$B$3,"High Frequency","Low Frequency")&amp;" / "&amp;IF(X19&gt;=Assumptions!$B$4,"High Contribution","Low Contribution"))</ns0:f>
        <ns0:v>High Frequency / Low Contribution</ns0:v>
      </ns0:c>
    </ns0:row>
    <ns0:row r="20">
      <ns0:c r="A20" s="4" t="inlineStr">
        <ns0:is>
          <ns0:t>SYN-019</ns0:t>
        </ns0:is>
      </ns0:c>
      <ns0:c r="B20" s="4" t="inlineStr">
        <ns0:is>
          <ns0:t>Synthetic Script 019</ns0:t>
        </ns0:is>
      </ns0:c>
      <ns0:c r="C20" s="4" t="inlineStr">
        <ns0:is>
          <ns0:t>欢乐</ns0:t>
        </ns0:is>
      </ns0:c>
      <ns0:c r="D20" s="4" t="n">
        <ns0:v>3</ns0:v>
      </ns0:c>
      <ns0:c r="E20" s="4" t="n">
        <ns0:v>7</ns0:v>
      </ns0:c>
      <ns0:c r="F20" s="9" t="n">
        <ns0:v>118</ns0:v>
      </ns0:c>
      <ns0:c r="G20" s="9">
        <ns0:f>E20*F20</ns0:f>
        <ns0:v>826</ns0:v>
      </ns0:c>
      <ns0:c r="H20" s="9" t="n">
        <ns0:v>217</ns0:v>
      </ns0:c>
      <ns0:c r="I20" s="4" t="inlineStr">
        <ns0:is>
          <ns0:t>独家</ns0:t>
        </ns0:is>
      </ns0:c>
      <ns0:c r="J20" s="9">
        <ns0:f>G20-H20</ns0:f>
        <ns0:v>609</ns0:v>
      </ns0:c>
      <ns0:c r="K20" s="4" t="n">
        <ns0:v>7</ns0:v>
      </ns0:c>
      <ns0:c r="L20" s="4" t="n">
        <ns0:v>2500</ns0:v>
      </ns0:c>
      <ns0:c r="M20" s="4" t="n">
        <ns0:v>3000</ns0:v>
      </ns0:c>
      <ns0:c r="N20" s="4" t="n">
        <ns0:v>3500</ns0:v>
      </ns0:c>
      <ns0:c r="O20" s="9">
        <ns0:f>ROUND(L20/Assumptions!$B$2,0)</ns0:f>
        <ns0:v>347</ns0:v>
      </ns0:c>
      <ns0:c r="P20" s="9">
        <ns0:f>ROUND(M20/Assumptions!$B$2,0)</ns0:f>
        <ns0:v>417</ns0:v>
      </ns0:c>
      <ns0:c r="Q20" s="9">
        <ns0:f>ROUND(N20/Assumptions!$B$2,0)</ns0:f>
        <ns0:v>486</ns0:v>
      </ns0:c>
      <ns0:c r="R20" s="4">
        <ns0:f>COUNTIF(RawData[Script ID],A20)</ns0:f>
        <ns0:v>1</ns0:v>
      </ns0:c>
      <ns0:c r="S20" s="9">
        <ns0:f>SUMIF(RawData[Script ID],A20,RawData[Estimated Contribution])</ns0:f>
        <ns0:v>609.0</ns0:v>
      </ns0:c>
      <ns0:c r="T20" s="9">
        <ns0:f>S20-O20</ns0:f>
        <ns0:v>262.0</ns0:v>
      </ns0:c>
      <ns0:c r="U20" s="9">
        <ns0:f>S20-P20</ns0:f>
        <ns0:v>192.0</ns0:v>
      </ns0:c>
      <ns0:c r="V20" s="9">
        <ns0:f>S20-Q20</ns0:f>
        <ns0:v>123.0</ns0:v>
      </ns0:c>
      <ns0:c r="W20" s="4" t="str">
        <ns0:f>IF(R20=0,"Not Opened",IF(V20&gt;=0,"Recovered - All Scenarios",IF(U20&gt;=0,"Recovered - Low &amp; Base",IF(T20&gt;=0,"Recovered - Low Only","Not Recovered"))))</ns0:f>
        <ns0:v>Recovered - All Scenarios</ns0:v>
      </ns0:c>
      <ns0:c r="X20" s="9">
        <ns0:f>IF(R20=0,0,S20/R20)</ns0:f>
        <ns0:v>609.0</ns0:v>
      </ns0:c>
      <ns0:c r="Y20" s="4">
        <ns0:f>R20</ns0:f>
        <ns0:v>1</ns0:v>
      </ns0:c>
      <ns0:c r="Z20" s="9">
        <ns0:f>IF(R20=0,"",S20/R20)</ns0:f>
        <ns0:v>609.0</ns0:v>
      </ns0:c>
      <ns0:c r="AA20" s="4" t="str">
        <ns0:f>IF(R20=0,"Not Opened",IF(R20&gt;=Assumptions!$B$3,"High Frequency","Low Frequency")&amp;" / "&amp;IF(X20&gt;=Assumptions!$B$4,"High Contribution","Low Contribution"))</ns0:f>
        <ns0:v>Low Frequency / High Contribution</ns0:v>
      </ns0:c>
    </ns0:row>
    <ns0:row r="21">
      <ns0:c r="A21" s="4" t="inlineStr">
        <ns0:is>
          <ns0:t>SYN-020</ns0:t>
        </ns0:is>
      </ns0:c>
      <ns0:c r="B21" s="4" t="inlineStr">
        <ns0:is>
          <ns0:t>Synthetic Script 020</ns0:t>
        </ns0:is>
      </ns0:c>
      <ns0:c r="C21" s="4" t="inlineStr">
        <ns0:is>
          <ns0:t>情感</ns0:t>
        </ns0:is>
      </ns0:c>
      <ns0:c r="D21" s="4" t="n">
        <ns0:v>6</ns0:v>
      </ns0:c>
      <ns0:c r="E21" s="4" t="n">
        <ns0:v>8</ns0:v>
      </ns0:c>
      <ns0:c r="F21" s="9" t="n">
        <ns0:v>138</ns0:v>
      </ns0:c>
      <ns0:c r="G21" s="9">
        <ns0:f>E21*F21</ns0:f>
        <ns0:v>1104</ns0:v>
      </ns0:c>
      <ns0:c r="H21" s="9" t="n">
        <ns0:v>540</ns0:v>
      </ns0:c>
      <ns0:c r="I21" s="4" t="inlineStr">
        <ns0:is>
          <ns0:t>盒装</ns0:t>
        </ns0:is>
      </ns0:c>
      <ns0:c r="J21" s="9">
        <ns0:f>G21-H21</ns0:f>
        <ns0:v>564</ns0:v>
      </ns0:c>
      <ns0:c r="K21" s="4" t="n">
        <ns0:v>7.7</ns0:v>
      </ns0:c>
      <ns0:c r="L21" s="4" t="n">
        <ns0:v>0</ns0:v>
      </ns0:c>
      <ns0:c r="M21" s="4" t="n">
        <ns0:v>750</ns0:v>
      </ns0:c>
      <ns0:c r="N21" s="4" t="n">
        <ns0:v>1000</ns0:v>
      </ns0:c>
      <ns0:c r="O21" s="9">
        <ns0:f>ROUND(L21/Assumptions!$B$2,0)</ns0:f>
        <ns0:v>0</ns0:v>
      </ns0:c>
      <ns0:c r="P21" s="9">
        <ns0:f>ROUND(M21/Assumptions!$B$2,0)</ns0:f>
        <ns0:v>104</ns0:v>
      </ns0:c>
      <ns0:c r="Q21" s="9">
        <ns0:f>ROUND(N21/Assumptions!$B$2,0)</ns0:f>
        <ns0:v>139</ns0:v>
      </ns0:c>
      <ns0:c r="R21" s="4">
        <ns0:f>COUNTIF(RawData[Script ID],A21)</ns0:f>
        <ns0:v>3</ns0:v>
      </ns0:c>
      <ns0:c r="S21" s="9">
        <ns0:f>SUMIF(RawData[Script ID],A21,RawData[Estimated Contribution])</ns0:f>
        <ns0:v>1692.0</ns0:v>
      </ns0:c>
      <ns0:c r="T21" s="9">
        <ns0:f>S21-O21</ns0:f>
        <ns0:v>1692.0</ns0:v>
      </ns0:c>
      <ns0:c r="U21" s="9">
        <ns0:f>S21-P21</ns0:f>
        <ns0:v>1588.0</ns0:v>
      </ns0:c>
      <ns0:c r="V21" s="9">
        <ns0:f>S21-Q21</ns0:f>
        <ns0:v>1553.0</ns0:v>
      </ns0:c>
      <ns0:c r="W21" s="4" t="str">
        <ns0:f>IF(R21=0,"Not Opened",IF(V21&gt;=0,"Recovered - All Scenarios",IF(U21&gt;=0,"Recovered - Low &amp; Base",IF(T21&gt;=0,"Recovered - Low Only","Not Recovered"))))</ns0:f>
        <ns0:v>Recovered - All Scenarios</ns0:v>
      </ns0:c>
      <ns0:c r="X21" s="9">
        <ns0:f>IF(R21=0,0,S21/R21)</ns0:f>
        <ns0:v>564.0</ns0:v>
      </ns0:c>
      <ns0:c r="Y21" s="4">
        <ns0:f>R21</ns0:f>
        <ns0:v>3</ns0:v>
      </ns0:c>
      <ns0:c r="Z21" s="9">
        <ns0:f>IF(R21=0,"",S21/R21)</ns0:f>
        <ns0:v>564.0</ns0:v>
      </ns0:c>
      <ns0:c r="AA21" s="4" t="str">
        <ns0:f>IF(R21=0,"Not Opened",IF(R21&gt;=Assumptions!$B$3,"High Frequency","Low Frequency")&amp;" / "&amp;IF(X21&gt;=Assumptions!$B$4,"High Contribution","Low Contribution"))</ns0:f>
        <ns0:v>High Frequency / High Contribution</ns0:v>
      </ns0:c>
    </ns0:row>
    <ns0:row r="22">
      <ns0:c r="A22" s="4" t="inlineStr">
        <ns0:is>
          <ns0:t>SYN-021</ns0:t>
        </ns0:is>
      </ns0:c>
      <ns0:c r="B22" s="4" t="inlineStr">
        <ns0:is>
          <ns0:t>Synthetic Script 021</ns0:t>
        </ns0:is>
      </ns0:c>
      <ns0:c r="C22" s="4" t="inlineStr">
        <ns0:is>
          <ns0:t>情感</ns0:t>
        </ns0:is>
      </ns0:c>
      <ns0:c r="D22" s="4" t="n">
        <ns0:v>2</ns0:v>
      </ns0:c>
      <ns0:c r="E22" s="4" t="n">
        <ns0:v>6</ns0:v>
      </ns0:c>
      <ns0:c r="F22" s="9" t="n">
        <ns0:v>99</ns0:v>
      </ns0:c>
      <ns0:c r="G22" s="9">
        <ns0:f>E22*F22</ns0:f>
        <ns0:v>594</ns0:v>
      </ns0:c>
      <ns0:c r="H22" s="9" t="n">
        <ns0:v>180</ns0:v>
      </ns0:c>
      <ns0:c r="I22" s="4" t="inlineStr">
        <ns0:is>
          <ns0:t>盒装</ns0:t>
        </ns0:is>
      </ns0:c>
      <ns0:c r="J22" s="9">
        <ns0:f>G22-H22</ns0:f>
        <ns0:v>414</ns0:v>
      </ns0:c>
      <ns0:c r="K22" s="4" t="n">
        <ns0:v>8.4</ns0:v>
      </ns0:c>
      <ns0:c r="L22" s="4" t="n">
        <ns0:v>0</ns0:v>
      </ns0:c>
      <ns0:c r="M22" s="4" t="n">
        <ns0:v>750</ns0:v>
      </ns0:c>
      <ns0:c r="N22" s="4" t="n">
        <ns0:v>1000</ns0:v>
      </ns0:c>
      <ns0:c r="O22" s="9">
        <ns0:f>ROUND(L22/Assumptions!$B$2,0)</ns0:f>
        <ns0:v>0</ns0:v>
      </ns0:c>
      <ns0:c r="P22" s="9">
        <ns0:f>ROUND(M22/Assumptions!$B$2,0)</ns0:f>
        <ns0:v>104</ns0:v>
      </ns0:c>
      <ns0:c r="Q22" s="9">
        <ns0:f>ROUND(N22/Assumptions!$B$2,0)</ns0:f>
        <ns0:v>139</ns0:v>
      </ns0:c>
      <ns0:c r="R22" s="4">
        <ns0:f>COUNTIF(RawData[Script ID],A22)</ns0:f>
        <ns0:v>0</ns0:v>
      </ns0:c>
      <ns0:c r="S22" s="9">
        <ns0:f>SUMIF(RawData[Script ID],A22,RawData[Estimated Contribution])</ns0:f>
        <ns0:v>0.0</ns0:v>
      </ns0:c>
      <ns0:c r="T22" s="9">
        <ns0:f>S22-O22</ns0:f>
        <ns0:v>0.0</ns0:v>
      </ns0:c>
      <ns0:c r="U22" s="9">
        <ns0:f>S22-P22</ns0:f>
        <ns0:v>-104.0</ns0:v>
      </ns0:c>
      <ns0:c r="V22" s="9">
        <ns0:f>S22-Q22</ns0:f>
        <ns0:v>-139.0</ns0:v>
      </ns0:c>
      <ns0:c r="W22" s="4" t="str">
        <ns0:f>IF(R22=0,"Not Opened",IF(V22&gt;=0,"Recovered - All Scenarios",IF(U22&gt;=0,"Recovered - Low &amp; Base",IF(T22&gt;=0,"Recovered - Low Only","Not Recovered"))))</ns0:f>
        <ns0:v>Not Opened</ns0:v>
      </ns0:c>
      <ns0:c r="X22" s="9">
        <ns0:f>IF(R22=0,0,S22/R22)</ns0:f>
        <ns0:v>0</ns0:v>
      </ns0:c>
      <ns0:c r="Y22" s="4">
        <ns0:f>R22</ns0:f>
        <ns0:v>0</ns0:v>
      </ns0:c>
      <ns0:c r="Z22" s="9" t="str">
        <ns0:f>IF(R22=0,"",S22/R22)</ns0:f>
        <ns0:v/>
      </ns0:c>
      <ns0:c r="AA22" s="4" t="str">
        <ns0:f>IF(R22=0,"Not Opened",IF(R22&gt;=Assumptions!$B$3,"High Frequency","Low Frequency")&amp;" / "&amp;IF(X22&gt;=Assumptions!$B$4,"High Contribution","Low Contribution"))</ns0:f>
        <ns0:v>Not Opened</ns0:v>
      </ns0:c>
    </ns0:row>
    <ns0:row r="23">
      <ns0:c r="A23" s="4" t="inlineStr">
        <ns0:is>
          <ns0:t>SYN-022</ns0:t>
        </ns0:is>
      </ns0:c>
      <ns0:c r="B23" s="4" t="inlineStr">
        <ns0:is>
          <ns0:t>Synthetic Script 022</ns0:t>
        </ns0:is>
      </ns0:c>
      <ns0:c r="C23" s="4" t="inlineStr">
        <ns0:is>
          <ns0:t>推理</ns0:t>
        </ns0:is>
      </ns0:c>
      <ns0:c r="D23" s="4" t="n">
        <ns0:v>1</ns0:v>
      </ns0:c>
      <ns0:c r="E23" s="4" t="n">
        <ns0:v>6</ns0:v>
      </ns0:c>
      <ns0:c r="F23" s="9" t="n">
        <ns0:v>75</ns0:v>
      </ns0:c>
      <ns0:c r="G23" s="9">
        <ns0:f>E23*F23</ns0:f>
        <ns0:v>450</ns0:v>
      </ns0:c>
      <ns0:c r="H23" s="9" t="n">
        <ns0:v>118</ns0:v>
      </ns0:c>
      <ns0:c r="I23" s="4" t="inlineStr">
        <ns0:is>
          <ns0:t>城限</ns0:t>
        </ns0:is>
      </ns0:c>
      <ns0:c r="J23" s="9">
        <ns0:f>G23-H23</ns0:f>
        <ns0:v>332</ns0:v>
      </ns0:c>
      <ns0:c r="K23" s="4" t="n">
        <ns0:v>7</ns0:v>
      </ns0:c>
      <ns0:c r="L23" s="4" t="n">
        <ns0:v>1500</ns0:v>
      </ns0:c>
      <ns0:c r="M23" s="4" t="n">
        <ns0:v>2000</ns0:v>
      </ns0:c>
      <ns0:c r="N23" s="4" t="n">
        <ns0:v>2500</ns0:v>
      </ns0:c>
      <ns0:c r="O23" s="9">
        <ns0:f>ROUND(L23/Assumptions!$B$2,0)</ns0:f>
        <ns0:v>208</ns0:v>
      </ns0:c>
      <ns0:c r="P23" s="9">
        <ns0:f>ROUND(M23/Assumptions!$B$2,0)</ns0:f>
        <ns0:v>278</ns0:v>
      </ns0:c>
      <ns0:c r="Q23" s="9">
        <ns0:f>ROUND(N23/Assumptions!$B$2,0)</ns0:f>
        <ns0:v>347</ns0:v>
      </ns0:c>
      <ns0:c r="R23" s="4">
        <ns0:f>COUNTIF(RawData[Script ID],A23)</ns0:f>
        <ns0:v>1</ns0:v>
      </ns0:c>
      <ns0:c r="S23" s="9">
        <ns0:f>SUMIF(RawData[Script ID],A23,RawData[Estimated Contribution])</ns0:f>
        <ns0:v>332.0</ns0:v>
      </ns0:c>
      <ns0:c r="T23" s="9">
        <ns0:f>S23-O23</ns0:f>
        <ns0:v>124.0</ns0:v>
      </ns0:c>
      <ns0:c r="U23" s="9">
        <ns0:f>S23-P23</ns0:f>
        <ns0:v>54.0</ns0:v>
      </ns0:c>
      <ns0:c r="V23" s="9">
        <ns0:f>S23-Q23</ns0:f>
        <ns0:v>-15.0</ns0:v>
      </ns0:c>
      <ns0:c r="W23" s="4" t="str">
        <ns0:f>IF(R23=0,"Not Opened",IF(V23&gt;=0,"Recovered - All Scenarios",IF(U23&gt;=0,"Recovered - Low &amp; Base",IF(T23&gt;=0,"Recovered - Low Only","Not Recovered"))))</ns0:f>
        <ns0:v>Recovered - Low &amp; Base</ns0:v>
      </ns0:c>
      <ns0:c r="X23" s="9">
        <ns0:f>IF(R23=0,0,S23/R23)</ns0:f>
        <ns0:v>332.0</ns0:v>
      </ns0:c>
      <ns0:c r="Y23" s="4">
        <ns0:f>R23</ns0:f>
        <ns0:v>1</ns0:v>
      </ns0:c>
      <ns0:c r="Z23" s="9">
        <ns0:f>IF(R23=0,"",S23/R23)</ns0:f>
        <ns0:v>332.0</ns0:v>
      </ns0:c>
      <ns0:c r="AA23" s="4" t="str">
        <ns0:f>IF(R23=0,"Not Opened",IF(R23&gt;=Assumptions!$B$3,"High Frequency","Low Frequency")&amp;" / "&amp;IF(X23&gt;=Assumptions!$B$4,"High Contribution","Low Contribution"))</ns0:f>
        <ns0:v>Low Frequency / Low Contribution</ns0:v>
      </ns0:c>
    </ns0:row>
    <ns0:row r="24">
      <ns0:c r="A24" s="4" t="inlineStr">
        <ns0:is>
          <ns0:t>SYN-023</ns0:t>
        </ns0:is>
      </ns0:c>
      <ns0:c r="B24" s="4" t="inlineStr">
        <ns0:is>
          <ns0:t>Synthetic Script 023</ns0:t>
        </ns0:is>
      </ns0:c>
      <ns0:c r="C24" s="4" t="inlineStr">
        <ns0:is>
          <ns0:t>情感</ns0:t>
        </ns0:is>
      </ns0:c>
      <ns0:c r="D24" s="4" t="n">
        <ns0:v>3</ns0:v>
      </ns0:c>
      <ns0:c r="E24" s="4" t="n">
        <ns0:v>6</ns0:v>
      </ns0:c>
      <ns0:c r="F24" s="9" t="n">
        <ns0:v>118</ns0:v>
      </ns0:c>
      <ns0:c r="G24" s="9">
        <ns0:f>E24*F24</ns0:f>
        <ns0:v>708</ns0:v>
      </ns0:c>
      <ns0:c r="H24" s="9" t="n">
        <ns0:v>270</ns0:v>
      </ns0:c>
      <ns0:c r="I24" s="4" t="inlineStr">
        <ns0:is>
          <ns0:t>盒装</ns0:t>
        </ns0:is>
      </ns0:c>
      <ns0:c r="J24" s="9">
        <ns0:f>G24-H24</ns0:f>
        <ns0:v>438</ns0:v>
      </ns0:c>
      <ns0:c r="K24" s="4" t="n">
        <ns0:v>7.7</ns0:v>
      </ns0:c>
      <ns0:c r="L24" s="4" t="n">
        <ns0:v>0</ns0:v>
      </ns0:c>
      <ns0:c r="M24" s="4" t="n">
        <ns0:v>750</ns0:v>
      </ns0:c>
      <ns0:c r="N24" s="4" t="n">
        <ns0:v>1000</ns0:v>
      </ns0:c>
      <ns0:c r="O24" s="9">
        <ns0:f>ROUND(L24/Assumptions!$B$2,0)</ns0:f>
        <ns0:v>0</ns0:v>
      </ns0:c>
      <ns0:c r="P24" s="9">
        <ns0:f>ROUND(M24/Assumptions!$B$2,0)</ns0:f>
        <ns0:v>104</ns0:v>
      </ns0:c>
      <ns0:c r="Q24" s="9">
        <ns0:f>ROUND(N24/Assumptions!$B$2,0)</ns0:f>
        <ns0:v>139</ns0:v>
      </ns0:c>
      <ns0:c r="R24" s="4">
        <ns0:f>COUNTIF(RawData[Script ID],A24)</ns0:f>
        <ns0:v>3</ns0:v>
      </ns0:c>
      <ns0:c r="S24" s="9">
        <ns0:f>SUMIF(RawData[Script ID],A24,RawData[Estimated Contribution])</ns0:f>
        <ns0:v>1314.0</ns0:v>
      </ns0:c>
      <ns0:c r="T24" s="9">
        <ns0:f>S24-O24</ns0:f>
        <ns0:v>1314.0</ns0:v>
      </ns0:c>
      <ns0:c r="U24" s="9">
        <ns0:f>S24-P24</ns0:f>
        <ns0:v>1210.0</ns0:v>
      </ns0:c>
      <ns0:c r="V24" s="9">
        <ns0:f>S24-Q24</ns0:f>
        <ns0:v>1175.0</ns0:v>
      </ns0:c>
      <ns0:c r="W24" s="4" t="str">
        <ns0:f>IF(R24=0,"Not Opened",IF(V24&gt;=0,"Recovered - All Scenarios",IF(U24&gt;=0,"Recovered - Low &amp; Base",IF(T24&gt;=0,"Recovered - Low Only","Not Recovered"))))</ns0:f>
        <ns0:v>Recovered - All Scenarios</ns0:v>
      </ns0:c>
      <ns0:c r="X24" s="9">
        <ns0:f>IF(R24=0,0,S24/R24)</ns0:f>
        <ns0:v>438.0</ns0:v>
      </ns0:c>
      <ns0:c r="Y24" s="4">
        <ns0:f>R24</ns0:f>
        <ns0:v>3</ns0:v>
      </ns0:c>
      <ns0:c r="Z24" s="9">
        <ns0:f>IF(R24=0,"",S24/R24)</ns0:f>
        <ns0:v>438.0</ns0:v>
      </ns0:c>
      <ns0:c r="AA24" s="4" t="str">
        <ns0:f>IF(R24=0,"Not Opened",IF(R24&gt;=Assumptions!$B$3,"High Frequency","Low Frequency")&amp;" / "&amp;IF(X24&gt;=Assumptions!$B$4,"High Contribution","Low Contribution"))</ns0:f>
        <ns0:v>High Frequency / Low Contribution</ns0:v>
      </ns0:c>
    </ns0:row>
    <ns0:row r="25">
      <ns0:c r="A25" s="4" t="inlineStr">
        <ns0:is>
          <ns0:t>SYN-024</ns0:t>
        </ns0:is>
      </ns0:c>
      <ns0:c r="B25" s="4" t="inlineStr">
        <ns0:is>
          <ns0:t>Synthetic Script 024</ns0:t>
        </ns0:is>
      </ns0:c>
      <ns0:c r="C25" s="4" t="inlineStr">
        <ns0:is>
          <ns0:t>欢乐</ns0:t>
        </ns0:is>
      </ns0:c>
      <ns0:c r="D25" s="4" t="n">
        <ns0:v>3</ns0:v>
      </ns0:c>
      <ns0:c r="E25" s="4" t="n">
        <ns0:v>7</ns0:v>
      </ns0:c>
      <ns0:c r="F25" s="9" t="n">
        <ns0:v>129</ns0:v>
      </ns0:c>
      <ns0:c r="G25" s="9">
        <ns0:f>E25*F25</ns0:f>
        <ns0:v>903</ns0:v>
      </ns0:c>
      <ns0:c r="H25" s="9" t="n">
        <ns0:v>237</ns0:v>
      </ns0:c>
      <ns0:c r="I25" s="4" t="inlineStr">
        <ns0:is>
          <ns0:t>独家</ns0:t>
        </ns0:is>
      </ns0:c>
      <ns0:c r="J25" s="9">
        <ns0:f>G25-H25</ns0:f>
        <ns0:v>666</ns0:v>
      </ns0:c>
      <ns0:c r="K25" s="4" t="n">
        <ns0:v>8.4</ns0:v>
      </ns0:c>
      <ns0:c r="L25" s="4" t="n">
        <ns0:v>2500</ns0:v>
      </ns0:c>
      <ns0:c r="M25" s="4" t="n">
        <ns0:v>3000</ns0:v>
      </ns0:c>
      <ns0:c r="N25" s="4" t="n">
        <ns0:v>3500</ns0:v>
      </ns0:c>
      <ns0:c r="O25" s="9">
        <ns0:f>ROUND(L25/Assumptions!$B$2,0)</ns0:f>
        <ns0:v>347</ns0:v>
      </ns0:c>
      <ns0:c r="P25" s="9">
        <ns0:f>ROUND(M25/Assumptions!$B$2,0)</ns0:f>
        <ns0:v>417</ns0:v>
      </ns0:c>
      <ns0:c r="Q25" s="9">
        <ns0:f>ROUND(N25/Assumptions!$B$2,0)</ns0:f>
        <ns0:v>486</ns0:v>
      </ns0:c>
      <ns0:c r="R25" s="4">
        <ns0:f>COUNTIF(RawData[Script ID],A25)</ns0:f>
        <ns0:v>0</ns0:v>
      </ns0:c>
      <ns0:c r="S25" s="9">
        <ns0:f>SUMIF(RawData[Script ID],A25,RawData[Estimated Contribution])</ns0:f>
        <ns0:v>0.0</ns0:v>
      </ns0:c>
      <ns0:c r="T25" s="9">
        <ns0:f>S25-O25</ns0:f>
        <ns0:v>-347.0</ns0:v>
      </ns0:c>
      <ns0:c r="U25" s="9">
        <ns0:f>S25-P25</ns0:f>
        <ns0:v>-417.0</ns0:v>
      </ns0:c>
      <ns0:c r="V25" s="9">
        <ns0:f>S25-Q25</ns0:f>
        <ns0:v>-486.0</ns0:v>
      </ns0:c>
      <ns0:c r="W25" s="4" t="str">
        <ns0:f>IF(R25=0,"Not Opened",IF(V25&gt;=0,"Recovered - All Scenarios",IF(U25&gt;=0,"Recovered - Low &amp; Base",IF(T25&gt;=0,"Recovered - Low Only","Not Recovered"))))</ns0:f>
        <ns0:v>Not Opened</ns0:v>
      </ns0:c>
      <ns0:c r="X25" s="9">
        <ns0:f>IF(R25=0,0,S25/R25)</ns0:f>
        <ns0:v>0</ns0:v>
      </ns0:c>
      <ns0:c r="Y25" s="4">
        <ns0:f>R25</ns0:f>
        <ns0:v>0</ns0:v>
      </ns0:c>
      <ns0:c r="Z25" s="9" t="str">
        <ns0:f>IF(R25=0,"",S25/R25)</ns0:f>
        <ns0:v/>
      </ns0:c>
      <ns0:c r="AA25" s="4" t="str">
        <ns0:f>IF(R25=0,"Not Opened",IF(R25&gt;=Assumptions!$B$3,"High Frequency","Low Frequency")&amp;" / "&amp;IF(X25&gt;=Assumptions!$B$4,"High Contribution","Low Contribution"))</ns0:f>
        <ns0:v>Not Opened</ns0:v>
      </ns0:c>
    </ns0:row>
    <ns0:row r="26">
      <ns0:c r="A26" s="4" t="inlineStr">
        <ns0:is>
          <ns0:t>SYN-025</ns0:t>
        </ns0:is>
      </ns0:c>
      <ns0:c r="B26" s="4" t="inlineStr">
        <ns0:is>
          <ns0:t>Synthetic Script 025</ns0:t>
        </ns0:is>
      </ns0:c>
      <ns0:c r="C26" s="4" t="inlineStr">
        <ns0:is>
          <ns0:t>推理</ns0:t>
        </ns0:is>
      </ns0:c>
      <ns0:c r="D26" s="4" t="n">
        <ns0:v>2</ns0:v>
      </ns0:c>
      <ns0:c r="E26" s="4" t="n">
        <ns0:v>8</ns0:v>
      </ns0:c>
      <ns0:c r="F26" s="9" t="n">
        <ns0:v>65</ns0:v>
      </ns0:c>
      <ns0:c r="G26" s="9">
        <ns0:f>E26*F26</ns0:f>
        <ns0:v>520</ns0:v>
      </ns0:c>
      <ns0:c r="H26" s="9" t="n">
        <ns0:v>137</ns0:v>
      </ns0:c>
      <ns0:c r="I26" s="4" t="inlineStr">
        <ns0:is>
          <ns0:t>城限</ns0:t>
        </ns0:is>
      </ns0:c>
      <ns0:c r="J26" s="9">
        <ns0:f>G26-H26</ns0:f>
        <ns0:v>383</ns0:v>
      </ns0:c>
      <ns0:c r="K26" s="4" t="n">
        <ns0:v>7</ns0:v>
      </ns0:c>
      <ns0:c r="L26" s="4" t="n">
        <ns0:v>1500</ns0:v>
      </ns0:c>
      <ns0:c r="M26" s="4" t="n">
        <ns0:v>2000</ns0:v>
      </ns0:c>
      <ns0:c r="N26" s="4" t="n">
        <ns0:v>2500</ns0:v>
      </ns0:c>
      <ns0:c r="O26" s="9">
        <ns0:f>ROUND(L26/Assumptions!$B$2,0)</ns0:f>
        <ns0:v>208</ns0:v>
      </ns0:c>
      <ns0:c r="P26" s="9">
        <ns0:f>ROUND(M26/Assumptions!$B$2,0)</ns0:f>
        <ns0:v>278</ns0:v>
      </ns0:c>
      <ns0:c r="Q26" s="9">
        <ns0:f>ROUND(N26/Assumptions!$B$2,0)</ns0:f>
        <ns0:v>347</ns0:v>
      </ns0:c>
      <ns0:c r="R26" s="4">
        <ns0:f>COUNTIF(RawData[Script ID],A26)</ns0:f>
        <ns0:v>2</ns0:v>
      </ns0:c>
      <ns0:c r="S26" s="9">
        <ns0:f>SUMIF(RawData[Script ID],A26,RawData[Estimated Contribution])</ns0:f>
        <ns0:v>766.0</ns0:v>
      </ns0:c>
      <ns0:c r="T26" s="9">
        <ns0:f>S26-O26</ns0:f>
        <ns0:v>558.0</ns0:v>
      </ns0:c>
      <ns0:c r="U26" s="9">
        <ns0:f>S26-P26</ns0:f>
        <ns0:v>488.0</ns0:v>
      </ns0:c>
      <ns0:c r="V26" s="9">
        <ns0:f>S26-Q26</ns0:f>
        <ns0:v>419.0</ns0:v>
      </ns0:c>
      <ns0:c r="W26" s="4" t="str">
        <ns0:f>IF(R26=0,"Not Opened",IF(V26&gt;=0,"Recovered - All Scenarios",IF(U26&gt;=0,"Recovered - Low &amp; Base",IF(T26&gt;=0,"Recovered - Low Only","Not Recovered"))))</ns0:f>
        <ns0:v>Recovered - All Scenarios</ns0:v>
      </ns0:c>
      <ns0:c r="X26" s="9">
        <ns0:f>IF(R26=0,0,S26/R26)</ns0:f>
        <ns0:v>383.0</ns0:v>
      </ns0:c>
      <ns0:c r="Y26" s="4">
        <ns0:f>R26</ns0:f>
        <ns0:v>2</ns0:v>
      </ns0:c>
      <ns0:c r="Z26" s="9">
        <ns0:f>IF(R26=0,"",S26/R26)</ns0:f>
        <ns0:v>383.0</ns0:v>
      </ns0:c>
      <ns0:c r="AA26" s="4" t="str">
        <ns0:f>IF(R26=0,"Not Opened",IF(R26&gt;=Assumptions!$B$3,"High Frequency","Low Frequency")&amp;" / "&amp;IF(X26&gt;=Assumptions!$B$4,"High Contribution","Low Contribution"))</ns0:f>
        <ns0:v>High Frequency / Low Contribution</ns0:v>
      </ns0:c>
    </ns0:row>
    <ns0:row r="27">
      <ns0:c r="A27" s="4" t="inlineStr">
        <ns0:is>
          <ns0:t>SYN-026</ns0:t>
        </ns0:is>
      </ns0:c>
      <ns0:c r="B27" s="4" t="inlineStr">
        <ns0:is>
          <ns0:t>Synthetic Script 026</ns0:t>
        </ns0:is>
      </ns0:c>
      <ns0:c r="C27" s="4" t="inlineStr">
        <ns0:is>
          <ns0:t>情感</ns0:t>
        </ns0:is>
      </ns0:c>
      <ns0:c r="D27" s="4" t="n">
        <ns0:v>2</ns0:v>
      </ns0:c>
      <ns0:c r="E27" s="4" t="n">
        <ns0:v>6</ns0:v>
      </ns0:c>
      <ns0:c r="F27" s="9" t="n">
        <ns0:v>109</ns0:v>
      </ns0:c>
      <ns0:c r="G27" s="9">
        <ns0:f>E27*F27</ns0:f>
        <ns0:v>654</ns0:v>
      </ns0:c>
      <ns0:c r="H27" s="9" t="n">
        <ns0:v>180</ns0:v>
      </ns0:c>
      <ns0:c r="I27" s="4" t="inlineStr">
        <ns0:is>
          <ns0:t>盒装</ns0:t>
        </ns0:is>
      </ns0:c>
      <ns0:c r="J27" s="9">
        <ns0:f>G27-H27</ns0:f>
        <ns0:v>474</ns0:v>
      </ns0:c>
      <ns0:c r="K27" s="4" t="n">
        <ns0:v>7.7</ns0:v>
      </ns0:c>
      <ns0:c r="L27" s="4" t="n">
        <ns0:v>0</ns0:v>
      </ns0:c>
      <ns0:c r="M27" s="4" t="n">
        <ns0:v>750</ns0:v>
      </ns0:c>
      <ns0:c r="N27" s="4" t="n">
        <ns0:v>1000</ns0:v>
      </ns0:c>
      <ns0:c r="O27" s="9">
        <ns0:f>ROUND(L27/Assumptions!$B$2,0)</ns0:f>
        <ns0:v>0</ns0:v>
      </ns0:c>
      <ns0:c r="P27" s="9">
        <ns0:f>ROUND(M27/Assumptions!$B$2,0)</ns0:f>
        <ns0:v>104</ns0:v>
      </ns0:c>
      <ns0:c r="Q27" s="9">
        <ns0:f>ROUND(N27/Assumptions!$B$2,0)</ns0:f>
        <ns0:v>139</ns0:v>
      </ns0:c>
      <ns0:c r="R27" s="4">
        <ns0:f>COUNTIF(RawData[Script ID],A27)</ns0:f>
        <ns0:v>4</ns0:v>
      </ns0:c>
      <ns0:c r="S27" s="9">
        <ns0:f>SUMIF(RawData[Script ID],A27,RawData[Estimated Contribution])</ns0:f>
        <ns0:v>1896.0</ns0:v>
      </ns0:c>
      <ns0:c r="T27" s="9">
        <ns0:f>S27-O27</ns0:f>
        <ns0:v>1896.0</ns0:v>
      </ns0:c>
      <ns0:c r="U27" s="9">
        <ns0:f>S27-P27</ns0:f>
        <ns0:v>1792.0</ns0:v>
      </ns0:c>
      <ns0:c r="V27" s="9">
        <ns0:f>S27-Q27</ns0:f>
        <ns0:v>1757.0</ns0:v>
      </ns0:c>
      <ns0:c r="W27" s="4" t="str">
        <ns0:f>IF(R27=0,"Not Opened",IF(V27&gt;=0,"Recovered - All Scenarios",IF(U27&gt;=0,"Recovered - Low &amp; Base",IF(T27&gt;=0,"Recovered - Low Only","Not Recovered"))))</ns0:f>
        <ns0:v>Recovered - All Scenarios</ns0:v>
      </ns0:c>
      <ns0:c r="X27" s="9">
        <ns0:f>IF(R27=0,0,S27/R27)</ns0:f>
        <ns0:v>474.0</ns0:v>
      </ns0:c>
      <ns0:c r="Y27" s="4">
        <ns0:f>R27</ns0:f>
        <ns0:v>4</ns0:v>
      </ns0:c>
      <ns0:c r="Z27" s="9">
        <ns0:f>IF(R27=0,"",S27/R27)</ns0:f>
        <ns0:v>474.0</ns0:v>
      </ns0:c>
      <ns0:c r="AA27" s="4" t="str">
        <ns0:f>IF(R27=0,"Not Opened",IF(R27&gt;=Assumptions!$B$3,"High Frequency","Low Frequency")&amp;" / "&amp;IF(X27&gt;=Assumptions!$B$4,"High Contribution","Low Contribution"))</ns0:f>
        <ns0:v>High Frequency / Low Contribution</ns0:v>
      </ns0:c>
    </ns0:row>
    <ns0:row r="28">
      <ns0:c r="A28" s="4" t="inlineStr">
        <ns0:is>
          <ns0:t>SYN-027</ns0:t>
        </ns0:is>
      </ns0:c>
      <ns0:c r="B28" s="4" t="inlineStr">
        <ns0:is>
          <ns0:t>Synthetic Script 027</ns0:t>
        </ns0:is>
      </ns0:c>
      <ns0:c r="C28" s="4" t="inlineStr">
        <ns0:is>
          <ns0:t>机制</ns0:t>
        </ns0:is>
      </ns0:c>
      <ns0:c r="D28" s="4" t="n">
        <ns0:v>1</ns0:v>
      </ns0:c>
      <ns0:c r="E28" s="4" t="n">
        <ns0:v>6</ns0:v>
      </ns0:c>
      <ns0:c r="F28" s="9" t="n">
        <ns0:v>129</ns0:v>
      </ns0:c>
      <ns0:c r="G28" s="9">
        <ns0:f>E28*F28</ns0:f>
        <ns0:v>774</ns0:v>
      </ns0:c>
      <ns0:c r="H28" s="9" t="n">
        <ns0:v>203</ns0:v>
      </ns0:c>
      <ns0:c r="I28" s="4" t="inlineStr">
        <ns0:is>
          <ns0:t>城限</ns0:t>
        </ns0:is>
      </ns0:c>
      <ns0:c r="J28" s="9">
        <ns0:f>G28-H28</ns0:f>
        <ns0:v>571</ns0:v>
      </ns0:c>
      <ns0:c r="K28" s="4" t="n">
        <ns0:v>8.4</ns0:v>
      </ns0:c>
      <ns0:c r="L28" s="4" t="n">
        <ns0:v>1500</ns0:v>
      </ns0:c>
      <ns0:c r="M28" s="4" t="n">
        <ns0:v>2000</ns0:v>
      </ns0:c>
      <ns0:c r="N28" s="4" t="n">
        <ns0:v>2500</ns0:v>
      </ns0:c>
      <ns0:c r="O28" s="9">
        <ns0:f>ROUND(L28/Assumptions!$B$2,0)</ns0:f>
        <ns0:v>208</ns0:v>
      </ns0:c>
      <ns0:c r="P28" s="9">
        <ns0:f>ROUND(M28/Assumptions!$B$2,0)</ns0:f>
        <ns0:v>278</ns0:v>
      </ns0:c>
      <ns0:c r="Q28" s="9">
        <ns0:f>ROUND(N28/Assumptions!$B$2,0)</ns0:f>
        <ns0:v>347</ns0:v>
      </ns0:c>
      <ns0:c r="R28" s="4">
        <ns0:f>COUNTIF(RawData[Script ID],A28)</ns0:f>
        <ns0:v>0</ns0:v>
      </ns0:c>
      <ns0:c r="S28" s="9">
        <ns0:f>SUMIF(RawData[Script ID],A28,RawData[Estimated Contribution])</ns0:f>
        <ns0:v>0.0</ns0:v>
      </ns0:c>
      <ns0:c r="T28" s="9">
        <ns0:f>S28-O28</ns0:f>
        <ns0:v>-208.0</ns0:v>
      </ns0:c>
      <ns0:c r="U28" s="9">
        <ns0:f>S28-P28</ns0:f>
        <ns0:v>-278.0</ns0:v>
      </ns0:c>
      <ns0:c r="V28" s="9">
        <ns0:f>S28-Q28</ns0:f>
        <ns0:v>-347.0</ns0:v>
      </ns0:c>
      <ns0:c r="W28" s="4" t="str">
        <ns0:f>IF(R28=0,"Not Opened",IF(V28&gt;=0,"Recovered - All Scenarios",IF(U28&gt;=0,"Recovered - Low &amp; Base",IF(T28&gt;=0,"Recovered - Low Only","Not Recovered"))))</ns0:f>
        <ns0:v>Not Opened</ns0:v>
      </ns0:c>
      <ns0:c r="X28" s="9">
        <ns0:f>IF(R28=0,0,S28/R28)</ns0:f>
        <ns0:v>0</ns0:v>
      </ns0:c>
      <ns0:c r="Y28" s="4">
        <ns0:f>R28</ns0:f>
        <ns0:v>0</ns0:v>
      </ns0:c>
      <ns0:c r="Z28" s="9" t="str">
        <ns0:f>IF(R28=0,"",S28/R28)</ns0:f>
        <ns0:v/>
      </ns0:c>
      <ns0:c r="AA28" s="4" t="str">
        <ns0:f>IF(R28=0,"Not Opened",IF(R28&gt;=Assumptions!$B$3,"High Frequency","Low Frequency")&amp;" / "&amp;IF(X28&gt;=Assumptions!$B$4,"High Contribution","Low Contribution"))</ns0:f>
        <ns0:v>Not Opened</ns0:v>
      </ns0:c>
    </ns0:row>
    <ns0:row r="29">
      <ns0:c r="A29" s="4" t="inlineStr">
        <ns0:is>
          <ns0:t>SYN-028</ns0:t>
        </ns0:is>
      </ns0:c>
      <ns0:c r="B29" s="4" t="inlineStr">
        <ns0:is>
          <ns0:t>Synthetic Script 028</ns0:t>
        </ns0:is>
      </ns0:c>
      <ns0:c r="C29" s="4" t="inlineStr">
        <ns0:is>
          <ns0:t>推理</ns0:t>
        </ns0:is>
      </ns0:c>
      <ns0:c r="D29" s="4" t="n">
        <ns0:v>1</ns0:v>
      </ns0:c>
      <ns0:c r="E29" s="4" t="n">
        <ns0:v>6</ns0:v>
      </ns0:c>
      <ns0:c r="F29" s="9" t="n">
        <ns0:v>119</ns0:v>
      </ns0:c>
      <ns0:c r="G29" s="9">
        <ns0:f>E29*F29</ns0:f>
        <ns0:v>714</ns0:v>
      </ns0:c>
      <ns0:c r="H29" s="9" t="n">
        <ns0:v>187</ns0:v>
      </ns0:c>
      <ns0:c r="I29" s="4" t="inlineStr">
        <ns0:is>
          <ns0:t>盒装</ns0:t>
        </ns0:is>
      </ns0:c>
      <ns0:c r="J29" s="9">
        <ns0:f>G29-H29</ns0:f>
        <ns0:v>527</ns0:v>
      </ns0:c>
      <ns0:c r="K29" s="4" t="n">
        <ns0:v>7</ns0:v>
      </ns0:c>
      <ns0:c r="L29" s="4" t="n">
        <ns0:v>0</ns0:v>
      </ns0:c>
      <ns0:c r="M29" s="4" t="n">
        <ns0:v>750</ns0:v>
      </ns0:c>
      <ns0:c r="N29" s="4" t="n">
        <ns0:v>1000</ns0:v>
      </ns0:c>
      <ns0:c r="O29" s="9">
        <ns0:f>ROUND(L29/Assumptions!$B$2,0)</ns0:f>
        <ns0:v>0</ns0:v>
      </ns0:c>
      <ns0:c r="P29" s="9">
        <ns0:f>ROUND(M29/Assumptions!$B$2,0)</ns0:f>
        <ns0:v>104</ns0:v>
      </ns0:c>
      <ns0:c r="Q29" s="9">
        <ns0:f>ROUND(N29/Assumptions!$B$2,0)</ns0:f>
        <ns0:v>139</ns0:v>
      </ns0:c>
      <ns0:c r="R29" s="4">
        <ns0:f>COUNTIF(RawData[Script ID],A29)</ns0:f>
        <ns0:v>2</ns0:v>
      </ns0:c>
      <ns0:c r="S29" s="9">
        <ns0:f>SUMIF(RawData[Script ID],A29,RawData[Estimated Contribution])</ns0:f>
        <ns0:v>1054.0</ns0:v>
      </ns0:c>
      <ns0:c r="T29" s="9">
        <ns0:f>S29-O29</ns0:f>
        <ns0:v>1054.0</ns0:v>
      </ns0:c>
      <ns0:c r="U29" s="9">
        <ns0:f>S29-P29</ns0:f>
        <ns0:v>950.0</ns0:v>
      </ns0:c>
      <ns0:c r="V29" s="9">
        <ns0:f>S29-Q29</ns0:f>
        <ns0:v>915.0</ns0:v>
      </ns0:c>
      <ns0:c r="W29" s="4" t="str">
        <ns0:f>IF(R29=0,"Not Opened",IF(V29&gt;=0,"Recovered - All Scenarios",IF(U29&gt;=0,"Recovered - Low &amp; Base",IF(T29&gt;=0,"Recovered - Low Only","Not Recovered"))))</ns0:f>
        <ns0:v>Recovered - All Scenarios</ns0:v>
      </ns0:c>
      <ns0:c r="X29" s="9">
        <ns0:f>IF(R29=0,0,S29/R29)</ns0:f>
        <ns0:v>527.0</ns0:v>
      </ns0:c>
      <ns0:c r="Y29" s="4">
        <ns0:f>R29</ns0:f>
        <ns0:v>2</ns0:v>
      </ns0:c>
      <ns0:c r="Z29" s="9">
        <ns0:f>IF(R29=0,"",S29/R29)</ns0:f>
        <ns0:v>527.0</ns0:v>
      </ns0:c>
      <ns0:c r="AA29" s="4" t="str">
        <ns0:f>IF(R29=0,"Not Opened",IF(R29&gt;=Assumptions!$B$3,"High Frequency","Low Frequency")&amp;" / "&amp;IF(X29&gt;=Assumptions!$B$4,"High Contribution","Low Contribution"))</ns0:f>
        <ns0:v>High Frequency / High Contribution</ns0:v>
      </ns0:c>
    </ns0:row>
    <ns0:row r="30">
      <ns0:c r="A30" s="4" t="inlineStr">
        <ns0:is>
          <ns0:t>SYN-029</ns0:t>
        </ns0:is>
      </ns0:c>
      <ns0:c r="B30" s="4" t="inlineStr">
        <ns0:is>
          <ns0:t>Synthetic Script 029</ns0:t>
        </ns0:is>
      </ns0:c>
      <ns0:c r="C30" s="4" t="inlineStr">
        <ns0:is>
          <ns0:t>欢乐</ns0:t>
        </ns0:is>
      </ns0:c>
      <ns0:c r="D30" s="4" t="n">
        <ns0:v>3</ns0:v>
      </ns0:c>
      <ns0:c r="E30" s="4" t="n">
        <ns0:v>7</ns0:v>
      </ns0:c>
      <ns0:c r="F30" s="9" t="n">
        <ns0:v>95</ns0:v>
      </ns0:c>
      <ns0:c r="G30" s="9">
        <ns0:f>E30*F30</ns0:f>
        <ns0:v>665</ns0:v>
      </ns0:c>
      <ns0:c r="H30" s="9" t="n">
        <ns0:v>175</ns0:v>
      </ns0:c>
      <ns0:c r="I30" s="4" t="inlineStr">
        <ns0:is>
          <ns0:t>独家</ns0:t>
        </ns0:is>
      </ns0:c>
      <ns0:c r="J30" s="9">
        <ns0:f>G30-H30</ns0:f>
        <ns0:v>490</ns0:v>
      </ns0:c>
      <ns0:c r="K30" s="4" t="n">
        <ns0:v>7.7</ns0:v>
      </ns0:c>
      <ns0:c r="L30" s="4" t="n">
        <ns0:v>2500</ns0:v>
      </ns0:c>
      <ns0:c r="M30" s="4" t="n">
        <ns0:v>3000</ns0:v>
      </ns0:c>
      <ns0:c r="N30" s="4" t="n">
        <ns0:v>3500</ns0:v>
      </ns0:c>
      <ns0:c r="O30" s="9">
        <ns0:f>ROUND(L30/Assumptions!$B$2,0)</ns0:f>
        <ns0:v>347</ns0:v>
      </ns0:c>
      <ns0:c r="P30" s="9">
        <ns0:f>ROUND(M30/Assumptions!$B$2,0)</ns0:f>
        <ns0:v>417</ns0:v>
      </ns0:c>
      <ns0:c r="Q30" s="9">
        <ns0:f>ROUND(N30/Assumptions!$B$2,0)</ns0:f>
        <ns0:v>486</ns0:v>
      </ns0:c>
      <ns0:c r="R30" s="4">
        <ns0:f>COUNTIF(RawData[Script ID],A30)</ns0:f>
        <ns0:v>4</ns0:v>
      </ns0:c>
      <ns0:c r="S30" s="9">
        <ns0:f>SUMIF(RawData[Script ID],A30,RawData[Estimated Contribution])</ns0:f>
        <ns0:v>1960.0</ns0:v>
      </ns0:c>
      <ns0:c r="T30" s="9">
        <ns0:f>S30-O30</ns0:f>
        <ns0:v>1613.0</ns0:v>
      </ns0:c>
      <ns0:c r="U30" s="9">
        <ns0:f>S30-P30</ns0:f>
        <ns0:v>1543.0</ns0:v>
      </ns0:c>
      <ns0:c r="V30" s="9">
        <ns0:f>S30-Q30</ns0:f>
        <ns0:v>1474.0</ns0:v>
      </ns0:c>
      <ns0:c r="W30" s="4" t="str">
        <ns0:f>IF(R30=0,"Not Opened",IF(V30&gt;=0,"Recovered - All Scenarios",IF(U30&gt;=0,"Recovered - Low &amp; Base",IF(T30&gt;=0,"Recovered - Low Only","Not Recovered"))))</ns0:f>
        <ns0:v>Recovered - All Scenarios</ns0:v>
      </ns0:c>
      <ns0:c r="X30" s="9">
        <ns0:f>IF(R30=0,0,S30/R30)</ns0:f>
        <ns0:v>490.0</ns0:v>
      </ns0:c>
      <ns0:c r="Y30" s="4">
        <ns0:f>R30</ns0:f>
        <ns0:v>4</ns0:v>
      </ns0:c>
      <ns0:c r="Z30" s="9">
        <ns0:f>IF(R30=0,"",S30/R30)</ns0:f>
        <ns0:v>490.0</ns0:v>
      </ns0:c>
      <ns0:c r="AA30" s="4" t="str">
        <ns0:f>IF(R30=0,"Not Opened",IF(R30&gt;=Assumptions!$B$3,"High Frequency","Low Frequency")&amp;" / "&amp;IF(X30&gt;=Assumptions!$B$4,"High Contribution","Low Contribution"))</ns0:f>
        <ns0:v>High Frequency / High Contribution</ns0:v>
      </ns0:c>
    </ns0:row>
    <ns0:row r="31">
      <ns0:c r="A31" s="4" t="inlineStr">
        <ns0:is>
          <ns0:t>SYN-030</ns0:t>
        </ns0:is>
      </ns0:c>
      <ns0:c r="B31" s="4" t="inlineStr">
        <ns0:is>
          <ns0:t>Synthetic Script 030</ns0:t>
        </ns0:is>
      </ns0:c>
      <ns0:c r="C31" s="4" t="inlineStr">
        <ns0:is>
          <ns0:t>情感</ns0:t>
        </ns0:is>
      </ns0:c>
      <ns0:c r="D31" s="4" t="n">
        <ns0:v>6</ns0:v>
      </ns0:c>
      <ns0:c r="E31" s="4" t="n">
        <ns0:v>8</ns0:v>
      </ns0:c>
      <ns0:c r="F31" s="9" t="n">
        <ns0:v>109</ns0:v>
      </ns0:c>
      <ns0:c r="G31" s="9">
        <ns0:f>E31*F31</ns0:f>
        <ns0:v>872</ns0:v>
      </ns0:c>
      <ns0:c r="H31" s="9" t="n">
        <ns0:v>540</ns0:v>
      </ns0:c>
      <ns0:c r="I31" s="4" t="inlineStr">
        <ns0:is>
          <ns0:t>盒装</ns0:t>
        </ns0:is>
      </ns0:c>
      <ns0:c r="J31" s="9">
        <ns0:f>G31-H31</ns0:f>
        <ns0:v>332</ns0:v>
      </ns0:c>
      <ns0:c r="K31" s="4" t="n">
        <ns0:v>8.4</ns0:v>
      </ns0:c>
      <ns0:c r="L31" s="4" t="n">
        <ns0:v>0</ns0:v>
      </ns0:c>
      <ns0:c r="M31" s="4" t="n">
        <ns0:v>750</ns0:v>
      </ns0:c>
      <ns0:c r="N31" s="4" t="n">
        <ns0:v>1000</ns0:v>
      </ns0:c>
      <ns0:c r="O31" s="9">
        <ns0:f>ROUND(L31/Assumptions!$B$2,0)</ns0:f>
        <ns0:v>0</ns0:v>
      </ns0:c>
      <ns0:c r="P31" s="9">
        <ns0:f>ROUND(M31/Assumptions!$B$2,0)</ns0:f>
        <ns0:v>104</ns0:v>
      </ns0:c>
      <ns0:c r="Q31" s="9">
        <ns0:f>ROUND(N31/Assumptions!$B$2,0)</ns0:f>
        <ns0:v>139</ns0:v>
      </ns0:c>
      <ns0:c r="R31" s="4">
        <ns0:f>COUNTIF(RawData[Script ID],A31)</ns0:f>
        <ns0:v>1</ns0:v>
      </ns0:c>
      <ns0:c r="S31" s="9">
        <ns0:f>SUMIF(RawData[Script ID],A31,RawData[Estimated Contribution])</ns0:f>
        <ns0:v>332.0</ns0:v>
      </ns0:c>
      <ns0:c r="T31" s="9">
        <ns0:f>S31-O31</ns0:f>
        <ns0:v>332.0</ns0:v>
      </ns0:c>
      <ns0:c r="U31" s="9">
        <ns0:f>S31-P31</ns0:f>
        <ns0:v>228.0</ns0:v>
      </ns0:c>
      <ns0:c r="V31" s="9">
        <ns0:f>S31-Q31</ns0:f>
        <ns0:v>193.0</ns0:v>
      </ns0:c>
      <ns0:c r="W31" s="4" t="str">
        <ns0:f>IF(R31=0,"Not Opened",IF(V31&gt;=0,"Recovered - All Scenarios",IF(U31&gt;=0,"Recovered - Low &amp; Base",IF(T31&gt;=0,"Recovered - Low Only","Not Recovered"))))</ns0:f>
        <ns0:v>Recovered - All Scenarios</ns0:v>
      </ns0:c>
      <ns0:c r="X31" s="9">
        <ns0:f>IF(R31=0,0,S31/R31)</ns0:f>
        <ns0:v>332.0</ns0:v>
      </ns0:c>
      <ns0:c r="Y31" s="4">
        <ns0:f>R31</ns0:f>
        <ns0:v>1</ns0:v>
      </ns0:c>
      <ns0:c r="Z31" s="9">
        <ns0:f>IF(R31=0,"",S31/R31)</ns0:f>
        <ns0:v>332.0</ns0:v>
      </ns0:c>
      <ns0:c r="AA31" s="4" t="str">
        <ns0:f>IF(R31=0,"Not Opened",IF(R31&gt;=Assumptions!$B$3,"High Frequency","Low Frequency")&amp;" / "&amp;IF(X31&gt;=Assumptions!$B$4,"High Contribution","Low Contribution"))</ns0:f>
        <ns0:v>Low Frequency / Low Contribution</ns0:v>
      </ns0:c>
    </ns0:row>
    <ns0:row r="32">
      <ns0:c r="A32" s="4" t="inlineStr">
        <ns0:is>
          <ns0:t>SYN-031</ns0:t>
        </ns0:is>
      </ns0:c>
      <ns0:c r="B32" s="4" t="inlineStr">
        <ns0:is>
          <ns0:t>Synthetic Script 031</ns0:t>
        </ns0:is>
      </ns0:c>
      <ns0:c r="C32" s="4" t="inlineStr">
        <ns0:is>
          <ns0:t>情感</ns0:t>
        </ns0:is>
      </ns0:c>
      <ns0:c r="D32" s="4" t="n">
        <ns0:v>2</ns0:v>
      </ns0:c>
      <ns0:c r="E32" s="4" t="n">
        <ns0:v>6</ns0:v>
      </ns0:c>
      <ns0:c r="F32" s="9" t="n">
        <ns0:v>118</ns0:v>
      </ns0:c>
      <ns0:c r="G32" s="9">
        <ns0:f>E32*F32</ns0:f>
        <ns0:v>708</ns0:v>
      </ns0:c>
      <ns0:c r="H32" s="9" t="n">
        <ns0:v>180</ns0:v>
      </ns0:c>
      <ns0:c r="I32" s="4" t="inlineStr">
        <ns0:is>
          <ns0:t>盒装</ns0:t>
        </ns0:is>
      </ns0:c>
      <ns0:c r="J32" s="9">
        <ns0:f>G32-H32</ns0:f>
        <ns0:v>528</ns0:v>
      </ns0:c>
      <ns0:c r="K32" s="4" t="n">
        <ns0:v>7</ns0:v>
      </ns0:c>
      <ns0:c r="L32" s="4" t="n">
        <ns0:v>0</ns0:v>
      </ns0:c>
      <ns0:c r="M32" s="4" t="n">
        <ns0:v>750</ns0:v>
      </ns0:c>
      <ns0:c r="N32" s="4" t="n">
        <ns0:v>1000</ns0:v>
      </ns0:c>
      <ns0:c r="O32" s="9">
        <ns0:f>ROUND(L32/Assumptions!$B$2,0)</ns0:f>
        <ns0:v>0</ns0:v>
      </ns0:c>
      <ns0:c r="P32" s="9">
        <ns0:f>ROUND(M32/Assumptions!$B$2,0)</ns0:f>
        <ns0:v>104</ns0:v>
      </ns0:c>
      <ns0:c r="Q32" s="9">
        <ns0:f>ROUND(N32/Assumptions!$B$2,0)</ns0:f>
        <ns0:v>139</ns0:v>
      </ns0:c>
      <ns0:c r="R32" s="4">
        <ns0:f>COUNTIF(RawData[Script ID],A32)</ns0:f>
        <ns0:v>2</ns0:v>
      </ns0:c>
      <ns0:c r="S32" s="9">
        <ns0:f>SUMIF(RawData[Script ID],A32,RawData[Estimated Contribution])</ns0:f>
        <ns0:v>1056.0</ns0:v>
      </ns0:c>
      <ns0:c r="T32" s="9">
        <ns0:f>S32-O32</ns0:f>
        <ns0:v>1056.0</ns0:v>
      </ns0:c>
      <ns0:c r="U32" s="9">
        <ns0:f>S32-P32</ns0:f>
        <ns0:v>952.0</ns0:v>
      </ns0:c>
      <ns0:c r="V32" s="9">
        <ns0:f>S32-Q32</ns0:f>
        <ns0:v>917.0</ns0:v>
      </ns0:c>
      <ns0:c r="W32" s="4" t="str">
        <ns0:f>IF(R32=0,"Not Opened",IF(V32&gt;=0,"Recovered - All Scenarios",IF(U32&gt;=0,"Recovered - Low &amp; Base",IF(T32&gt;=0,"Recovered - Low Only","Not Recovered"))))</ns0:f>
        <ns0:v>Recovered - All Scenarios</ns0:v>
      </ns0:c>
      <ns0:c r="X32" s="9">
        <ns0:f>IF(R32=0,0,S32/R32)</ns0:f>
        <ns0:v>528.0</ns0:v>
      </ns0:c>
      <ns0:c r="Y32" s="4">
        <ns0:f>R32</ns0:f>
        <ns0:v>2</ns0:v>
      </ns0:c>
      <ns0:c r="Z32" s="9">
        <ns0:f>IF(R32=0,"",S32/R32)</ns0:f>
        <ns0:v>528.0</ns0:v>
      </ns0:c>
      <ns0:c r="AA32" s="4" t="str">
        <ns0:f>IF(R32=0,"Not Opened",IF(R32&gt;=Assumptions!$B$3,"High Frequency","Low Frequency")&amp;" / "&amp;IF(X32&gt;=Assumptions!$B$4,"High Contribution","Low Contribution"))</ns0:f>
        <ns0:v>High Frequency / High Contribution</ns0:v>
      </ns0:c>
    </ns0:row>
    <ns0:row r="33">
      <ns0:c r="A33" s="4" t="inlineStr">
        <ns0:is>
          <ns0:t>SYN-032</ns0:t>
        </ns0:is>
      </ns0:c>
      <ns0:c r="B33" s="4" t="inlineStr">
        <ns0:is>
          <ns0:t>Synthetic Script 032</ns0:t>
        </ns0:is>
      </ns0:c>
      <ns0:c r="C33" s="4" t="inlineStr">
        <ns0:is>
          <ns0:t>推理</ns0:t>
        </ns0:is>
      </ns0:c>
      <ns0:c r="D33" s="4" t="n">
        <ns0:v>1</ns0:v>
      </ns0:c>
      <ns0:c r="E33" s="4" t="n">
        <ns0:v>6</ns0:v>
      </ns0:c>
      <ns0:c r="F33" s="9" t="n">
        <ns0:v>119</ns0:v>
      </ns0:c>
      <ns0:c r="G33" s="9">
        <ns0:f>E33*F33</ns0:f>
        <ns0:v>714</ns0:v>
      </ns0:c>
      <ns0:c r="H33" s="9" t="n">
        <ns0:v>187</ns0:v>
      </ns0:c>
      <ns0:c r="I33" s="4" t="inlineStr">
        <ns0:is>
          <ns0:t>城限</ns0:t>
        </ns0:is>
      </ns0:c>
      <ns0:c r="J33" s="9">
        <ns0:f>G33-H33</ns0:f>
        <ns0:v>527</ns0:v>
      </ns0:c>
      <ns0:c r="K33" s="4" t="n">
        <ns0:v>7.7</ns0:v>
      </ns0:c>
      <ns0:c r="L33" s="4" t="n">
        <ns0:v>1500</ns0:v>
      </ns0:c>
      <ns0:c r="M33" s="4" t="n">
        <ns0:v>2000</ns0:v>
      </ns0:c>
      <ns0:c r="N33" s="4" t="n">
        <ns0:v>2500</ns0:v>
      </ns0:c>
      <ns0:c r="O33" s="9">
        <ns0:f>ROUND(L33/Assumptions!$B$2,0)</ns0:f>
        <ns0:v>208</ns0:v>
      </ns0:c>
      <ns0:c r="P33" s="9">
        <ns0:f>ROUND(M33/Assumptions!$B$2,0)</ns0:f>
        <ns0:v>278</ns0:v>
      </ns0:c>
      <ns0:c r="Q33" s="9">
        <ns0:f>ROUND(N33/Assumptions!$B$2,0)</ns0:f>
        <ns0:v>347</ns0:v>
      </ns0:c>
      <ns0:c r="R33" s="4">
        <ns0:f>COUNTIF(RawData[Script ID],A33)</ns0:f>
        <ns0:v>5</ns0:v>
      </ns0:c>
      <ns0:c r="S33" s="9">
        <ns0:f>SUMIF(RawData[Script ID],A33,RawData[Estimated Contribution])</ns0:f>
        <ns0:v>2635.0</ns0:v>
      </ns0:c>
      <ns0:c r="T33" s="9">
        <ns0:f>S33-O33</ns0:f>
        <ns0:v>2427.0</ns0:v>
      </ns0:c>
      <ns0:c r="U33" s="9">
        <ns0:f>S33-P33</ns0:f>
        <ns0:v>2357.0</ns0:v>
      </ns0:c>
      <ns0:c r="V33" s="9">
        <ns0:f>S33-Q33</ns0:f>
        <ns0:v>2288.0</ns0:v>
      </ns0:c>
      <ns0:c r="W33" s="4" t="str">
        <ns0:f>IF(R33=0,"Not Opened",IF(V33&gt;=0,"Recovered - All Scenarios",IF(U33&gt;=0,"Recovered - Low &amp; Base",IF(T33&gt;=0,"Recovered - Low Only","Not Recovered"))))</ns0:f>
        <ns0:v>Recovered - All Scenarios</ns0:v>
      </ns0:c>
      <ns0:c r="X33" s="9">
        <ns0:f>IF(R33=0,0,S33/R33)</ns0:f>
        <ns0:v>527.0</ns0:v>
      </ns0:c>
      <ns0:c r="Y33" s="4">
        <ns0:f>R33</ns0:f>
        <ns0:v>5</ns0:v>
      </ns0:c>
      <ns0:c r="Z33" s="9">
        <ns0:f>IF(R33=0,"",S33/R33)</ns0:f>
        <ns0:v>527.0</ns0:v>
      </ns0:c>
      <ns0:c r="AA33" s="4" t="str">
        <ns0:f>IF(R33=0,"Not Opened",IF(R33&gt;=Assumptions!$B$3,"High Frequency","Low Frequency")&amp;" / "&amp;IF(X33&gt;=Assumptions!$B$4,"High Contribution","Low Contribution"))</ns0:f>
        <ns0:v>High Frequency / High Contribution</ns0:v>
      </ns0:c>
    </ns0:row>
    <ns0:row r="34">
      <ns0:c r="A34" s="4" t="inlineStr">
        <ns0:is>
          <ns0:t>SYN-033</ns0:t>
        </ns0:is>
      </ns0:c>
      <ns0:c r="B34" s="4" t="inlineStr">
        <ns0:is>
          <ns0:t>Synthetic Script 033</ns0:t>
        </ns0:is>
      </ns0:c>
      <ns0:c r="C34" s="4" t="inlineStr">
        <ns0:is>
          <ns0:t>情感</ns0:t>
        </ns0:is>
      </ns0:c>
      <ns0:c r="D34" s="4" t="n">
        <ns0:v>3</ns0:v>
      </ns0:c>
      <ns0:c r="E34" s="4" t="n">
        <ns0:v>6</ns0:v>
      </ns0:c>
      <ns0:c r="F34" s="9" t="n">
        <ns0:v>99</ns0:v>
      </ns0:c>
      <ns0:c r="G34" s="9">
        <ns0:f>E34*F34</ns0:f>
        <ns0:v>594</ns0:v>
      </ns0:c>
      <ns0:c r="H34" s="9" t="n">
        <ns0:v>270</ns0:v>
      </ns0:c>
      <ns0:c r="I34" s="4" t="inlineStr">
        <ns0:is>
          <ns0:t>盒装</ns0:t>
        </ns0:is>
      </ns0:c>
      <ns0:c r="J34" s="9">
        <ns0:f>G34-H34</ns0:f>
        <ns0:v>324</ns0:v>
      </ns0:c>
      <ns0:c r="K34" s="4" t="n">
        <ns0:v>8.4</ns0:v>
      </ns0:c>
      <ns0:c r="L34" s="4" t="n">
        <ns0:v>0</ns0:v>
      </ns0:c>
      <ns0:c r="M34" s="4" t="n">
        <ns0:v>750</ns0:v>
      </ns0:c>
      <ns0:c r="N34" s="4" t="n">
        <ns0:v>1000</ns0:v>
      </ns0:c>
      <ns0:c r="O34" s="9">
        <ns0:f>ROUND(L34/Assumptions!$B$2,0)</ns0:f>
        <ns0:v>0</ns0:v>
      </ns0:c>
      <ns0:c r="P34" s="9">
        <ns0:f>ROUND(M34/Assumptions!$B$2,0)</ns0:f>
        <ns0:v>104</ns0:v>
      </ns0:c>
      <ns0:c r="Q34" s="9">
        <ns0:f>ROUND(N34/Assumptions!$B$2,0)</ns0:f>
        <ns0:v>139</ns0:v>
      </ns0:c>
      <ns0:c r="R34" s="4">
        <ns0:f>COUNTIF(RawData[Script ID],A34)</ns0:f>
        <ns0:v>1</ns0:v>
      </ns0:c>
      <ns0:c r="S34" s="9">
        <ns0:f>SUMIF(RawData[Script ID],A34,RawData[Estimated Contribution])</ns0:f>
        <ns0:v>324.0</ns0:v>
      </ns0:c>
      <ns0:c r="T34" s="9">
        <ns0:f>S34-O34</ns0:f>
        <ns0:v>324.0</ns0:v>
      </ns0:c>
      <ns0:c r="U34" s="9">
        <ns0:f>S34-P34</ns0:f>
        <ns0:v>220.0</ns0:v>
      </ns0:c>
      <ns0:c r="V34" s="9">
        <ns0:f>S34-Q34</ns0:f>
        <ns0:v>185.0</ns0:v>
      </ns0:c>
      <ns0:c r="W34" s="4" t="str">
        <ns0:f>IF(R34=0,"Not Opened",IF(V34&gt;=0,"Recovered - All Scenarios",IF(U34&gt;=0,"Recovered - Low &amp; Base",IF(T34&gt;=0,"Recovered - Low Only","Not Recovered"))))</ns0:f>
        <ns0:v>Recovered - All Scenarios</ns0:v>
      </ns0:c>
      <ns0:c r="X34" s="9">
        <ns0:f>IF(R34=0,0,S34/R34)</ns0:f>
        <ns0:v>324.0</ns0:v>
      </ns0:c>
      <ns0:c r="Y34" s="4">
        <ns0:f>R34</ns0:f>
        <ns0:v>1</ns0:v>
      </ns0:c>
      <ns0:c r="Z34" s="9">
        <ns0:f>IF(R34=0,"",S34/R34)</ns0:f>
        <ns0:v>324.0</ns0:v>
      </ns0:c>
      <ns0:c r="AA34" s="4" t="str">
        <ns0:f>IF(R34=0,"Not Opened",IF(R34&gt;=Assumptions!$B$3,"High Frequency","Low Frequency")&amp;" / "&amp;IF(X34&gt;=Assumptions!$B$4,"High Contribution","Low Contribution"))</ns0:f>
        <ns0:v>Low Frequency / Low Contribution</ns0:v>
      </ns0:c>
    </ns0:row>
    <ns0:row r="35">
      <ns0:c r="A35" s="4" t="inlineStr">
        <ns0:is>
          <ns0:t>SYN-034</ns0:t>
        </ns0:is>
      </ns0:c>
      <ns0:c r="B35" s="4" t="inlineStr">
        <ns0:is>
          <ns0:t>Synthetic Script 034</ns0:t>
        </ns0:is>
      </ns0:c>
      <ns0:c r="C35" s="4" t="inlineStr">
        <ns0:is>
          <ns0:t>欢乐</ns0:t>
        </ns0:is>
      </ns0:c>
      <ns0:c r="D35" s="4" t="n">
        <ns0:v>3</ns0:v>
      </ns0:c>
      <ns0:c r="E35" s="4" t="n">
        <ns0:v>7</ns0:v>
      </ns0:c>
      <ns0:c r="F35" s="9" t="n">
        <ns0:v>109</ns0:v>
      </ns0:c>
      <ns0:c r="G35" s="9">
        <ns0:f>E35*F35</ns0:f>
        <ns0:v>763</ns0:v>
      </ns0:c>
      <ns0:c r="H35" s="9" t="n">
        <ns0:v>200</ns0:v>
      </ns0:c>
      <ns0:c r="I35" s="4" t="inlineStr">
        <ns0:is>
          <ns0:t>独家</ns0:t>
        </ns0:is>
      </ns0:c>
      <ns0:c r="J35" s="9">
        <ns0:f>G35-H35</ns0:f>
        <ns0:v>563</ns0:v>
      </ns0:c>
      <ns0:c r="K35" s="4" t="n">
        <ns0:v>7</ns0:v>
      </ns0:c>
      <ns0:c r="L35" s="4" t="n">
        <ns0:v>2500</ns0:v>
      </ns0:c>
      <ns0:c r="M35" s="4" t="n">
        <ns0:v>3000</ns0:v>
      </ns0:c>
      <ns0:c r="N35" s="4" t="n">
        <ns0:v>3500</ns0:v>
      </ns0:c>
      <ns0:c r="O35" s="9">
        <ns0:f>ROUND(L35/Assumptions!$B$2,0)</ns0:f>
        <ns0:v>347</ns0:v>
      </ns0:c>
      <ns0:c r="P35" s="9">
        <ns0:f>ROUND(M35/Assumptions!$B$2,0)</ns0:f>
        <ns0:v>417</ns0:v>
      </ns0:c>
      <ns0:c r="Q35" s="9">
        <ns0:f>ROUND(N35/Assumptions!$B$2,0)</ns0:f>
        <ns0:v>486</ns0:v>
      </ns0:c>
      <ns0:c r="R35" s="4">
        <ns0:f>COUNTIF(RawData[Script ID],A35)</ns0:f>
        <ns0:v>2</ns0:v>
      </ns0:c>
      <ns0:c r="S35" s="9">
        <ns0:f>SUMIF(RawData[Script ID],A35,RawData[Estimated Contribution])</ns0:f>
        <ns0:v>1126.0</ns0:v>
      </ns0:c>
      <ns0:c r="T35" s="9">
        <ns0:f>S35-O35</ns0:f>
        <ns0:v>779.0</ns0:v>
      </ns0:c>
      <ns0:c r="U35" s="9">
        <ns0:f>S35-P35</ns0:f>
        <ns0:v>709.0</ns0:v>
      </ns0:c>
      <ns0:c r="V35" s="9">
        <ns0:f>S35-Q35</ns0:f>
        <ns0:v>640.0</ns0:v>
      </ns0:c>
      <ns0:c r="W35" s="4" t="str">
        <ns0:f>IF(R35=0,"Not Opened",IF(V35&gt;=0,"Recovered - All Scenarios",IF(U35&gt;=0,"Recovered - Low &amp; Base",IF(T35&gt;=0,"Recovered - Low Only","Not Recovered"))))</ns0:f>
        <ns0:v>Recovered - All Scenarios</ns0:v>
      </ns0:c>
      <ns0:c r="X35" s="9">
        <ns0:f>IF(R35=0,0,S35/R35)</ns0:f>
        <ns0:v>563.0</ns0:v>
      </ns0:c>
      <ns0:c r="Y35" s="4">
        <ns0:f>R35</ns0:f>
        <ns0:v>2</ns0:v>
      </ns0:c>
      <ns0:c r="Z35" s="9">
        <ns0:f>IF(R35=0,"",S35/R35)</ns0:f>
        <ns0:v>563.0</ns0:v>
      </ns0:c>
      <ns0:c r="AA35" s="4" t="str">
        <ns0:f>IF(R35=0,"Not Opened",IF(R35&gt;=Assumptions!$B$3,"High Frequency","Low Frequency")&amp;" / "&amp;IF(X35&gt;=Assumptions!$B$4,"High Contribution","Low Contribution"))</ns0:f>
        <ns0:v>High Frequency / High Contribution</ns0:v>
      </ns0:c>
    </ns0:row>
    <ns0:row r="36">
      <ns0:c r="A36" s="4" t="inlineStr">
        <ns0:is>
          <ns0:t>SYN-035</ns0:t>
        </ns0:is>
      </ns0:c>
      <ns0:c r="B36" s="4" t="inlineStr">
        <ns0:is>
          <ns0:t>Synthetic Script 035</ns0:t>
        </ns0:is>
      </ns0:c>
      <ns0:c r="C36" s="4" t="inlineStr">
        <ns0:is>
          <ns0:t>推理</ns0:t>
        </ns0:is>
      </ns0:c>
      <ns0:c r="D36" s="4" t="n">
        <ns0:v>2</ns0:v>
      </ns0:c>
      <ns0:c r="E36" s="4" t="n">
        <ns0:v>8</ns0:v>
      </ns0:c>
      <ns0:c r="F36" s="9" t="n">
        <ns0:v>95</ns0:v>
      </ns0:c>
      <ns0:c r="G36" s="9">
        <ns0:f>E36*F36</ns0:f>
        <ns0:v>760</ns0:v>
      </ns0:c>
      <ns0:c r="H36" s="9" t="n">
        <ns0:v>200</ns0:v>
      </ns0:c>
      <ns0:c r="I36" s="4" t="inlineStr">
        <ns0:is>
          <ns0:t>城限</ns0:t>
        </ns0:is>
      </ns0:c>
      <ns0:c r="J36" s="9">
        <ns0:f>G36-H36</ns0:f>
        <ns0:v>560</ns0:v>
      </ns0:c>
      <ns0:c r="K36" s="4" t="n">
        <ns0:v>7.7</ns0:v>
      </ns0:c>
      <ns0:c r="L36" s="4" t="n">
        <ns0:v>1500</ns0:v>
      </ns0:c>
      <ns0:c r="M36" s="4" t="n">
        <ns0:v>2000</ns0:v>
      </ns0:c>
      <ns0:c r="N36" s="4" t="n">
        <ns0:v>2500</ns0:v>
      </ns0:c>
      <ns0:c r="O36" s="9">
        <ns0:f>ROUND(L36/Assumptions!$B$2,0)</ns0:f>
        <ns0:v>208</ns0:v>
      </ns0:c>
      <ns0:c r="P36" s="9">
        <ns0:f>ROUND(M36/Assumptions!$B$2,0)</ns0:f>
        <ns0:v>278</ns0:v>
      </ns0:c>
      <ns0:c r="Q36" s="9">
        <ns0:f>ROUND(N36/Assumptions!$B$2,0)</ns0:f>
        <ns0:v>347</ns0:v>
      </ns0:c>
      <ns0:c r="R36" s="4">
        <ns0:f>COUNTIF(RawData[Script ID],A36)</ns0:f>
        <ns0:v>7</ns0:v>
      </ns0:c>
      <ns0:c r="S36" s="9">
        <ns0:f>SUMIF(RawData[Script ID],A36,RawData[Estimated Contribution])</ns0:f>
        <ns0:v>3920.0</ns0:v>
      </ns0:c>
      <ns0:c r="T36" s="9">
        <ns0:f>S36-O36</ns0:f>
        <ns0:v>3712.0</ns0:v>
      </ns0:c>
      <ns0:c r="U36" s="9">
        <ns0:f>S36-P36</ns0:f>
        <ns0:v>3642.0</ns0:v>
      </ns0:c>
      <ns0:c r="V36" s="9">
        <ns0:f>S36-Q36</ns0:f>
        <ns0:v>3573.0</ns0:v>
      </ns0:c>
      <ns0:c r="W36" s="4" t="str">
        <ns0:f>IF(R36=0,"Not Opened",IF(V36&gt;=0,"Recovered - All Scenarios",IF(U36&gt;=0,"Recovered - Low &amp; Base",IF(T36&gt;=0,"Recovered - Low Only","Not Recovered"))))</ns0:f>
        <ns0:v>Recovered - All Scenarios</ns0:v>
      </ns0:c>
      <ns0:c r="X36" s="9">
        <ns0:f>IF(R36=0,0,S36/R36)</ns0:f>
        <ns0:v>560.0</ns0:v>
      </ns0:c>
      <ns0:c r="Y36" s="4">
        <ns0:f>R36</ns0:f>
        <ns0:v>7</ns0:v>
      </ns0:c>
      <ns0:c r="Z36" s="9">
        <ns0:f>IF(R36=0,"",S36/R36)</ns0:f>
        <ns0:v>560.0</ns0:v>
      </ns0:c>
      <ns0:c r="AA36" s="4" t="str">
        <ns0:f>IF(R36=0,"Not Opened",IF(R36&gt;=Assumptions!$B$3,"High Frequency","Low Frequency")&amp;" / "&amp;IF(X36&gt;=Assumptions!$B$4,"High Contribution","Low Contribution"))</ns0:f>
        <ns0:v>High Frequency / High Contribution</ns0:v>
      </ns0:c>
    </ns0:row>
    <ns0:row r="37">
      <ns0:c r="A37" s="4" t="inlineStr">
        <ns0:is>
          <ns0:t>SYN-036</ns0:t>
        </ns0:is>
      </ns0:c>
      <ns0:c r="B37" s="4" t="inlineStr">
        <ns0:is>
          <ns0:t>Synthetic Script 036</ns0:t>
        </ns0:is>
      </ns0:c>
      <ns0:c r="C37" s="4" t="inlineStr">
        <ns0:is>
          <ns0:t>情感</ns0:t>
        </ns0:is>
      </ns0:c>
      <ns0:c r="D37" s="4" t="n">
        <ns0:v>2</ns0:v>
      </ns0:c>
      <ns0:c r="E37" s="4" t="n">
        <ns0:v>6</ns0:v>
      </ns0:c>
      <ns0:c r="F37" s="9" t="n">
        <ns0:v>138</ns0:v>
      </ns0:c>
      <ns0:c r="G37" s="9">
        <ns0:f>E37*F37</ns0:f>
        <ns0:v>828</ns0:v>
      </ns0:c>
      <ns0:c r="H37" s="9" t="n">
        <ns0:v>180</ns0:v>
      </ns0:c>
      <ns0:c r="I37" s="4" t="inlineStr">
        <ns0:is>
          <ns0:t>盒装</ns0:t>
        </ns0:is>
      </ns0:c>
      <ns0:c r="J37" s="9">
        <ns0:f>G37-H37</ns0:f>
        <ns0:v>648</ns0:v>
      </ns0:c>
      <ns0:c r="K37" s="4" t="n">
        <ns0:v>8.4</ns0:v>
      </ns0:c>
      <ns0:c r="L37" s="4" t="n">
        <ns0:v>0</ns0:v>
      </ns0:c>
      <ns0:c r="M37" s="4" t="n">
        <ns0:v>750</ns0:v>
      </ns0:c>
      <ns0:c r="N37" s="4" t="n">
        <ns0:v>1000</ns0:v>
      </ns0:c>
      <ns0:c r="O37" s="9">
        <ns0:f>ROUND(L37/Assumptions!$B$2,0)</ns0:f>
        <ns0:v>0</ns0:v>
      </ns0:c>
      <ns0:c r="P37" s="9">
        <ns0:f>ROUND(M37/Assumptions!$B$2,0)</ns0:f>
        <ns0:v>104</ns0:v>
      </ns0:c>
      <ns0:c r="Q37" s="9">
        <ns0:f>ROUND(N37/Assumptions!$B$2,0)</ns0:f>
        <ns0:v>139</ns0:v>
      </ns0:c>
      <ns0:c r="R37" s="4">
        <ns0:f>COUNTIF(RawData[Script ID],A37)</ns0:f>
        <ns0:v>1</ns0:v>
      </ns0:c>
      <ns0:c r="S37" s="9">
        <ns0:f>SUMIF(RawData[Script ID],A37,RawData[Estimated Contribution])</ns0:f>
        <ns0:v>648.0</ns0:v>
      </ns0:c>
      <ns0:c r="T37" s="9">
        <ns0:f>S37-O37</ns0:f>
        <ns0:v>648.0</ns0:v>
      </ns0:c>
      <ns0:c r="U37" s="9">
        <ns0:f>S37-P37</ns0:f>
        <ns0:v>544.0</ns0:v>
      </ns0:c>
      <ns0:c r="V37" s="9">
        <ns0:f>S37-Q37</ns0:f>
        <ns0:v>509.0</ns0:v>
      </ns0:c>
      <ns0:c r="W37" s="4" t="str">
        <ns0:f>IF(R37=0,"Not Opened",IF(V37&gt;=0,"Recovered - All Scenarios",IF(U37&gt;=0,"Recovered - Low &amp; Base",IF(T37&gt;=0,"Recovered - Low Only","Not Recovered"))))</ns0:f>
        <ns0:v>Recovered - All Scenarios</ns0:v>
      </ns0:c>
      <ns0:c r="X37" s="9">
        <ns0:f>IF(R37=0,0,S37/R37)</ns0:f>
        <ns0:v>648.0</ns0:v>
      </ns0:c>
      <ns0:c r="Y37" s="4">
        <ns0:f>R37</ns0:f>
        <ns0:v>1</ns0:v>
      </ns0:c>
      <ns0:c r="Z37" s="9">
        <ns0:f>IF(R37=0,"",S37/R37)</ns0:f>
        <ns0:v>648.0</ns0:v>
      </ns0:c>
      <ns0:c r="AA37" s="4" t="str">
        <ns0:f>IF(R37=0,"Not Opened",IF(R37&gt;=Assumptions!$B$3,"High Frequency","Low Frequency")&amp;" / "&amp;IF(X37&gt;=Assumptions!$B$4,"High Contribution","Low Contribution"))</ns0:f>
        <ns0:v>Low Frequency / High Contribution</ns0:v>
      </ns0:c>
    </ns0:row>
    <ns0:row r="38">
      <ns0:c r="A38" s="4" t="inlineStr">
        <ns0:is>
          <ns0:t>SYN-037</ns0:t>
        </ns0:is>
      </ns0:c>
      <ns0:c r="B38" s="4" t="inlineStr">
        <ns0:is>
          <ns0:t>Synthetic Script 037</ns0:t>
        </ns0:is>
      </ns0:c>
      <ns0:c r="C38" s="4" t="inlineStr">
        <ns0:is>
          <ns0:t>机制</ns0:t>
        </ns0:is>
      </ns0:c>
      <ns0:c r="D38" s="4" t="n">
        <ns0:v>1</ns0:v>
      </ns0:c>
      <ns0:c r="E38" s="4" t="n">
        <ns0:v>6</ns0:v>
      </ns0:c>
      <ns0:c r="F38" s="9" t="n">
        <ns0:v>109</ns0:v>
      </ns0:c>
      <ns0:c r="G38" s="9">
        <ns0:f>E38*F38</ns0:f>
        <ns0:v>654</ns0:v>
      </ns0:c>
      <ns0:c r="H38" s="9" t="n">
        <ns0:v>172</ns0:v>
      </ns0:c>
      <ns0:c r="I38" s="4" t="inlineStr">
        <ns0:is>
          <ns0:t>城限</ns0:t>
        </ns0:is>
      </ns0:c>
      <ns0:c r="J38" s="9">
        <ns0:f>G38-H38</ns0:f>
        <ns0:v>482</ns0:v>
      </ns0:c>
      <ns0:c r="K38" s="4" t="n">
        <ns0:v>7</ns0:v>
      </ns0:c>
      <ns0:c r="L38" s="4" t="n">
        <ns0:v>1500</ns0:v>
      </ns0:c>
      <ns0:c r="M38" s="4" t="n">
        <ns0:v>2000</ns0:v>
      </ns0:c>
      <ns0:c r="N38" s="4" t="n">
        <ns0:v>2500</ns0:v>
      </ns0:c>
      <ns0:c r="O38" s="9">
        <ns0:f>ROUND(L38/Assumptions!$B$2,0)</ns0:f>
        <ns0:v>208</ns0:v>
      </ns0:c>
      <ns0:c r="P38" s="9">
        <ns0:f>ROUND(M38/Assumptions!$B$2,0)</ns0:f>
        <ns0:v>278</ns0:v>
      </ns0:c>
      <ns0:c r="Q38" s="9">
        <ns0:f>ROUND(N38/Assumptions!$B$2,0)</ns0:f>
        <ns0:v>347</ns0:v>
      </ns0:c>
      <ns0:c r="R38" s="4">
        <ns0:f>COUNTIF(RawData[Script ID],A38)</ns0:f>
        <ns0:v>3</ns0:v>
      </ns0:c>
      <ns0:c r="S38" s="9">
        <ns0:f>SUMIF(RawData[Script ID],A38,RawData[Estimated Contribution])</ns0:f>
        <ns0:v>1446.0</ns0:v>
      </ns0:c>
      <ns0:c r="T38" s="9">
        <ns0:f>S38-O38</ns0:f>
        <ns0:v>1238.0</ns0:v>
      </ns0:c>
      <ns0:c r="U38" s="9">
        <ns0:f>S38-P38</ns0:f>
        <ns0:v>1168.0</ns0:v>
      </ns0:c>
      <ns0:c r="V38" s="9">
        <ns0:f>S38-Q38</ns0:f>
        <ns0:v>1099.0</ns0:v>
      </ns0:c>
      <ns0:c r="W38" s="4" t="str">
        <ns0:f>IF(R38=0,"Not Opened",IF(V38&gt;=0,"Recovered - All Scenarios",IF(U38&gt;=0,"Recovered - Low &amp; Base",IF(T38&gt;=0,"Recovered - Low Only","Not Recovered"))))</ns0:f>
        <ns0:v>Recovered - All Scenarios</ns0:v>
      </ns0:c>
      <ns0:c r="X38" s="9">
        <ns0:f>IF(R38=0,0,S38/R38)</ns0:f>
        <ns0:v>482.0</ns0:v>
      </ns0:c>
      <ns0:c r="Y38" s="4">
        <ns0:f>R38</ns0:f>
        <ns0:v>3</ns0:v>
      </ns0:c>
      <ns0:c r="Z38" s="9">
        <ns0:f>IF(R38=0,"",S38/R38)</ns0:f>
        <ns0:v>482.0</ns0:v>
      </ns0:c>
      <ns0:c r="AA38" s="4" t="str">
        <ns0:f>IF(R38=0,"Not Opened",IF(R38&gt;=Assumptions!$B$3,"High Frequency","Low Frequency")&amp;" / "&amp;IF(X38&gt;=Assumptions!$B$4,"High Contribution","Low Contribution"))</ns0:f>
        <ns0:v>High Frequency / Low Contribution</ns0:v>
      </ns0:c>
    </ns0:row>
    <ns0:row r="39">
      <ns0:c r="A39" s="4" t="inlineStr">
        <ns0:is>
          <ns0:t>SYN-038</ns0:t>
        </ns0:is>
      </ns0:c>
      <ns0:c r="B39" s="4" t="inlineStr">
        <ns0:is>
          <ns0:t>Synthetic Script 038</ns0:t>
        </ns0:is>
      </ns0:c>
      <ns0:c r="C39" s="4" t="inlineStr">
        <ns0:is>
          <ns0:t>推理</ns0:t>
        </ns0:is>
      </ns0:c>
      <ns0:c r="D39" s="4" t="n">
        <ns0:v>1</ns0:v>
      </ns0:c>
      <ns0:c r="E39" s="4" t="n">
        <ns0:v>6</ns0:v>
      </ns0:c>
      <ns0:c r="F39" s="9" t="n">
        <ns0:v>75</ns0:v>
      </ns0:c>
      <ns0:c r="G39" s="9">
        <ns0:f>E39*F39</ns0:f>
        <ns0:v>450</ns0:v>
      </ns0:c>
      <ns0:c r="H39" s="9" t="n">
        <ns0:v>118</ns0:v>
      </ns0:c>
      <ns0:c r="I39" s="4" t="inlineStr">
        <ns0:is>
          <ns0:t>盒装</ns0:t>
        </ns0:is>
      </ns0:c>
      <ns0:c r="J39" s="9">
        <ns0:f>G39-H39</ns0:f>
        <ns0:v>332</ns0:v>
      </ns0:c>
      <ns0:c r="K39" s="4" t="n">
        <ns0:v>7.7</ns0:v>
      </ns0:c>
      <ns0:c r="L39" s="4" t="n">
        <ns0:v>0</ns0:v>
      </ns0:c>
      <ns0:c r="M39" s="4" t="n">
        <ns0:v>750</ns0:v>
      </ns0:c>
      <ns0:c r="N39" s="4" t="n">
        <ns0:v>1000</ns0:v>
      </ns0:c>
      <ns0:c r="O39" s="9">
        <ns0:f>ROUND(L39/Assumptions!$B$2,0)</ns0:f>
        <ns0:v>0</ns0:v>
      </ns0:c>
      <ns0:c r="P39" s="9">
        <ns0:f>ROUND(M39/Assumptions!$B$2,0)</ns0:f>
        <ns0:v>104</ns0:v>
      </ns0:c>
      <ns0:c r="Q39" s="9">
        <ns0:f>ROUND(N39/Assumptions!$B$2,0)</ns0:f>
        <ns0:v>139</ns0:v>
      </ns0:c>
      <ns0:c r="R39" s="4">
        <ns0:f>COUNTIF(RawData[Script ID],A39)</ns0:f>
        <ns0:v>10</ns0:v>
      </ns0:c>
      <ns0:c r="S39" s="9">
        <ns0:f>SUMIF(RawData[Script ID],A39,RawData[Estimated Contribution])</ns0:f>
        <ns0:v>3320.0</ns0:v>
      </ns0:c>
      <ns0:c r="T39" s="9">
        <ns0:f>S39-O39</ns0:f>
        <ns0:v>3320.0</ns0:v>
      </ns0:c>
      <ns0:c r="U39" s="9">
        <ns0:f>S39-P39</ns0:f>
        <ns0:v>3216.0</ns0:v>
      </ns0:c>
      <ns0:c r="V39" s="9">
        <ns0:f>S39-Q39</ns0:f>
        <ns0:v>3181.0</ns0:v>
      </ns0:c>
      <ns0:c r="W39" s="4" t="str">
        <ns0:f>IF(R39=0,"Not Opened",IF(V39&gt;=0,"Recovered - All Scenarios",IF(U39&gt;=0,"Recovered - Low &amp; Base",IF(T39&gt;=0,"Recovered - Low Only","Not Recovered"))))</ns0:f>
        <ns0:v>Recovered - All Scenarios</ns0:v>
      </ns0:c>
      <ns0:c r="X39" s="9">
        <ns0:f>IF(R39=0,0,S39/R39)</ns0:f>
        <ns0:v>332.0</ns0:v>
      </ns0:c>
      <ns0:c r="Y39" s="4">
        <ns0:f>R39</ns0:f>
        <ns0:v>10</ns0:v>
      </ns0:c>
      <ns0:c r="Z39" s="9">
        <ns0:f>IF(R39=0,"",S39/R39)</ns0:f>
        <ns0:v>332.0</ns0:v>
      </ns0:c>
      <ns0:c r="AA39" s="4" t="str">
        <ns0:f>IF(R39=0,"Not Opened",IF(R39&gt;=Assumptions!$B$3,"High Frequency","Low Frequency")&amp;" / "&amp;IF(X39&gt;=Assumptions!$B$4,"High Contribution","Low Contribution"))</ns0:f>
        <ns0:v>High Frequency / Low Contribution</ns0:v>
      </ns0:c>
    </ns0:row>
    <ns0:row r="40">
      <ns0:c r="A40" s="4" t="inlineStr">
        <ns0:is>
          <ns0:t>SYN-039</ns0:t>
        </ns0:is>
      </ns0:c>
      <ns0:c r="B40" s="4" t="inlineStr">
        <ns0:is>
          <ns0:t>Synthetic Script 039</ns0:t>
        </ns0:is>
      </ns0:c>
      <ns0:c r="C40" s="4" t="inlineStr">
        <ns0:is>
          <ns0:t>欢乐</ns0:t>
        </ns0:is>
      </ns0:c>
      <ns0:c r="D40" s="4" t="n">
        <ns0:v>3</ns0:v>
      </ns0:c>
      <ns0:c r="E40" s="4" t="n">
        <ns0:v>7</ns0:v>
      </ns0:c>
      <ns0:c r="F40" s="9" t="n">
        <ns0:v>118</ns0:v>
      </ns0:c>
      <ns0:c r="G40" s="9">
        <ns0:f>E40*F40</ns0:f>
        <ns0:v>826</ns0:v>
      </ns0:c>
      <ns0:c r="H40" s="9" t="n">
        <ns0:v>217</ns0:v>
      </ns0:c>
      <ns0:c r="I40" s="4" t="inlineStr">
        <ns0:is>
          <ns0:t>独家</ns0:t>
        </ns0:is>
      </ns0:c>
      <ns0:c r="J40" s="9">
        <ns0:f>G40-H40</ns0:f>
        <ns0:v>609</ns0:v>
      </ns0:c>
      <ns0:c r="K40" s="4" t="n">
        <ns0:v>8.4</ns0:v>
      </ns0:c>
      <ns0:c r="L40" s="4" t="n">
        <ns0:v>2500</ns0:v>
      </ns0:c>
      <ns0:c r="M40" s="4" t="n">
        <ns0:v>3000</ns0:v>
      </ns0:c>
      <ns0:c r="N40" s="4" t="n">
        <ns0:v>3500</ns0:v>
      </ns0:c>
      <ns0:c r="O40" s="9">
        <ns0:f>ROUND(L40/Assumptions!$B$2,0)</ns0:f>
        <ns0:v>347</ns0:v>
      </ns0:c>
      <ns0:c r="P40" s="9">
        <ns0:f>ROUND(M40/Assumptions!$B$2,0)</ns0:f>
        <ns0:v>417</ns0:v>
      </ns0:c>
      <ns0:c r="Q40" s="9">
        <ns0:f>ROUND(N40/Assumptions!$B$2,0)</ns0:f>
        <ns0:v>486</ns0:v>
      </ns0:c>
      <ns0:c r="R40" s="4">
        <ns0:f>COUNTIF(RawData[Script ID],A40)</ns0:f>
        <ns0:v>1</ns0:v>
      </ns0:c>
      <ns0:c r="S40" s="9">
        <ns0:f>SUMIF(RawData[Script ID],A40,RawData[Estimated Contribution])</ns0:f>
        <ns0:v>609.0</ns0:v>
      </ns0:c>
      <ns0:c r="T40" s="9">
        <ns0:f>S40-O40</ns0:f>
        <ns0:v>262.0</ns0:v>
      </ns0:c>
      <ns0:c r="U40" s="9">
        <ns0:f>S40-P40</ns0:f>
        <ns0:v>192.0</ns0:v>
      </ns0:c>
      <ns0:c r="V40" s="9">
        <ns0:f>S40-Q40</ns0:f>
        <ns0:v>123.0</ns0:v>
      </ns0:c>
      <ns0:c r="W40" s="4" t="str">
        <ns0:f>IF(R40=0,"Not Opened",IF(V40&gt;=0,"Recovered - All Scenarios",IF(U40&gt;=0,"Recovered - Low &amp; Base",IF(T40&gt;=0,"Recovered - Low Only","Not Recovered"))))</ns0:f>
        <ns0:v>Recovered - All Scenarios</ns0:v>
      </ns0:c>
      <ns0:c r="X40" s="9">
        <ns0:f>IF(R40=0,0,S40/R40)</ns0:f>
        <ns0:v>609.0</ns0:v>
      </ns0:c>
      <ns0:c r="Y40" s="4">
        <ns0:f>R40</ns0:f>
        <ns0:v>1</ns0:v>
      </ns0:c>
      <ns0:c r="Z40" s="9">
        <ns0:f>IF(R40=0,"",S40/R40)</ns0:f>
        <ns0:v>609.0</ns0:v>
      </ns0:c>
      <ns0:c r="AA40" s="4" t="str">
        <ns0:f>IF(R40=0,"Not Opened",IF(R40&gt;=Assumptions!$B$3,"High Frequency","Low Frequency")&amp;" / "&amp;IF(X40&gt;=Assumptions!$B$4,"High Contribution","Low Contribution"))</ns0:f>
        <ns0:v>Low Frequency / High Contribution</ns0:v>
      </ns0:c>
    </ns0:row>
    <ns0:row r="41">
      <ns0:c r="A41" s="4" t="inlineStr">
        <ns0:is>
          <ns0:t>SYN-040</ns0:t>
        </ns0:is>
      </ns0:c>
      <ns0:c r="B41" s="4" t="inlineStr">
        <ns0:is>
          <ns0:t>Synthetic Script 040</ns0:t>
        </ns0:is>
      </ns0:c>
      <ns0:c r="C41" s="4" t="inlineStr">
        <ns0:is>
          <ns0:t>情感</ns0:t>
        </ns0:is>
      </ns0:c>
      <ns0:c r="D41" s="4" t="n">
        <ns0:v>6</ns0:v>
      </ns0:c>
      <ns0:c r="E41" s="4" t="n">
        <ns0:v>8</ns0:v>
      </ns0:c>
      <ns0:c r="F41" s="9" t="n">
        <ns0:v>138</ns0:v>
      </ns0:c>
      <ns0:c r="G41" s="9">
        <ns0:f>E41*F41</ns0:f>
        <ns0:v>1104</ns0:v>
      </ns0:c>
      <ns0:c r="H41" s="9" t="n">
        <ns0:v>540</ns0:v>
      </ns0:c>
      <ns0:c r="I41" s="4" t="inlineStr">
        <ns0:is>
          <ns0:t>盒装</ns0:t>
        </ns0:is>
      </ns0:c>
      <ns0:c r="J41" s="9">
        <ns0:f>G41-H41</ns0:f>
        <ns0:v>564</ns0:v>
      </ns0:c>
      <ns0:c r="K41" s="4" t="n">
        <ns0:v>7</ns0:v>
      </ns0:c>
      <ns0:c r="L41" s="4" t="n">
        <ns0:v>0</ns0:v>
      </ns0:c>
      <ns0:c r="M41" s="4" t="n">
        <ns0:v>750</ns0:v>
      </ns0:c>
      <ns0:c r="N41" s="4" t="n">
        <ns0:v>1000</ns0:v>
      </ns0:c>
      <ns0:c r="O41" s="9">
        <ns0:f>ROUND(L41/Assumptions!$B$2,0)</ns0:f>
        <ns0:v>0</ns0:v>
      </ns0:c>
      <ns0:c r="P41" s="9">
        <ns0:f>ROUND(M41/Assumptions!$B$2,0)</ns0:f>
        <ns0:v>104</ns0:v>
      </ns0:c>
      <ns0:c r="Q41" s="9">
        <ns0:f>ROUND(N41/Assumptions!$B$2,0)</ns0:f>
        <ns0:v>139</ns0:v>
      </ns0:c>
      <ns0:c r="R41" s="4">
        <ns0:f>COUNTIF(RawData[Script ID],A41)</ns0:f>
        <ns0:v>3</ns0:v>
      </ns0:c>
      <ns0:c r="S41" s="9">
        <ns0:f>SUMIF(RawData[Script ID],A41,RawData[Estimated Contribution])</ns0:f>
        <ns0:v>1692.0</ns0:v>
      </ns0:c>
      <ns0:c r="T41" s="9">
        <ns0:f>S41-O41</ns0:f>
        <ns0:v>1692.0</ns0:v>
      </ns0:c>
      <ns0:c r="U41" s="9">
        <ns0:f>S41-P41</ns0:f>
        <ns0:v>1588.0</ns0:v>
      </ns0:c>
      <ns0:c r="V41" s="9">
        <ns0:f>S41-Q41</ns0:f>
        <ns0:v>1553.0</ns0:v>
      </ns0:c>
      <ns0:c r="W41" s="4" t="str">
        <ns0:f>IF(R41=0,"Not Opened",IF(V41&gt;=0,"Recovered - All Scenarios",IF(U41&gt;=0,"Recovered - Low &amp; Base",IF(T41&gt;=0,"Recovered - Low Only","Not Recovered"))))</ns0:f>
        <ns0:v>Recovered - All Scenarios</ns0:v>
      </ns0:c>
      <ns0:c r="X41" s="9">
        <ns0:f>IF(R41=0,0,S41/R41)</ns0:f>
        <ns0:v>564.0</ns0:v>
      </ns0:c>
      <ns0:c r="Y41" s="4">
        <ns0:f>R41</ns0:f>
        <ns0:v>3</ns0:v>
      </ns0:c>
      <ns0:c r="Z41" s="9">
        <ns0:f>IF(R41=0,"",S41/R41)</ns0:f>
        <ns0:v>564.0</ns0:v>
      </ns0:c>
      <ns0:c r="AA41" s="4" t="str">
        <ns0:f>IF(R41=0,"Not Opened",IF(R41&gt;=Assumptions!$B$3,"High Frequency","Low Frequency")&amp;" / "&amp;IF(X41&gt;=Assumptions!$B$4,"High Contribution","Low Contribution"))</ns0:f>
        <ns0:v>High Frequency / High Contribution</ns0:v>
      </ns0:c>
    </ns0:row>
    <ns0:row r="42">
      <ns0:c r="A42" s="4" t="inlineStr">
        <ns0:is>
          <ns0:t>SYN-041</ns0:t>
        </ns0:is>
      </ns0:c>
      <ns0:c r="B42" s="4" t="inlineStr">
        <ns0:is>
          <ns0:t>Synthetic Script 041</ns0:t>
        </ns0:is>
      </ns0:c>
      <ns0:c r="C42" s="4" t="inlineStr">
        <ns0:is>
          <ns0:t>情感</ns0:t>
        </ns0:is>
      </ns0:c>
      <ns0:c r="D42" s="4" t="n">
        <ns0:v>2</ns0:v>
      </ns0:c>
      <ns0:c r="E42" s="4" t="n">
        <ns0:v>6</ns0:v>
      </ns0:c>
      <ns0:c r="F42" s="9" t="n">
        <ns0:v>99</ns0:v>
      </ns0:c>
      <ns0:c r="G42" s="9">
        <ns0:f>E42*F42</ns0:f>
        <ns0:v>594</ns0:v>
      </ns0:c>
      <ns0:c r="H42" s="9" t="n">
        <ns0:v>180</ns0:v>
      </ns0:c>
      <ns0:c r="I42" s="4" t="inlineStr">
        <ns0:is>
          <ns0:t>盒装</ns0:t>
        </ns0:is>
      </ns0:c>
      <ns0:c r="J42" s="9">
        <ns0:f>G42-H42</ns0:f>
        <ns0:v>414</ns0:v>
      </ns0:c>
      <ns0:c r="K42" s="4" t="n">
        <ns0:v>7.7</ns0:v>
      </ns0:c>
      <ns0:c r="L42" s="4" t="n">
        <ns0:v>0</ns0:v>
      </ns0:c>
      <ns0:c r="M42" s="4" t="n">
        <ns0:v>750</ns0:v>
      </ns0:c>
      <ns0:c r="N42" s="4" t="n">
        <ns0:v>1000</ns0:v>
      </ns0:c>
      <ns0:c r="O42" s="9">
        <ns0:f>ROUND(L42/Assumptions!$B$2,0)</ns0:f>
        <ns0:v>0</ns0:v>
      </ns0:c>
      <ns0:c r="P42" s="9">
        <ns0:f>ROUND(M42/Assumptions!$B$2,0)</ns0:f>
        <ns0:v>104</ns0:v>
      </ns0:c>
      <ns0:c r="Q42" s="9">
        <ns0:f>ROUND(N42/Assumptions!$B$2,0)</ns0:f>
        <ns0:v>139</ns0:v>
      </ns0:c>
      <ns0:c r="R42" s="4">
        <ns0:f>COUNTIF(RawData[Script ID],A42)</ns0:f>
        <ns0:v>0</ns0:v>
      </ns0:c>
      <ns0:c r="S42" s="9">
        <ns0:f>SUMIF(RawData[Script ID],A42,RawData[Estimated Contribution])</ns0:f>
        <ns0:v>0.0</ns0:v>
      </ns0:c>
      <ns0:c r="T42" s="9">
        <ns0:f>S42-O42</ns0:f>
        <ns0:v>0.0</ns0:v>
      </ns0:c>
      <ns0:c r="U42" s="9">
        <ns0:f>S42-P42</ns0:f>
        <ns0:v>-104.0</ns0:v>
      </ns0:c>
      <ns0:c r="V42" s="9">
        <ns0:f>S42-Q42</ns0:f>
        <ns0:v>-139.0</ns0:v>
      </ns0:c>
      <ns0:c r="W42" s="4" t="str">
        <ns0:f>IF(R42=0,"Not Opened",IF(V42&gt;=0,"Recovered - All Scenarios",IF(U42&gt;=0,"Recovered - Low &amp; Base",IF(T42&gt;=0,"Recovered - Low Only","Not Recovered"))))</ns0:f>
        <ns0:v>Not Opened</ns0:v>
      </ns0:c>
      <ns0:c r="X42" s="9">
        <ns0:f>IF(R42=0,0,S42/R42)</ns0:f>
        <ns0:v>0</ns0:v>
      </ns0:c>
      <ns0:c r="Y42" s="4">
        <ns0:f>R42</ns0:f>
        <ns0:v>0</ns0:v>
      </ns0:c>
      <ns0:c r="Z42" s="9" t="str">
        <ns0:f>IF(R42=0,"",S42/R42)</ns0:f>
        <ns0:v/>
      </ns0:c>
      <ns0:c r="AA42" s="4" t="str">
        <ns0:f>IF(R42=0,"Not Opened",IF(R42&gt;=Assumptions!$B$3,"High Frequency","Low Frequency")&amp;" / "&amp;IF(X42&gt;=Assumptions!$B$4,"High Contribution","Low Contribution"))</ns0:f>
        <ns0:v>Not Opened</ns0:v>
      </ns0:c>
    </ns0:row>
    <ns0:row r="43">
      <ns0:c r="A43" s="4" t="inlineStr">
        <ns0:is>
          <ns0:t>SYN-042</ns0:t>
        </ns0:is>
      </ns0:c>
      <ns0:c r="B43" s="4" t="inlineStr">
        <ns0:is>
          <ns0:t>Synthetic Script 042</ns0:t>
        </ns0:is>
      </ns0:c>
      <ns0:c r="C43" s="4" t="inlineStr">
        <ns0:is>
          <ns0:t>推理</ns0:t>
        </ns0:is>
      </ns0:c>
      <ns0:c r="D43" s="4" t="n">
        <ns0:v>1</ns0:v>
      </ns0:c>
      <ns0:c r="E43" s="4" t="n">
        <ns0:v>6</ns0:v>
      </ns0:c>
      <ns0:c r="F43" s="9" t="n">
        <ns0:v>75</ns0:v>
      </ns0:c>
      <ns0:c r="G43" s="9">
        <ns0:f>E43*F43</ns0:f>
        <ns0:v>450</ns0:v>
      </ns0:c>
      <ns0:c r="H43" s="9" t="n">
        <ns0:v>118</ns0:v>
      </ns0:c>
      <ns0:c r="I43" s="4" t="inlineStr">
        <ns0:is>
          <ns0:t>城限</ns0:t>
        </ns0:is>
      </ns0:c>
      <ns0:c r="J43" s="9">
        <ns0:f>G43-H43</ns0:f>
        <ns0:v>332</ns0:v>
      </ns0:c>
      <ns0:c r="K43" s="4" t="n">
        <ns0:v>8.4</ns0:v>
      </ns0:c>
      <ns0:c r="L43" s="4" t="n">
        <ns0:v>1500</ns0:v>
      </ns0:c>
      <ns0:c r="M43" s="4" t="n">
        <ns0:v>2000</ns0:v>
      </ns0:c>
      <ns0:c r="N43" s="4" t="n">
        <ns0:v>2500</ns0:v>
      </ns0:c>
      <ns0:c r="O43" s="9">
        <ns0:f>ROUND(L43/Assumptions!$B$2,0)</ns0:f>
        <ns0:v>208</ns0:v>
      </ns0:c>
      <ns0:c r="P43" s="9">
        <ns0:f>ROUND(M43/Assumptions!$B$2,0)</ns0:f>
        <ns0:v>278</ns0:v>
      </ns0:c>
      <ns0:c r="Q43" s="9">
        <ns0:f>ROUND(N43/Assumptions!$B$2,0)</ns0:f>
        <ns0:v>347</ns0:v>
      </ns0:c>
      <ns0:c r="R43" s="4">
        <ns0:f>COUNTIF(RawData[Script ID],A43)</ns0:f>
        <ns0:v>1</ns0:v>
      </ns0:c>
      <ns0:c r="S43" s="9">
        <ns0:f>SUMIF(RawData[Script ID],A43,RawData[Estimated Contribution])</ns0:f>
        <ns0:v>332.0</ns0:v>
      </ns0:c>
      <ns0:c r="T43" s="9">
        <ns0:f>S43-O43</ns0:f>
        <ns0:v>124.0</ns0:v>
      </ns0:c>
      <ns0:c r="U43" s="9">
        <ns0:f>S43-P43</ns0:f>
        <ns0:v>54.0</ns0:v>
      </ns0:c>
      <ns0:c r="V43" s="9">
        <ns0:f>S43-Q43</ns0:f>
        <ns0:v>-15.0</ns0:v>
      </ns0:c>
      <ns0:c r="W43" s="4" t="str">
        <ns0:f>IF(R43=0,"Not Opened",IF(V43&gt;=0,"Recovered - All Scenarios",IF(U43&gt;=0,"Recovered - Low &amp; Base",IF(T43&gt;=0,"Recovered - Low Only","Not Recovered"))))</ns0:f>
        <ns0:v>Recovered - Low &amp; Base</ns0:v>
      </ns0:c>
      <ns0:c r="X43" s="9">
        <ns0:f>IF(R43=0,0,S43/R43)</ns0:f>
        <ns0:v>332.0</ns0:v>
      </ns0:c>
      <ns0:c r="Y43" s="4">
        <ns0:f>R43</ns0:f>
        <ns0:v>1</ns0:v>
      </ns0:c>
      <ns0:c r="Z43" s="9">
        <ns0:f>IF(R43=0,"",S43/R43)</ns0:f>
        <ns0:v>332.0</ns0:v>
      </ns0:c>
      <ns0:c r="AA43" s="4" t="str">
        <ns0:f>IF(R43=0,"Not Opened",IF(R43&gt;=Assumptions!$B$3,"High Frequency","Low Frequency")&amp;" / "&amp;IF(X43&gt;=Assumptions!$B$4,"High Contribution","Low Contribution"))</ns0:f>
        <ns0:v>Low Frequency / Low Contribution</ns0:v>
      </ns0:c>
    </ns0:row>
    <ns0:row r="44">
      <ns0:c r="A44" s="4" t="inlineStr">
        <ns0:is>
          <ns0:t>SYN-043</ns0:t>
        </ns0:is>
      </ns0:c>
      <ns0:c r="B44" s="4" t="inlineStr">
        <ns0:is>
          <ns0:t>Synthetic Script 043</ns0:t>
        </ns0:is>
      </ns0:c>
      <ns0:c r="C44" s="4" t="inlineStr">
        <ns0:is>
          <ns0:t>情感</ns0:t>
        </ns0:is>
      </ns0:c>
      <ns0:c r="D44" s="4" t="n">
        <ns0:v>3</ns0:v>
      </ns0:c>
      <ns0:c r="E44" s="4" t="n">
        <ns0:v>6</ns0:v>
      </ns0:c>
      <ns0:c r="F44" s="9" t="n">
        <ns0:v>118</ns0:v>
      </ns0:c>
      <ns0:c r="G44" s="9">
        <ns0:f>E44*F44</ns0:f>
        <ns0:v>708</ns0:v>
      </ns0:c>
      <ns0:c r="H44" s="9" t="n">
        <ns0:v>270</ns0:v>
      </ns0:c>
      <ns0:c r="I44" s="4" t="inlineStr">
        <ns0:is>
          <ns0:t>盒装</ns0:t>
        </ns0:is>
      </ns0:c>
      <ns0:c r="J44" s="9">
        <ns0:f>G44-H44</ns0:f>
        <ns0:v>438</ns0:v>
      </ns0:c>
      <ns0:c r="K44" s="4" t="n">
        <ns0:v>7</ns0:v>
      </ns0:c>
      <ns0:c r="L44" s="4" t="n">
        <ns0:v>0</ns0:v>
      </ns0:c>
      <ns0:c r="M44" s="4" t="n">
        <ns0:v>750</ns0:v>
      </ns0:c>
      <ns0:c r="N44" s="4" t="n">
        <ns0:v>1000</ns0:v>
      </ns0:c>
      <ns0:c r="O44" s="9">
        <ns0:f>ROUND(L44/Assumptions!$B$2,0)</ns0:f>
        <ns0:v>0</ns0:v>
      </ns0:c>
      <ns0:c r="P44" s="9">
        <ns0:f>ROUND(M44/Assumptions!$B$2,0)</ns0:f>
        <ns0:v>104</ns0:v>
      </ns0:c>
      <ns0:c r="Q44" s="9">
        <ns0:f>ROUND(N44/Assumptions!$B$2,0)</ns0:f>
        <ns0:v>139</ns0:v>
      </ns0:c>
      <ns0:c r="R44" s="4">
        <ns0:f>COUNTIF(RawData[Script ID],A44)</ns0:f>
        <ns0:v>3</ns0:v>
      </ns0:c>
      <ns0:c r="S44" s="9">
        <ns0:f>SUMIF(RawData[Script ID],A44,RawData[Estimated Contribution])</ns0:f>
        <ns0:v>1314.0</ns0:v>
      </ns0:c>
      <ns0:c r="T44" s="9">
        <ns0:f>S44-O44</ns0:f>
        <ns0:v>1314.0</ns0:v>
      </ns0:c>
      <ns0:c r="U44" s="9">
        <ns0:f>S44-P44</ns0:f>
        <ns0:v>1210.0</ns0:v>
      </ns0:c>
      <ns0:c r="V44" s="9">
        <ns0:f>S44-Q44</ns0:f>
        <ns0:v>1175.0</ns0:v>
      </ns0:c>
      <ns0:c r="W44" s="4" t="str">
        <ns0:f>IF(R44=0,"Not Opened",IF(V44&gt;=0,"Recovered - All Scenarios",IF(U44&gt;=0,"Recovered - Low &amp; Base",IF(T44&gt;=0,"Recovered - Low Only","Not Recovered"))))</ns0:f>
        <ns0:v>Recovered - All Scenarios</ns0:v>
      </ns0:c>
      <ns0:c r="X44" s="9">
        <ns0:f>IF(R44=0,0,S44/R44)</ns0:f>
        <ns0:v>438.0</ns0:v>
      </ns0:c>
      <ns0:c r="Y44" s="4">
        <ns0:f>R44</ns0:f>
        <ns0:v>3</ns0:v>
      </ns0:c>
      <ns0:c r="Z44" s="9">
        <ns0:f>IF(R44=0,"",S44/R44)</ns0:f>
        <ns0:v>438.0</ns0:v>
      </ns0:c>
      <ns0:c r="AA44" s="4" t="str">
        <ns0:f>IF(R44=0,"Not Opened",IF(R44&gt;=Assumptions!$B$3,"High Frequency","Low Frequency")&amp;" / "&amp;IF(X44&gt;=Assumptions!$B$4,"High Contribution","Low Contribution"))</ns0:f>
        <ns0:v>High Frequency / Low Contribution</ns0:v>
      </ns0:c>
    </ns0:row>
    <ns0:row r="45">
      <ns0:c r="A45" s="4" t="inlineStr">
        <ns0:is>
          <ns0:t>SYN-044</ns0:t>
        </ns0:is>
      </ns0:c>
      <ns0:c r="B45" s="4" t="inlineStr">
        <ns0:is>
          <ns0:t>Synthetic Script 044</ns0:t>
        </ns0:is>
      </ns0:c>
      <ns0:c r="C45" s="4" t="inlineStr">
        <ns0:is>
          <ns0:t>欢乐</ns0:t>
        </ns0:is>
      </ns0:c>
      <ns0:c r="D45" s="4" t="n">
        <ns0:v>3</ns0:v>
      </ns0:c>
      <ns0:c r="E45" s="4" t="n">
        <ns0:v>7</ns0:v>
      </ns0:c>
      <ns0:c r="F45" s="9" t="n">
        <ns0:v>129</ns0:v>
      </ns0:c>
      <ns0:c r="G45" s="9">
        <ns0:f>E45*F45</ns0:f>
        <ns0:v>903</ns0:v>
      </ns0:c>
      <ns0:c r="H45" s="9" t="n">
        <ns0:v>237</ns0:v>
      </ns0:c>
      <ns0:c r="I45" s="4" t="inlineStr">
        <ns0:is>
          <ns0:t>独家</ns0:t>
        </ns0:is>
      </ns0:c>
      <ns0:c r="J45" s="9">
        <ns0:f>G45-H45</ns0:f>
        <ns0:v>666</ns0:v>
      </ns0:c>
      <ns0:c r="K45" s="4" t="n">
        <ns0:v>7.7</ns0:v>
      </ns0:c>
      <ns0:c r="L45" s="4" t="n">
        <ns0:v>2500</ns0:v>
      </ns0:c>
      <ns0:c r="M45" s="4" t="n">
        <ns0:v>3000</ns0:v>
      </ns0:c>
      <ns0:c r="N45" s="4" t="n">
        <ns0:v>3500</ns0:v>
      </ns0:c>
      <ns0:c r="O45" s="9">
        <ns0:f>ROUND(L45/Assumptions!$B$2,0)</ns0:f>
        <ns0:v>347</ns0:v>
      </ns0:c>
      <ns0:c r="P45" s="9">
        <ns0:f>ROUND(M45/Assumptions!$B$2,0)</ns0:f>
        <ns0:v>417</ns0:v>
      </ns0:c>
      <ns0:c r="Q45" s="9">
        <ns0:f>ROUND(N45/Assumptions!$B$2,0)</ns0:f>
        <ns0:v>486</ns0:v>
      </ns0:c>
      <ns0:c r="R45" s="4">
        <ns0:f>COUNTIF(RawData[Script ID],A45)</ns0:f>
        <ns0:v>0</ns0:v>
      </ns0:c>
      <ns0:c r="S45" s="9">
        <ns0:f>SUMIF(RawData[Script ID],A45,RawData[Estimated Contribution])</ns0:f>
        <ns0:v>0.0</ns0:v>
      </ns0:c>
      <ns0:c r="T45" s="9">
        <ns0:f>S45-O45</ns0:f>
        <ns0:v>-347.0</ns0:v>
      </ns0:c>
      <ns0:c r="U45" s="9">
        <ns0:f>S45-P45</ns0:f>
        <ns0:v>-417.0</ns0:v>
      </ns0:c>
      <ns0:c r="V45" s="9">
        <ns0:f>S45-Q45</ns0:f>
        <ns0:v>-486.0</ns0:v>
      </ns0:c>
      <ns0:c r="W45" s="4" t="str">
        <ns0:f>IF(R45=0,"Not Opened",IF(V45&gt;=0,"Recovered - All Scenarios",IF(U45&gt;=0,"Recovered - Low &amp; Base",IF(T45&gt;=0,"Recovered - Low Only","Not Recovered"))))</ns0:f>
        <ns0:v>Not Opened</ns0:v>
      </ns0:c>
      <ns0:c r="X45" s="9">
        <ns0:f>IF(R45=0,0,S45/R45)</ns0:f>
        <ns0:v>0</ns0:v>
      </ns0:c>
      <ns0:c r="Y45" s="4">
        <ns0:f>R45</ns0:f>
        <ns0:v>0</ns0:v>
      </ns0:c>
      <ns0:c r="Z45" s="9" t="str">
        <ns0:f>IF(R45=0,"",S45/R45)</ns0:f>
        <ns0:v/>
      </ns0:c>
      <ns0:c r="AA45" s="4" t="str">
        <ns0:f>IF(R45=0,"Not Opened",IF(R45&gt;=Assumptions!$B$3,"High Frequency","Low Frequency")&amp;" / "&amp;IF(X45&gt;=Assumptions!$B$4,"High Contribution","Low Contribution"))</ns0:f>
        <ns0:v>Not Opened</ns0:v>
      </ns0:c>
    </ns0:row>
    <ns0:row r="46">
      <ns0:c r="A46" s="4" t="inlineStr">
        <ns0:is>
          <ns0:t>SYN-045</ns0:t>
        </ns0:is>
      </ns0:c>
      <ns0:c r="B46" s="4" t="inlineStr">
        <ns0:is>
          <ns0:t>Synthetic Script 045</ns0:t>
        </ns0:is>
      </ns0:c>
      <ns0:c r="C46" s="4" t="inlineStr">
        <ns0:is>
          <ns0:t>推理</ns0:t>
        </ns0:is>
      </ns0:c>
      <ns0:c r="D46" s="4" t="n">
        <ns0:v>2</ns0:v>
      </ns0:c>
      <ns0:c r="E46" s="4" t="n">
        <ns0:v>8</ns0:v>
      </ns0:c>
      <ns0:c r="F46" s="9" t="n">
        <ns0:v>65</ns0:v>
      </ns0:c>
      <ns0:c r="G46" s="9">
        <ns0:f>E46*F46</ns0:f>
        <ns0:v>520</ns0:v>
      </ns0:c>
      <ns0:c r="H46" s="9" t="n">
        <ns0:v>137</ns0:v>
      </ns0:c>
      <ns0:c r="I46" s="4" t="inlineStr">
        <ns0:is>
          <ns0:t>城限</ns0:t>
        </ns0:is>
      </ns0:c>
      <ns0:c r="J46" s="9">
        <ns0:f>G46-H46</ns0:f>
        <ns0:v>383</ns0:v>
      </ns0:c>
      <ns0:c r="K46" s="4" t="n">
        <ns0:v>8.4</ns0:v>
      </ns0:c>
      <ns0:c r="L46" s="4" t="n">
        <ns0:v>1500</ns0:v>
      </ns0:c>
      <ns0:c r="M46" s="4" t="n">
        <ns0:v>2000</ns0:v>
      </ns0:c>
      <ns0:c r="N46" s="4" t="n">
        <ns0:v>2500</ns0:v>
      </ns0:c>
      <ns0:c r="O46" s="9">
        <ns0:f>ROUND(L46/Assumptions!$B$2,0)</ns0:f>
        <ns0:v>208</ns0:v>
      </ns0:c>
      <ns0:c r="P46" s="9">
        <ns0:f>ROUND(M46/Assumptions!$B$2,0)</ns0:f>
        <ns0:v>278</ns0:v>
      </ns0:c>
      <ns0:c r="Q46" s="9">
        <ns0:f>ROUND(N46/Assumptions!$B$2,0)</ns0:f>
        <ns0:v>347</ns0:v>
      </ns0:c>
      <ns0:c r="R46" s="4">
        <ns0:f>COUNTIF(RawData[Script ID],A46)</ns0:f>
        <ns0:v>2</ns0:v>
      </ns0:c>
      <ns0:c r="S46" s="9">
        <ns0:f>SUMIF(RawData[Script ID],A46,RawData[Estimated Contribution])</ns0:f>
        <ns0:v>766.0</ns0:v>
      </ns0:c>
      <ns0:c r="T46" s="9">
        <ns0:f>S46-O46</ns0:f>
        <ns0:v>558.0</ns0:v>
      </ns0:c>
      <ns0:c r="U46" s="9">
        <ns0:f>S46-P46</ns0:f>
        <ns0:v>488.0</ns0:v>
      </ns0:c>
      <ns0:c r="V46" s="9">
        <ns0:f>S46-Q46</ns0:f>
        <ns0:v>419.0</ns0:v>
      </ns0:c>
      <ns0:c r="W46" s="4" t="str">
        <ns0:f>IF(R46=0,"Not Opened",IF(V46&gt;=0,"Recovered - All Scenarios",IF(U46&gt;=0,"Recovered - Low &amp; Base",IF(T46&gt;=0,"Recovered - Low Only","Not Recovered"))))</ns0:f>
        <ns0:v>Recovered - All Scenarios</ns0:v>
      </ns0:c>
      <ns0:c r="X46" s="9">
        <ns0:f>IF(R46=0,0,S46/R46)</ns0:f>
        <ns0:v>383.0</ns0:v>
      </ns0:c>
      <ns0:c r="Y46" s="4">
        <ns0:f>R46</ns0:f>
        <ns0:v>2</ns0:v>
      </ns0:c>
      <ns0:c r="Z46" s="9">
        <ns0:f>IF(R46=0,"",S46/R46)</ns0:f>
        <ns0:v>383.0</ns0:v>
      </ns0:c>
      <ns0:c r="AA46" s="4" t="str">
        <ns0:f>IF(R46=0,"Not Opened",IF(R46&gt;=Assumptions!$B$3,"High Frequency","Low Frequency")&amp;" / "&amp;IF(X46&gt;=Assumptions!$B$4,"High Contribution","Low Contribution"))</ns0:f>
        <ns0:v>High Frequency / Low Contribution</ns0:v>
      </ns0:c>
    </ns0:row>
    <ns0:row r="47">
      <ns0:c r="A47" s="4" t="inlineStr">
        <ns0:is>
          <ns0:t>SYN-046</ns0:t>
        </ns0:is>
      </ns0:c>
      <ns0:c r="B47" s="4" t="inlineStr">
        <ns0:is>
          <ns0:t>Synthetic Script 046</ns0:t>
        </ns0:is>
      </ns0:c>
      <ns0:c r="C47" s="4" t="inlineStr">
        <ns0:is>
          <ns0:t>情感</ns0:t>
        </ns0:is>
      </ns0:c>
      <ns0:c r="D47" s="4" t="n">
        <ns0:v>2</ns0:v>
      </ns0:c>
      <ns0:c r="E47" s="4" t="n">
        <ns0:v>6</ns0:v>
      </ns0:c>
      <ns0:c r="F47" s="9" t="n">
        <ns0:v>109</ns0:v>
      </ns0:c>
      <ns0:c r="G47" s="9">
        <ns0:f>E47*F47</ns0:f>
        <ns0:v>654</ns0:v>
      </ns0:c>
      <ns0:c r="H47" s="9" t="n">
        <ns0:v>180</ns0:v>
      </ns0:c>
      <ns0:c r="I47" s="4" t="inlineStr">
        <ns0:is>
          <ns0:t>盒装</ns0:t>
        </ns0:is>
      </ns0:c>
      <ns0:c r="J47" s="9">
        <ns0:f>G47-H47</ns0:f>
        <ns0:v>474</ns0:v>
      </ns0:c>
      <ns0:c r="K47" s="4" t="n">
        <ns0:v>7</ns0:v>
      </ns0:c>
      <ns0:c r="L47" s="4" t="n">
        <ns0:v>0</ns0:v>
      </ns0:c>
      <ns0:c r="M47" s="4" t="n">
        <ns0:v>750</ns0:v>
      </ns0:c>
      <ns0:c r="N47" s="4" t="n">
        <ns0:v>1000</ns0:v>
      </ns0:c>
      <ns0:c r="O47" s="9">
        <ns0:f>ROUND(L47/Assumptions!$B$2,0)</ns0:f>
        <ns0:v>0</ns0:v>
      </ns0:c>
      <ns0:c r="P47" s="9">
        <ns0:f>ROUND(M47/Assumptions!$B$2,0)</ns0:f>
        <ns0:v>104</ns0:v>
      </ns0:c>
      <ns0:c r="Q47" s="9">
        <ns0:f>ROUND(N47/Assumptions!$B$2,0)</ns0:f>
        <ns0:v>139</ns0:v>
      </ns0:c>
      <ns0:c r="R47" s="4">
        <ns0:f>COUNTIF(RawData[Script ID],A47)</ns0:f>
        <ns0:v>4</ns0:v>
      </ns0:c>
      <ns0:c r="S47" s="9">
        <ns0:f>SUMIF(RawData[Script ID],A47,RawData[Estimated Contribution])</ns0:f>
        <ns0:v>1896.0</ns0:v>
      </ns0:c>
      <ns0:c r="T47" s="9">
        <ns0:f>S47-O47</ns0:f>
        <ns0:v>1896.0</ns0:v>
      </ns0:c>
      <ns0:c r="U47" s="9">
        <ns0:f>S47-P47</ns0:f>
        <ns0:v>1792.0</ns0:v>
      </ns0:c>
      <ns0:c r="V47" s="9">
        <ns0:f>S47-Q47</ns0:f>
        <ns0:v>1757.0</ns0:v>
      </ns0:c>
      <ns0:c r="W47" s="4" t="str">
        <ns0:f>IF(R47=0,"Not Opened",IF(V47&gt;=0,"Recovered - All Scenarios",IF(U47&gt;=0,"Recovered - Low &amp; Base",IF(T47&gt;=0,"Recovered - Low Only","Not Recovered"))))</ns0:f>
        <ns0:v>Recovered - All Scenarios</ns0:v>
      </ns0:c>
      <ns0:c r="X47" s="9">
        <ns0:f>IF(R47=0,0,S47/R47)</ns0:f>
        <ns0:v>474.0</ns0:v>
      </ns0:c>
      <ns0:c r="Y47" s="4">
        <ns0:f>R47</ns0:f>
        <ns0:v>4</ns0:v>
      </ns0:c>
      <ns0:c r="Z47" s="9">
        <ns0:f>IF(R47=0,"",S47/R47)</ns0:f>
        <ns0:v>474.0</ns0:v>
      </ns0:c>
      <ns0:c r="AA47" s="4" t="str">
        <ns0:f>IF(R47=0,"Not Opened",IF(R47&gt;=Assumptions!$B$3,"High Frequency","Low Frequency")&amp;" / "&amp;IF(X47&gt;=Assumptions!$B$4,"High Contribution","Low Contribution"))</ns0:f>
        <ns0:v>High Frequency / Low Contribution</ns0:v>
      </ns0:c>
    </ns0:row>
    <ns0:row r="48">
      <ns0:c r="A48" s="4" t="inlineStr">
        <ns0:is>
          <ns0:t>SYN-047</ns0:t>
        </ns0:is>
      </ns0:c>
      <ns0:c r="B48" s="4" t="inlineStr">
        <ns0:is>
          <ns0:t>Synthetic Script 047</ns0:t>
        </ns0:is>
      </ns0:c>
      <ns0:c r="C48" s="4" t="inlineStr">
        <ns0:is>
          <ns0:t>机制</ns0:t>
        </ns0:is>
      </ns0:c>
      <ns0:c r="D48" s="4" t="n">
        <ns0:v>1</ns0:v>
      </ns0:c>
      <ns0:c r="E48" s="4" t="n">
        <ns0:v>6</ns0:v>
      </ns0:c>
      <ns0:c r="F48" s="9" t="n">
        <ns0:v>129</ns0:v>
      </ns0:c>
      <ns0:c r="G48" s="9">
        <ns0:f>E48*F48</ns0:f>
        <ns0:v>774</ns0:v>
      </ns0:c>
      <ns0:c r="H48" s="9" t="n">
        <ns0:v>203</ns0:v>
      </ns0:c>
      <ns0:c r="I48" s="4" t="inlineStr">
        <ns0:is>
          <ns0:t>城限</ns0:t>
        </ns0:is>
      </ns0:c>
      <ns0:c r="J48" s="9">
        <ns0:f>G48-H48</ns0:f>
        <ns0:v>571</ns0:v>
      </ns0:c>
      <ns0:c r="K48" s="4" t="n">
        <ns0:v>7.7</ns0:v>
      </ns0:c>
      <ns0:c r="L48" s="4" t="n">
        <ns0:v>1500</ns0:v>
      </ns0:c>
      <ns0:c r="M48" s="4" t="n">
        <ns0:v>2000</ns0:v>
      </ns0:c>
      <ns0:c r="N48" s="4" t="n">
        <ns0:v>2500</ns0:v>
      </ns0:c>
      <ns0:c r="O48" s="9">
        <ns0:f>ROUND(L48/Assumptions!$B$2,0)</ns0:f>
        <ns0:v>208</ns0:v>
      </ns0:c>
      <ns0:c r="P48" s="9">
        <ns0:f>ROUND(M48/Assumptions!$B$2,0)</ns0:f>
        <ns0:v>278</ns0:v>
      </ns0:c>
      <ns0:c r="Q48" s="9">
        <ns0:f>ROUND(N48/Assumptions!$B$2,0)</ns0:f>
        <ns0:v>347</ns0:v>
      </ns0:c>
      <ns0:c r="R48" s="4">
        <ns0:f>COUNTIF(RawData[Script ID],A48)</ns0:f>
        <ns0:v>0</ns0:v>
      </ns0:c>
      <ns0:c r="S48" s="9">
        <ns0:f>SUMIF(RawData[Script ID],A48,RawData[Estimated Contribution])</ns0:f>
        <ns0:v>0.0</ns0:v>
      </ns0:c>
      <ns0:c r="T48" s="9">
        <ns0:f>S48-O48</ns0:f>
        <ns0:v>-208.0</ns0:v>
      </ns0:c>
      <ns0:c r="U48" s="9">
        <ns0:f>S48-P48</ns0:f>
        <ns0:v>-278.0</ns0:v>
      </ns0:c>
      <ns0:c r="V48" s="9">
        <ns0:f>S48-Q48</ns0:f>
        <ns0:v>-347.0</ns0:v>
      </ns0:c>
      <ns0:c r="W48" s="4" t="str">
        <ns0:f>IF(R48=0,"Not Opened",IF(V48&gt;=0,"Recovered - All Scenarios",IF(U48&gt;=0,"Recovered - Low &amp; Base",IF(T48&gt;=0,"Recovered - Low Only","Not Recovered"))))</ns0:f>
        <ns0:v>Not Opened</ns0:v>
      </ns0:c>
      <ns0:c r="X48" s="9">
        <ns0:f>IF(R48=0,0,S48/R48)</ns0:f>
        <ns0:v>0</ns0:v>
      </ns0:c>
      <ns0:c r="Y48" s="4">
        <ns0:f>R48</ns0:f>
        <ns0:v>0</ns0:v>
      </ns0:c>
      <ns0:c r="Z48" s="9" t="str">
        <ns0:f>IF(R48=0,"",S48/R48)</ns0:f>
        <ns0:v/>
      </ns0:c>
      <ns0:c r="AA48" s="4" t="str">
        <ns0:f>IF(R48=0,"Not Opened",IF(R48&gt;=Assumptions!$B$3,"High Frequency","Low Frequency")&amp;" / "&amp;IF(X48&gt;=Assumptions!$B$4,"High Contribution","Low Contribution"))</ns0:f>
        <ns0:v>Not Opened</ns0:v>
      </ns0:c>
    </ns0:row>
    <ns0:row r="49">
      <ns0:c r="A49" s="4" t="inlineStr">
        <ns0:is>
          <ns0:t>SYN-048</ns0:t>
        </ns0:is>
      </ns0:c>
      <ns0:c r="B49" s="4" t="inlineStr">
        <ns0:is>
          <ns0:t>Synthetic Script 048</ns0:t>
        </ns0:is>
      </ns0:c>
      <ns0:c r="C49" s="4" t="inlineStr">
        <ns0:is>
          <ns0:t>推理</ns0:t>
        </ns0:is>
      </ns0:c>
      <ns0:c r="D49" s="4" t="n">
        <ns0:v>1</ns0:v>
      </ns0:c>
      <ns0:c r="E49" s="4" t="n">
        <ns0:v>6</ns0:v>
      </ns0:c>
      <ns0:c r="F49" s="9" t="n">
        <ns0:v>119</ns0:v>
      </ns0:c>
      <ns0:c r="G49" s="9">
        <ns0:f>E49*F49</ns0:f>
        <ns0:v>714</ns0:v>
      </ns0:c>
      <ns0:c r="H49" s="9" t="n">
        <ns0:v>187</ns0:v>
      </ns0:c>
      <ns0:c r="I49" s="4" t="inlineStr">
        <ns0:is>
          <ns0:t>盒装</ns0:t>
        </ns0:is>
      </ns0:c>
      <ns0:c r="J49" s="9">
        <ns0:f>G49-H49</ns0:f>
        <ns0:v>527</ns0:v>
      </ns0:c>
      <ns0:c r="K49" s="4" t="n">
        <ns0:v>8.4</ns0:v>
      </ns0:c>
      <ns0:c r="L49" s="4" t="n">
        <ns0:v>0</ns0:v>
      </ns0:c>
      <ns0:c r="M49" s="4" t="n">
        <ns0:v>750</ns0:v>
      </ns0:c>
      <ns0:c r="N49" s="4" t="n">
        <ns0:v>1000</ns0:v>
      </ns0:c>
      <ns0:c r="O49" s="9">
        <ns0:f>ROUND(L49/Assumptions!$B$2,0)</ns0:f>
        <ns0:v>0</ns0:v>
      </ns0:c>
      <ns0:c r="P49" s="9">
        <ns0:f>ROUND(M49/Assumptions!$B$2,0)</ns0:f>
        <ns0:v>104</ns0:v>
      </ns0:c>
      <ns0:c r="Q49" s="9">
        <ns0:f>ROUND(N49/Assumptions!$B$2,0)</ns0:f>
        <ns0:v>139</ns0:v>
      </ns0:c>
      <ns0:c r="R49" s="4">
        <ns0:f>COUNTIF(RawData[Script ID],A49)</ns0:f>
        <ns0:v>2</ns0:v>
      </ns0:c>
      <ns0:c r="S49" s="9">
        <ns0:f>SUMIF(RawData[Script ID],A49,RawData[Estimated Contribution])</ns0:f>
        <ns0:v>1054.0</ns0:v>
      </ns0:c>
      <ns0:c r="T49" s="9">
        <ns0:f>S49-O49</ns0:f>
        <ns0:v>1054.0</ns0:v>
      </ns0:c>
      <ns0:c r="U49" s="9">
        <ns0:f>S49-P49</ns0:f>
        <ns0:v>950.0</ns0:v>
      </ns0:c>
      <ns0:c r="V49" s="9">
        <ns0:f>S49-Q49</ns0:f>
        <ns0:v>915.0</ns0:v>
      </ns0:c>
      <ns0:c r="W49" s="4" t="str">
        <ns0:f>IF(R49=0,"Not Opened",IF(V49&gt;=0,"Recovered - All Scenarios",IF(U49&gt;=0,"Recovered - Low &amp; Base",IF(T49&gt;=0,"Recovered - Low Only","Not Recovered"))))</ns0:f>
        <ns0:v>Recovered - All Scenarios</ns0:v>
      </ns0:c>
      <ns0:c r="X49" s="9">
        <ns0:f>IF(R49=0,0,S49/R49)</ns0:f>
        <ns0:v>527.0</ns0:v>
      </ns0:c>
      <ns0:c r="Y49" s="4">
        <ns0:f>R49</ns0:f>
        <ns0:v>2</ns0:v>
      </ns0:c>
      <ns0:c r="Z49" s="9">
        <ns0:f>IF(R49=0,"",S49/R49)</ns0:f>
        <ns0:v>527.0</ns0:v>
      </ns0:c>
      <ns0:c r="AA49" s="4" t="str">
        <ns0:f>IF(R49=0,"Not Opened",IF(R49&gt;=Assumptions!$B$3,"High Frequency","Low Frequency")&amp;" / "&amp;IF(X49&gt;=Assumptions!$B$4,"High Contribution","Low Contribution"))</ns0:f>
        <ns0:v>High Frequency / High Contribution</ns0:v>
      </ns0:c>
    </ns0:row>
    <ns0:row r="50">
      <ns0:c r="A50" s="4" t="inlineStr">
        <ns0:is>
          <ns0:t>SYN-049</ns0:t>
        </ns0:is>
      </ns0:c>
      <ns0:c r="B50" s="4" t="inlineStr">
        <ns0:is>
          <ns0:t>Synthetic Script 049</ns0:t>
        </ns0:is>
      </ns0:c>
      <ns0:c r="C50" s="4" t="inlineStr">
        <ns0:is>
          <ns0:t>欢乐</ns0:t>
        </ns0:is>
      </ns0:c>
      <ns0:c r="D50" s="4" t="n">
        <ns0:v>3</ns0:v>
      </ns0:c>
      <ns0:c r="E50" s="4" t="n">
        <ns0:v>7</ns0:v>
      </ns0:c>
      <ns0:c r="F50" s="9" t="n">
        <ns0:v>95</ns0:v>
      </ns0:c>
      <ns0:c r="G50" s="9">
        <ns0:f>E50*F50</ns0:f>
        <ns0:v>665</ns0:v>
      </ns0:c>
      <ns0:c r="H50" s="9" t="n">
        <ns0:v>175</ns0:v>
      </ns0:c>
      <ns0:c r="I50" s="4" t="inlineStr">
        <ns0:is>
          <ns0:t>独家</ns0:t>
        </ns0:is>
      </ns0:c>
      <ns0:c r="J50" s="9">
        <ns0:f>G50-H50</ns0:f>
        <ns0:v>490</ns0:v>
      </ns0:c>
      <ns0:c r="K50" s="4" t="n">
        <ns0:v>7</ns0:v>
      </ns0:c>
      <ns0:c r="L50" s="4" t="n">
        <ns0:v>2500</ns0:v>
      </ns0:c>
      <ns0:c r="M50" s="4" t="n">
        <ns0:v>3000</ns0:v>
      </ns0:c>
      <ns0:c r="N50" s="4" t="n">
        <ns0:v>3500</ns0:v>
      </ns0:c>
      <ns0:c r="O50" s="9">
        <ns0:f>ROUND(L50/Assumptions!$B$2,0)</ns0:f>
        <ns0:v>347</ns0:v>
      </ns0:c>
      <ns0:c r="P50" s="9">
        <ns0:f>ROUND(M50/Assumptions!$B$2,0)</ns0:f>
        <ns0:v>417</ns0:v>
      </ns0:c>
      <ns0:c r="Q50" s="9">
        <ns0:f>ROUND(N50/Assumptions!$B$2,0)</ns0:f>
        <ns0:v>486</ns0:v>
      </ns0:c>
      <ns0:c r="R50" s="4">
        <ns0:f>COUNTIF(RawData[Script ID],A50)</ns0:f>
        <ns0:v>4</ns0:v>
      </ns0:c>
      <ns0:c r="S50" s="9">
        <ns0:f>SUMIF(RawData[Script ID],A50,RawData[Estimated Contribution])</ns0:f>
        <ns0:v>1960.0</ns0:v>
      </ns0:c>
      <ns0:c r="T50" s="9">
        <ns0:f>S50-O50</ns0:f>
        <ns0:v>1613.0</ns0:v>
      </ns0:c>
      <ns0:c r="U50" s="9">
        <ns0:f>S50-P50</ns0:f>
        <ns0:v>1543.0</ns0:v>
      </ns0:c>
      <ns0:c r="V50" s="9">
        <ns0:f>S50-Q50</ns0:f>
        <ns0:v>1474.0</ns0:v>
      </ns0:c>
      <ns0:c r="W50" s="4" t="str">
        <ns0:f>IF(R50=0,"Not Opened",IF(V50&gt;=0,"Recovered - All Scenarios",IF(U50&gt;=0,"Recovered - Low &amp; Base",IF(T50&gt;=0,"Recovered - Low Only","Not Recovered"))))</ns0:f>
        <ns0:v>Recovered - All Scenarios</ns0:v>
      </ns0:c>
      <ns0:c r="X50" s="9">
        <ns0:f>IF(R50=0,0,S50/R50)</ns0:f>
        <ns0:v>490.0</ns0:v>
      </ns0:c>
      <ns0:c r="Y50" s="4">
        <ns0:f>R50</ns0:f>
        <ns0:v>4</ns0:v>
      </ns0:c>
      <ns0:c r="Z50" s="9">
        <ns0:f>IF(R50=0,"",S50/R50)</ns0:f>
        <ns0:v>490.0</ns0:v>
      </ns0:c>
      <ns0:c r="AA50" s="4" t="str">
        <ns0:f>IF(R50=0,"Not Opened",IF(R50&gt;=Assumptions!$B$3,"High Frequency","Low Frequency")&amp;" / "&amp;IF(X50&gt;=Assumptions!$B$4,"High Contribution","Low Contribution"))</ns0:f>
        <ns0:v>High Frequency / High Contribution</ns0:v>
      </ns0:c>
    </ns0:row>
    <ns0:row r="51">
      <ns0:c r="A51" s="4" t="inlineStr">
        <ns0:is>
          <ns0:t>SYN-050</ns0:t>
        </ns0:is>
      </ns0:c>
      <ns0:c r="B51" s="4" t="inlineStr">
        <ns0:is>
          <ns0:t>Synthetic Script 050</ns0:t>
        </ns0:is>
      </ns0:c>
      <ns0:c r="C51" s="4" t="inlineStr">
        <ns0:is>
          <ns0:t>情感</ns0:t>
        </ns0:is>
      </ns0:c>
      <ns0:c r="D51" s="4" t="n">
        <ns0:v>6</ns0:v>
      </ns0:c>
      <ns0:c r="E51" s="4" t="n">
        <ns0:v>8</ns0:v>
      </ns0:c>
      <ns0:c r="F51" s="9" t="n">
        <ns0:v>109</ns0:v>
      </ns0:c>
      <ns0:c r="G51" s="9">
        <ns0:f>E51*F51</ns0:f>
        <ns0:v>872</ns0:v>
      </ns0:c>
      <ns0:c r="H51" s="9" t="n">
        <ns0:v>540</ns0:v>
      </ns0:c>
      <ns0:c r="I51" s="4" t="inlineStr">
        <ns0:is>
          <ns0:t>盒装</ns0:t>
        </ns0:is>
      </ns0:c>
      <ns0:c r="J51" s="9">
        <ns0:f>G51-H51</ns0:f>
        <ns0:v>332</ns0:v>
      </ns0:c>
      <ns0:c r="K51" s="4" t="n">
        <ns0:v>7.7</ns0:v>
      </ns0:c>
      <ns0:c r="L51" s="4" t="n">
        <ns0:v>0</ns0:v>
      </ns0:c>
      <ns0:c r="M51" s="4" t="n">
        <ns0:v>750</ns0:v>
      </ns0:c>
      <ns0:c r="N51" s="4" t="n">
        <ns0:v>1000</ns0:v>
      </ns0:c>
      <ns0:c r="O51" s="9">
        <ns0:f>ROUND(L51/Assumptions!$B$2,0)</ns0:f>
        <ns0:v>0</ns0:v>
      </ns0:c>
      <ns0:c r="P51" s="9">
        <ns0:f>ROUND(M51/Assumptions!$B$2,0)</ns0:f>
        <ns0:v>104</ns0:v>
      </ns0:c>
      <ns0:c r="Q51" s="9">
        <ns0:f>ROUND(N51/Assumptions!$B$2,0)</ns0:f>
        <ns0:v>139</ns0:v>
      </ns0:c>
      <ns0:c r="R51" s="4">
        <ns0:f>COUNTIF(RawData[Script ID],A51)</ns0:f>
        <ns0:v>1</ns0:v>
      </ns0:c>
      <ns0:c r="S51" s="9">
        <ns0:f>SUMIF(RawData[Script ID],A51,RawData[Estimated Contribution])</ns0:f>
        <ns0:v>332.0</ns0:v>
      </ns0:c>
      <ns0:c r="T51" s="9">
        <ns0:f>S51-O51</ns0:f>
        <ns0:v>332.0</ns0:v>
      </ns0:c>
      <ns0:c r="U51" s="9">
        <ns0:f>S51-P51</ns0:f>
        <ns0:v>228.0</ns0:v>
      </ns0:c>
      <ns0:c r="V51" s="9">
        <ns0:f>S51-Q51</ns0:f>
        <ns0:v>193.0</ns0:v>
      </ns0:c>
      <ns0:c r="W51" s="4" t="str">
        <ns0:f>IF(R51=0,"Not Opened",IF(V51&gt;=0,"Recovered - All Scenarios",IF(U51&gt;=0,"Recovered - Low &amp; Base",IF(T51&gt;=0,"Recovered - Low Only","Not Recovered"))))</ns0:f>
        <ns0:v>Recovered - All Scenarios</ns0:v>
      </ns0:c>
      <ns0:c r="X51" s="9">
        <ns0:f>IF(R51=0,0,S51/R51)</ns0:f>
        <ns0:v>332.0</ns0:v>
      </ns0:c>
      <ns0:c r="Y51" s="4">
        <ns0:f>R51</ns0:f>
        <ns0:v>1</ns0:v>
      </ns0:c>
      <ns0:c r="Z51" s="9">
        <ns0:f>IF(R51=0,"",S51/R51)</ns0:f>
        <ns0:v>332.0</ns0:v>
      </ns0:c>
      <ns0:c r="AA51" s="4" t="str">
        <ns0:f>IF(R51=0,"Not Opened",IF(R51&gt;=Assumptions!$B$3,"High Frequency","Low Frequency")&amp;" / "&amp;IF(X51&gt;=Assumptions!$B$4,"High Contribution","Low Contribution"))</ns0:f>
        <ns0:v>Low Frequency / Low Contribution</ns0:v>
      </ns0:c>
    </ns0:row>
    <ns0:row r="52">
      <ns0:c r="A52" s="4" t="inlineStr">
        <ns0:is>
          <ns0:t>SYN-051</ns0:t>
        </ns0:is>
      </ns0:c>
      <ns0:c r="B52" s="4" t="inlineStr">
        <ns0:is>
          <ns0:t>Synthetic Script 051</ns0:t>
        </ns0:is>
      </ns0:c>
      <ns0:c r="C52" s="4" t="inlineStr">
        <ns0:is>
          <ns0:t>情感</ns0:t>
        </ns0:is>
      </ns0:c>
      <ns0:c r="D52" s="4" t="n">
        <ns0:v>2</ns0:v>
      </ns0:c>
      <ns0:c r="E52" s="4" t="n">
        <ns0:v>6</ns0:v>
      </ns0:c>
      <ns0:c r="F52" s="9" t="n">
        <ns0:v>118</ns0:v>
      </ns0:c>
      <ns0:c r="G52" s="9">
        <ns0:f>E52*F52</ns0:f>
        <ns0:v>708</ns0:v>
      </ns0:c>
      <ns0:c r="H52" s="9" t="n">
        <ns0:v>180</ns0:v>
      </ns0:c>
      <ns0:c r="I52" s="4" t="inlineStr">
        <ns0:is>
          <ns0:t>盒装</ns0:t>
        </ns0:is>
      </ns0:c>
      <ns0:c r="J52" s="9">
        <ns0:f>G52-H52</ns0:f>
        <ns0:v>528</ns0:v>
      </ns0:c>
      <ns0:c r="K52" s="4" t="n">
        <ns0:v>8.4</ns0:v>
      </ns0:c>
      <ns0:c r="L52" s="4" t="n">
        <ns0:v>0</ns0:v>
      </ns0:c>
      <ns0:c r="M52" s="4" t="n">
        <ns0:v>750</ns0:v>
      </ns0:c>
      <ns0:c r="N52" s="4" t="n">
        <ns0:v>1000</ns0:v>
      </ns0:c>
      <ns0:c r="O52" s="9">
        <ns0:f>ROUND(L52/Assumptions!$B$2,0)</ns0:f>
        <ns0:v>0</ns0:v>
      </ns0:c>
      <ns0:c r="P52" s="9">
        <ns0:f>ROUND(M52/Assumptions!$B$2,0)</ns0:f>
        <ns0:v>104</ns0:v>
      </ns0:c>
      <ns0:c r="Q52" s="9">
        <ns0:f>ROUND(N52/Assumptions!$B$2,0)</ns0:f>
        <ns0:v>139</ns0:v>
      </ns0:c>
      <ns0:c r="R52" s="4">
        <ns0:f>COUNTIF(RawData[Script ID],A52)</ns0:f>
        <ns0:v>2</ns0:v>
      </ns0:c>
      <ns0:c r="S52" s="9">
        <ns0:f>SUMIF(RawData[Script ID],A52,RawData[Estimated Contribution])</ns0:f>
        <ns0:v>1056.0</ns0:v>
      </ns0:c>
      <ns0:c r="T52" s="9">
        <ns0:f>S52-O52</ns0:f>
        <ns0:v>1056.0</ns0:v>
      </ns0:c>
      <ns0:c r="U52" s="9">
        <ns0:f>S52-P52</ns0:f>
        <ns0:v>952.0</ns0:v>
      </ns0:c>
      <ns0:c r="V52" s="9">
        <ns0:f>S52-Q52</ns0:f>
        <ns0:v>917.0</ns0:v>
      </ns0:c>
      <ns0:c r="W52" s="4" t="str">
        <ns0:f>IF(R52=0,"Not Opened",IF(V52&gt;=0,"Recovered - All Scenarios",IF(U52&gt;=0,"Recovered - Low &amp; Base",IF(T52&gt;=0,"Recovered - Low Only","Not Recovered"))))</ns0:f>
        <ns0:v>Recovered - All Scenarios</ns0:v>
      </ns0:c>
      <ns0:c r="X52" s="9">
        <ns0:f>IF(R52=0,0,S52/R52)</ns0:f>
        <ns0:v>528.0</ns0:v>
      </ns0:c>
      <ns0:c r="Y52" s="4">
        <ns0:f>R52</ns0:f>
        <ns0:v>2</ns0:v>
      </ns0:c>
      <ns0:c r="Z52" s="9">
        <ns0:f>IF(R52=0,"",S52/R52)</ns0:f>
        <ns0:v>528.0</ns0:v>
      </ns0:c>
      <ns0:c r="AA52" s="4" t="str">
        <ns0:f>IF(R52=0,"Not Opened",IF(R52&gt;=Assumptions!$B$3,"High Frequency","Low Frequency")&amp;" / "&amp;IF(X52&gt;=Assumptions!$B$4,"High Contribution","Low Contribution"))</ns0:f>
        <ns0:v>High Frequency / High Contribution</ns0:v>
      </ns0:c>
    </ns0:row>
    <ns0:row r="53">
      <ns0:c r="A53" s="4" t="inlineStr">
        <ns0:is>
          <ns0:t>SYN-052</ns0:t>
        </ns0:is>
      </ns0:c>
      <ns0:c r="B53" s="4" t="inlineStr">
        <ns0:is>
          <ns0:t>Synthetic Script 052</ns0:t>
        </ns0:is>
      </ns0:c>
      <ns0:c r="C53" s="4" t="inlineStr">
        <ns0:is>
          <ns0:t>推理</ns0:t>
        </ns0:is>
      </ns0:c>
      <ns0:c r="D53" s="4" t="n">
        <ns0:v>1</ns0:v>
      </ns0:c>
      <ns0:c r="E53" s="4" t="n">
        <ns0:v>6</ns0:v>
      </ns0:c>
      <ns0:c r="F53" s="9" t="n">
        <ns0:v>119</ns0:v>
      </ns0:c>
      <ns0:c r="G53" s="9">
        <ns0:f>E53*F53</ns0:f>
        <ns0:v>714</ns0:v>
      </ns0:c>
      <ns0:c r="H53" s="9" t="n">
        <ns0:v>187</ns0:v>
      </ns0:c>
      <ns0:c r="I53" s="4" t="inlineStr">
        <ns0:is>
          <ns0:t>城限</ns0:t>
        </ns0:is>
      </ns0:c>
      <ns0:c r="J53" s="9">
        <ns0:f>G53-H53</ns0:f>
        <ns0:v>527</ns0:v>
      </ns0:c>
      <ns0:c r="K53" s="4" t="n">
        <ns0:v>7</ns0:v>
      </ns0:c>
      <ns0:c r="L53" s="4" t="n">
        <ns0:v>1500</ns0:v>
      </ns0:c>
      <ns0:c r="M53" s="4" t="n">
        <ns0:v>2000</ns0:v>
      </ns0:c>
      <ns0:c r="N53" s="4" t="n">
        <ns0:v>2500</ns0:v>
      </ns0:c>
      <ns0:c r="O53" s="9">
        <ns0:f>ROUND(L53/Assumptions!$B$2,0)</ns0:f>
        <ns0:v>208</ns0:v>
      </ns0:c>
      <ns0:c r="P53" s="9">
        <ns0:f>ROUND(M53/Assumptions!$B$2,0)</ns0:f>
        <ns0:v>278</ns0:v>
      </ns0:c>
      <ns0:c r="Q53" s="9">
        <ns0:f>ROUND(N53/Assumptions!$B$2,0)</ns0:f>
        <ns0:v>347</ns0:v>
      </ns0:c>
      <ns0:c r="R53" s="4">
        <ns0:f>COUNTIF(RawData[Script ID],A53)</ns0:f>
        <ns0:v>5</ns0:v>
      </ns0:c>
      <ns0:c r="S53" s="9">
        <ns0:f>SUMIF(RawData[Script ID],A53,RawData[Estimated Contribution])</ns0:f>
        <ns0:v>2635.0</ns0:v>
      </ns0:c>
      <ns0:c r="T53" s="9">
        <ns0:f>S53-O53</ns0:f>
        <ns0:v>2427.0</ns0:v>
      </ns0:c>
      <ns0:c r="U53" s="9">
        <ns0:f>S53-P53</ns0:f>
        <ns0:v>2357.0</ns0:v>
      </ns0:c>
      <ns0:c r="V53" s="9">
        <ns0:f>S53-Q53</ns0:f>
        <ns0:v>2288.0</ns0:v>
      </ns0:c>
      <ns0:c r="W53" s="4" t="str">
        <ns0:f>IF(R53=0,"Not Opened",IF(V53&gt;=0,"Recovered - All Scenarios",IF(U53&gt;=0,"Recovered - Low &amp; Base",IF(T53&gt;=0,"Recovered - Low Only","Not Recovered"))))</ns0:f>
        <ns0:v>Recovered - All Scenarios</ns0:v>
      </ns0:c>
      <ns0:c r="X53" s="9">
        <ns0:f>IF(R53=0,0,S53/R53)</ns0:f>
        <ns0:v>527.0</ns0:v>
      </ns0:c>
      <ns0:c r="Y53" s="4">
        <ns0:f>R53</ns0:f>
        <ns0:v>5</ns0:v>
      </ns0:c>
      <ns0:c r="Z53" s="9">
        <ns0:f>IF(R53=0,"",S53/R53)</ns0:f>
        <ns0:v>527.0</ns0:v>
      </ns0:c>
      <ns0:c r="AA53" s="4" t="str">
        <ns0:f>IF(R53=0,"Not Opened",IF(R53&gt;=Assumptions!$B$3,"High Frequency","Low Frequency")&amp;" / "&amp;IF(X53&gt;=Assumptions!$B$4,"High Contribution","Low Contribution"))</ns0:f>
        <ns0:v>High Frequency / High Contribution</ns0:v>
      </ns0:c>
    </ns0:row>
    <ns0:row r="54">
      <ns0:c r="A54" s="4" t="inlineStr">
        <ns0:is>
          <ns0:t>SYN-053</ns0:t>
        </ns0:is>
      </ns0:c>
      <ns0:c r="B54" s="4" t="inlineStr">
        <ns0:is>
          <ns0:t>Synthetic Script 053</ns0:t>
        </ns0:is>
      </ns0:c>
      <ns0:c r="C54" s="4" t="inlineStr">
        <ns0:is>
          <ns0:t>情感</ns0:t>
        </ns0:is>
      </ns0:c>
      <ns0:c r="D54" s="4" t="n">
        <ns0:v>3</ns0:v>
      </ns0:c>
      <ns0:c r="E54" s="4" t="n">
        <ns0:v>6</ns0:v>
      </ns0:c>
      <ns0:c r="F54" s="9" t="n">
        <ns0:v>99</ns0:v>
      </ns0:c>
      <ns0:c r="G54" s="9">
        <ns0:f>E54*F54</ns0:f>
        <ns0:v>594</ns0:v>
      </ns0:c>
      <ns0:c r="H54" s="9" t="n">
        <ns0:v>270</ns0:v>
      </ns0:c>
      <ns0:c r="I54" s="4" t="inlineStr">
        <ns0:is>
          <ns0:t>盒装</ns0:t>
        </ns0:is>
      </ns0:c>
      <ns0:c r="J54" s="9">
        <ns0:f>G54-H54</ns0:f>
        <ns0:v>324</ns0:v>
      </ns0:c>
      <ns0:c r="K54" s="4" t="n">
        <ns0:v>7.7</ns0:v>
      </ns0:c>
      <ns0:c r="L54" s="4" t="n">
        <ns0:v>0</ns0:v>
      </ns0:c>
      <ns0:c r="M54" s="4" t="n">
        <ns0:v>750</ns0:v>
      </ns0:c>
      <ns0:c r="N54" s="4" t="n">
        <ns0:v>1000</ns0:v>
      </ns0:c>
      <ns0:c r="O54" s="9">
        <ns0:f>ROUND(L54/Assumptions!$B$2,0)</ns0:f>
        <ns0:v>0</ns0:v>
      </ns0:c>
      <ns0:c r="P54" s="9">
        <ns0:f>ROUND(M54/Assumptions!$B$2,0)</ns0:f>
        <ns0:v>104</ns0:v>
      </ns0:c>
      <ns0:c r="Q54" s="9">
        <ns0:f>ROUND(N54/Assumptions!$B$2,0)</ns0:f>
        <ns0:v>139</ns0:v>
      </ns0:c>
      <ns0:c r="R54" s="4">
        <ns0:f>COUNTIF(RawData[Script ID],A54)</ns0:f>
        <ns0:v>1</ns0:v>
      </ns0:c>
      <ns0:c r="S54" s="9">
        <ns0:f>SUMIF(RawData[Script ID],A54,RawData[Estimated Contribution])</ns0:f>
        <ns0:v>324.0</ns0:v>
      </ns0:c>
      <ns0:c r="T54" s="9">
        <ns0:f>S54-O54</ns0:f>
        <ns0:v>324.0</ns0:v>
      </ns0:c>
      <ns0:c r="U54" s="9">
        <ns0:f>S54-P54</ns0:f>
        <ns0:v>220.0</ns0:v>
      </ns0:c>
      <ns0:c r="V54" s="9">
        <ns0:f>S54-Q54</ns0:f>
        <ns0:v>185.0</ns0:v>
      </ns0:c>
      <ns0:c r="W54" s="4" t="str">
        <ns0:f>IF(R54=0,"Not Opened",IF(V54&gt;=0,"Recovered - All Scenarios",IF(U54&gt;=0,"Recovered - Low &amp; Base",IF(T54&gt;=0,"Recovered - Low Only","Not Recovered"))))</ns0:f>
        <ns0:v>Recovered - All Scenarios</ns0:v>
      </ns0:c>
      <ns0:c r="X54" s="9">
        <ns0:f>IF(R54=0,0,S54/R54)</ns0:f>
        <ns0:v>324.0</ns0:v>
      </ns0:c>
      <ns0:c r="Y54" s="4">
        <ns0:f>R54</ns0:f>
        <ns0:v>1</ns0:v>
      </ns0:c>
      <ns0:c r="Z54" s="9">
        <ns0:f>IF(R54=0,"",S54/R54)</ns0:f>
        <ns0:v>324.0</ns0:v>
      </ns0:c>
      <ns0:c r="AA54" s="4" t="str">
        <ns0:f>IF(R54=0,"Not Opened",IF(R54&gt;=Assumptions!$B$3,"High Frequency","Low Frequency")&amp;" / "&amp;IF(X54&gt;=Assumptions!$B$4,"High Contribution","Low Contribution"))</ns0:f>
        <ns0:v>Low Frequency / Low Contribution</ns0:v>
      </ns0:c>
    </ns0:row>
    <ns0:row r="55">
      <ns0:c r="A55" s="4" t="inlineStr">
        <ns0:is>
          <ns0:t>SYN-054</ns0:t>
        </ns0:is>
      </ns0:c>
      <ns0:c r="B55" s="4" t="inlineStr">
        <ns0:is>
          <ns0:t>Synthetic Script 054</ns0:t>
        </ns0:is>
      </ns0:c>
      <ns0:c r="C55" s="4" t="inlineStr">
        <ns0:is>
          <ns0:t>欢乐</ns0:t>
        </ns0:is>
      </ns0:c>
      <ns0:c r="D55" s="4" t="n">
        <ns0:v>3</ns0:v>
      </ns0:c>
      <ns0:c r="E55" s="4" t="n">
        <ns0:v>7</ns0:v>
      </ns0:c>
      <ns0:c r="F55" s="9" t="n">
        <ns0:v>109</ns0:v>
      </ns0:c>
      <ns0:c r="G55" s="9">
        <ns0:f>E55*F55</ns0:f>
        <ns0:v>763</ns0:v>
      </ns0:c>
      <ns0:c r="H55" s="9" t="n">
        <ns0:v>200</ns0:v>
      </ns0:c>
      <ns0:c r="I55" s="4" t="inlineStr">
        <ns0:is>
          <ns0:t>独家</ns0:t>
        </ns0:is>
      </ns0:c>
      <ns0:c r="J55" s="9">
        <ns0:f>G55-H55</ns0:f>
        <ns0:v>563</ns0:v>
      </ns0:c>
      <ns0:c r="K55" s="4" t="n">
        <ns0:v>8.4</ns0:v>
      </ns0:c>
      <ns0:c r="L55" s="4" t="n">
        <ns0:v>2500</ns0:v>
      </ns0:c>
      <ns0:c r="M55" s="4" t="n">
        <ns0:v>3000</ns0:v>
      </ns0:c>
      <ns0:c r="N55" s="4" t="n">
        <ns0:v>3500</ns0:v>
      </ns0:c>
      <ns0:c r="O55" s="9">
        <ns0:f>ROUND(L55/Assumptions!$B$2,0)</ns0:f>
        <ns0:v>347</ns0:v>
      </ns0:c>
      <ns0:c r="P55" s="9">
        <ns0:f>ROUND(M55/Assumptions!$B$2,0)</ns0:f>
        <ns0:v>417</ns0:v>
      </ns0:c>
      <ns0:c r="Q55" s="9">
        <ns0:f>ROUND(N55/Assumptions!$B$2,0)</ns0:f>
        <ns0:v>486</ns0:v>
      </ns0:c>
      <ns0:c r="R55" s="4">
        <ns0:f>COUNTIF(RawData[Script ID],A55)</ns0:f>
        <ns0:v>2</ns0:v>
      </ns0:c>
      <ns0:c r="S55" s="9">
        <ns0:f>SUMIF(RawData[Script ID],A55,RawData[Estimated Contribution])</ns0:f>
        <ns0:v>1126.0</ns0:v>
      </ns0:c>
      <ns0:c r="T55" s="9">
        <ns0:f>S55-O55</ns0:f>
        <ns0:v>779.0</ns0:v>
      </ns0:c>
      <ns0:c r="U55" s="9">
        <ns0:f>S55-P55</ns0:f>
        <ns0:v>709.0</ns0:v>
      </ns0:c>
      <ns0:c r="V55" s="9">
        <ns0:f>S55-Q55</ns0:f>
        <ns0:v>640.0</ns0:v>
      </ns0:c>
      <ns0:c r="W55" s="4" t="str">
        <ns0:f>IF(R55=0,"Not Opened",IF(V55&gt;=0,"Recovered - All Scenarios",IF(U55&gt;=0,"Recovered - Low &amp; Base",IF(T55&gt;=0,"Recovered - Low Only","Not Recovered"))))</ns0:f>
        <ns0:v>Recovered - All Scenarios</ns0:v>
      </ns0:c>
      <ns0:c r="X55" s="9">
        <ns0:f>IF(R55=0,0,S55/R55)</ns0:f>
        <ns0:v>563.0</ns0:v>
      </ns0:c>
      <ns0:c r="Y55" s="4">
        <ns0:f>R55</ns0:f>
        <ns0:v>2</ns0:v>
      </ns0:c>
      <ns0:c r="Z55" s="9">
        <ns0:f>IF(R55=0,"",S55/R55)</ns0:f>
        <ns0:v>563.0</ns0:v>
      </ns0:c>
      <ns0:c r="AA55" s="4" t="str">
        <ns0:f>IF(R55=0,"Not Opened",IF(R55&gt;=Assumptions!$B$3,"High Frequency","Low Frequency")&amp;" / "&amp;IF(X55&gt;=Assumptions!$B$4,"High Contribution","Low Contribution"))</ns0:f>
        <ns0:v>High Frequency / High Contribution</ns0:v>
      </ns0:c>
    </ns0:row>
    <ns0:row r="56">
      <ns0:c r="A56" s="4" t="inlineStr">
        <ns0:is>
          <ns0:t>SYN-055</ns0:t>
        </ns0:is>
      </ns0:c>
      <ns0:c r="B56" s="4" t="inlineStr">
        <ns0:is>
          <ns0:t>Synthetic Script 055</ns0:t>
        </ns0:is>
      </ns0:c>
      <ns0:c r="C56" s="4" t="inlineStr">
        <ns0:is>
          <ns0:t>推理</ns0:t>
        </ns0:is>
      </ns0:c>
      <ns0:c r="D56" s="4" t="n">
        <ns0:v>2</ns0:v>
      </ns0:c>
      <ns0:c r="E56" s="4" t="n">
        <ns0:v>8</ns0:v>
      </ns0:c>
      <ns0:c r="F56" s="9" t="n">
        <ns0:v>95</ns0:v>
      </ns0:c>
      <ns0:c r="G56" s="9">
        <ns0:f>E56*F56</ns0:f>
        <ns0:v>760</ns0:v>
      </ns0:c>
      <ns0:c r="H56" s="9" t="n">
        <ns0:v>200</ns0:v>
      </ns0:c>
      <ns0:c r="I56" s="4" t="inlineStr">
        <ns0:is>
          <ns0:t>城限</ns0:t>
        </ns0:is>
      </ns0:c>
      <ns0:c r="J56" s="9">
        <ns0:f>G56-H56</ns0:f>
        <ns0:v>560</ns0:v>
      </ns0:c>
      <ns0:c r="K56" s="4" t="n">
        <ns0:v>7</ns0:v>
      </ns0:c>
      <ns0:c r="L56" s="4" t="n">
        <ns0:v>1500</ns0:v>
      </ns0:c>
      <ns0:c r="M56" s="4" t="n">
        <ns0:v>2000</ns0:v>
      </ns0:c>
      <ns0:c r="N56" s="4" t="n">
        <ns0:v>2500</ns0:v>
      </ns0:c>
      <ns0:c r="O56" s="9">
        <ns0:f>ROUND(L56/Assumptions!$B$2,0)</ns0:f>
        <ns0:v>208</ns0:v>
      </ns0:c>
      <ns0:c r="P56" s="9">
        <ns0:f>ROUND(M56/Assumptions!$B$2,0)</ns0:f>
        <ns0:v>278</ns0:v>
      </ns0:c>
      <ns0:c r="Q56" s="9">
        <ns0:f>ROUND(N56/Assumptions!$B$2,0)</ns0:f>
        <ns0:v>347</ns0:v>
      </ns0:c>
      <ns0:c r="R56" s="4">
        <ns0:f>COUNTIF(RawData[Script ID],A56)</ns0:f>
        <ns0:v>7</ns0:v>
      </ns0:c>
      <ns0:c r="S56" s="9">
        <ns0:f>SUMIF(RawData[Script ID],A56,RawData[Estimated Contribution])</ns0:f>
        <ns0:v>3920.0</ns0:v>
      </ns0:c>
      <ns0:c r="T56" s="9">
        <ns0:f>S56-O56</ns0:f>
        <ns0:v>3712.0</ns0:v>
      </ns0:c>
      <ns0:c r="U56" s="9">
        <ns0:f>S56-P56</ns0:f>
        <ns0:v>3642.0</ns0:v>
      </ns0:c>
      <ns0:c r="V56" s="9">
        <ns0:f>S56-Q56</ns0:f>
        <ns0:v>3573.0</ns0:v>
      </ns0:c>
      <ns0:c r="W56" s="4" t="str">
        <ns0:f>IF(R56=0,"Not Opened",IF(V56&gt;=0,"Recovered - All Scenarios",IF(U56&gt;=0,"Recovered - Low &amp; Base",IF(T56&gt;=0,"Recovered - Low Only","Not Recovered"))))</ns0:f>
        <ns0:v>Recovered - All Scenarios</ns0:v>
      </ns0:c>
      <ns0:c r="X56" s="9">
        <ns0:f>IF(R56=0,0,S56/R56)</ns0:f>
        <ns0:v>560.0</ns0:v>
      </ns0:c>
      <ns0:c r="Y56" s="4">
        <ns0:f>R56</ns0:f>
        <ns0:v>7</ns0:v>
      </ns0:c>
      <ns0:c r="Z56" s="9">
        <ns0:f>IF(R56=0,"",S56/R56)</ns0:f>
        <ns0:v>560.0</ns0:v>
      </ns0:c>
      <ns0:c r="AA56" s="4" t="str">
        <ns0:f>IF(R56=0,"Not Opened",IF(R56&gt;=Assumptions!$B$3,"High Frequency","Low Frequency")&amp;" / "&amp;IF(X56&gt;=Assumptions!$B$4,"High Contribution","Low Contribution"))</ns0:f>
        <ns0:v>High Frequency / High Contribution</ns0:v>
      </ns0:c>
    </ns0:row>
    <ns0:row r="57">
      <ns0:c r="A57" s="4" t="inlineStr">
        <ns0:is>
          <ns0:t>SYN-056</ns0:t>
        </ns0:is>
      </ns0:c>
      <ns0:c r="B57" s="4" t="inlineStr">
        <ns0:is>
          <ns0:t>Synthetic Script 056</ns0:t>
        </ns0:is>
      </ns0:c>
      <ns0:c r="C57" s="4" t="inlineStr">
        <ns0:is>
          <ns0:t>情感</ns0:t>
        </ns0:is>
      </ns0:c>
      <ns0:c r="D57" s="4" t="n">
        <ns0:v>2</ns0:v>
      </ns0:c>
      <ns0:c r="E57" s="4" t="n">
        <ns0:v>6</ns0:v>
      </ns0:c>
      <ns0:c r="F57" s="9" t="n">
        <ns0:v>138</ns0:v>
      </ns0:c>
      <ns0:c r="G57" s="9">
        <ns0:f>E57*F57</ns0:f>
        <ns0:v>828</ns0:v>
      </ns0:c>
      <ns0:c r="H57" s="9" t="n">
        <ns0:v>180</ns0:v>
      </ns0:c>
      <ns0:c r="I57" s="4" t="inlineStr">
        <ns0:is>
          <ns0:t>盒装</ns0:t>
        </ns0:is>
      </ns0:c>
      <ns0:c r="J57" s="9">
        <ns0:f>G57-H57</ns0:f>
        <ns0:v>648</ns0:v>
      </ns0:c>
      <ns0:c r="K57" s="4" t="n">
        <ns0:v>7.7</ns0:v>
      </ns0:c>
      <ns0:c r="L57" s="4" t="n">
        <ns0:v>0</ns0:v>
      </ns0:c>
      <ns0:c r="M57" s="4" t="n">
        <ns0:v>750</ns0:v>
      </ns0:c>
      <ns0:c r="N57" s="4" t="n">
        <ns0:v>1000</ns0:v>
      </ns0:c>
      <ns0:c r="O57" s="9">
        <ns0:f>ROUND(L57/Assumptions!$B$2,0)</ns0:f>
        <ns0:v>0</ns0:v>
      </ns0:c>
      <ns0:c r="P57" s="9">
        <ns0:f>ROUND(M57/Assumptions!$B$2,0)</ns0:f>
        <ns0:v>104</ns0:v>
      </ns0:c>
      <ns0:c r="Q57" s="9">
        <ns0:f>ROUND(N57/Assumptions!$B$2,0)</ns0:f>
        <ns0:v>139</ns0:v>
      </ns0:c>
      <ns0:c r="R57" s="4">
        <ns0:f>COUNTIF(RawData[Script ID],A57)</ns0:f>
        <ns0:v>1</ns0:v>
      </ns0:c>
      <ns0:c r="S57" s="9">
        <ns0:f>SUMIF(RawData[Script ID],A57,RawData[Estimated Contribution])</ns0:f>
        <ns0:v>648.0</ns0:v>
      </ns0:c>
      <ns0:c r="T57" s="9">
        <ns0:f>S57-O57</ns0:f>
        <ns0:v>648.0</ns0:v>
      </ns0:c>
      <ns0:c r="U57" s="9">
        <ns0:f>S57-P57</ns0:f>
        <ns0:v>544.0</ns0:v>
      </ns0:c>
      <ns0:c r="V57" s="9">
        <ns0:f>S57-Q57</ns0:f>
        <ns0:v>509.0</ns0:v>
      </ns0:c>
      <ns0:c r="W57" s="4" t="str">
        <ns0:f>IF(R57=0,"Not Opened",IF(V57&gt;=0,"Recovered - All Scenarios",IF(U57&gt;=0,"Recovered - Low &amp; Base",IF(T57&gt;=0,"Recovered - Low Only","Not Recovered"))))</ns0:f>
        <ns0:v>Recovered - All Scenarios</ns0:v>
      </ns0:c>
      <ns0:c r="X57" s="9">
        <ns0:f>IF(R57=0,0,S57/R57)</ns0:f>
        <ns0:v>648.0</ns0:v>
      </ns0:c>
      <ns0:c r="Y57" s="4">
        <ns0:f>R57</ns0:f>
        <ns0:v>1</ns0:v>
      </ns0:c>
      <ns0:c r="Z57" s="9">
        <ns0:f>IF(R57=0,"",S57/R57)</ns0:f>
        <ns0:v>648.0</ns0:v>
      </ns0:c>
      <ns0:c r="AA57" s="4" t="str">
        <ns0:f>IF(R57=0,"Not Opened",IF(R57&gt;=Assumptions!$B$3,"High Frequency","Low Frequency")&amp;" / "&amp;IF(X57&gt;=Assumptions!$B$4,"High Contribution","Low Contribution"))</ns0:f>
        <ns0:v>Low Frequency / High Contribution</ns0:v>
      </ns0:c>
    </ns0:row>
    <ns0:row r="58">
      <ns0:c r="A58" s="4" t="inlineStr">
        <ns0:is>
          <ns0:t>SYN-057</ns0:t>
        </ns0:is>
      </ns0:c>
      <ns0:c r="B58" s="4" t="inlineStr">
        <ns0:is>
          <ns0:t>Synthetic Script 057</ns0:t>
        </ns0:is>
      </ns0:c>
      <ns0:c r="C58" s="4" t="inlineStr">
        <ns0:is>
          <ns0:t>机制</ns0:t>
        </ns0:is>
      </ns0:c>
      <ns0:c r="D58" s="4" t="n">
        <ns0:v>1</ns0:v>
      </ns0:c>
      <ns0:c r="E58" s="4" t="n">
        <ns0:v>6</ns0:v>
      </ns0:c>
      <ns0:c r="F58" s="9" t="n">
        <ns0:v>109</ns0:v>
      </ns0:c>
      <ns0:c r="G58" s="9">
        <ns0:f>E58*F58</ns0:f>
        <ns0:v>654</ns0:v>
      </ns0:c>
      <ns0:c r="H58" s="9" t="n">
        <ns0:v>172</ns0:v>
      </ns0:c>
      <ns0:c r="I58" s="4" t="inlineStr">
        <ns0:is>
          <ns0:t>城限</ns0:t>
        </ns0:is>
      </ns0:c>
      <ns0:c r="J58" s="9">
        <ns0:f>G58-H58</ns0:f>
        <ns0:v>482</ns0:v>
      </ns0:c>
      <ns0:c r="K58" s="4" t="n">
        <ns0:v>8.4</ns0:v>
      </ns0:c>
      <ns0:c r="L58" s="4" t="n">
        <ns0:v>1500</ns0:v>
      </ns0:c>
      <ns0:c r="M58" s="4" t="n">
        <ns0:v>2000</ns0:v>
      </ns0:c>
      <ns0:c r="N58" s="4" t="n">
        <ns0:v>2500</ns0:v>
      </ns0:c>
      <ns0:c r="O58" s="9">
        <ns0:f>ROUND(L58/Assumptions!$B$2,0)</ns0:f>
        <ns0:v>208</ns0:v>
      </ns0:c>
      <ns0:c r="P58" s="9">
        <ns0:f>ROUND(M58/Assumptions!$B$2,0)</ns0:f>
        <ns0:v>278</ns0:v>
      </ns0:c>
      <ns0:c r="Q58" s="9">
        <ns0:f>ROUND(N58/Assumptions!$B$2,0)</ns0:f>
        <ns0:v>347</ns0:v>
      </ns0:c>
      <ns0:c r="R58" s="4">
        <ns0:f>COUNTIF(RawData[Script ID],A58)</ns0:f>
        <ns0:v>3</ns0:v>
      </ns0:c>
      <ns0:c r="S58" s="9">
        <ns0:f>SUMIF(RawData[Script ID],A58,RawData[Estimated Contribution])</ns0:f>
        <ns0:v>1446.0</ns0:v>
      </ns0:c>
      <ns0:c r="T58" s="9">
        <ns0:f>S58-O58</ns0:f>
        <ns0:v>1238.0</ns0:v>
      </ns0:c>
      <ns0:c r="U58" s="9">
        <ns0:f>S58-P58</ns0:f>
        <ns0:v>1168.0</ns0:v>
      </ns0:c>
      <ns0:c r="V58" s="9">
        <ns0:f>S58-Q58</ns0:f>
        <ns0:v>1099.0</ns0:v>
      </ns0:c>
      <ns0:c r="W58" s="4" t="str">
        <ns0:f>IF(R58=0,"Not Opened",IF(V58&gt;=0,"Recovered - All Scenarios",IF(U58&gt;=0,"Recovered - Low &amp; Base",IF(T58&gt;=0,"Recovered - Low Only","Not Recovered"))))</ns0:f>
        <ns0:v>Recovered - All Scenarios</ns0:v>
      </ns0:c>
      <ns0:c r="X58" s="9">
        <ns0:f>IF(R58=0,0,S58/R58)</ns0:f>
        <ns0:v>482.0</ns0:v>
      </ns0:c>
      <ns0:c r="Y58" s="4">
        <ns0:f>R58</ns0:f>
        <ns0:v>3</ns0:v>
      </ns0:c>
      <ns0:c r="Z58" s="9">
        <ns0:f>IF(R58=0,"",S58/R58)</ns0:f>
        <ns0:v>482.0</ns0:v>
      </ns0:c>
      <ns0:c r="AA58" s="4" t="str">
        <ns0:f>IF(R58=0,"Not Opened",IF(R58&gt;=Assumptions!$B$3,"High Frequency","Low Frequency")&amp;" / "&amp;IF(X58&gt;=Assumptions!$B$4,"High Contribution","Low Contribution"))</ns0:f>
        <ns0:v>High Frequency / Low Contribution</ns0:v>
      </ns0:c>
    </ns0:row>
    <ns0:row r="59">
      <ns0:c r="A59" s="4" t="inlineStr">
        <ns0:is>
          <ns0:t>SYN-058</ns0:t>
        </ns0:is>
      </ns0:c>
      <ns0:c r="B59" s="4" t="inlineStr">
        <ns0:is>
          <ns0:t>Synthetic Script 058</ns0:t>
        </ns0:is>
      </ns0:c>
      <ns0:c r="C59" s="4" t="inlineStr">
        <ns0:is>
          <ns0:t>推理</ns0:t>
        </ns0:is>
      </ns0:c>
      <ns0:c r="D59" s="4" t="n">
        <ns0:v>1</ns0:v>
      </ns0:c>
      <ns0:c r="E59" s="4" t="n">
        <ns0:v>6</ns0:v>
      </ns0:c>
      <ns0:c r="F59" s="9" t="n">
        <ns0:v>75</ns0:v>
      </ns0:c>
      <ns0:c r="G59" s="9">
        <ns0:f>E59*F59</ns0:f>
        <ns0:v>450</ns0:v>
      </ns0:c>
      <ns0:c r="H59" s="9" t="n">
        <ns0:v>118</ns0:v>
      </ns0:c>
      <ns0:c r="I59" s="4" t="inlineStr">
        <ns0:is>
          <ns0:t>盒装</ns0:t>
        </ns0:is>
      </ns0:c>
      <ns0:c r="J59" s="9">
        <ns0:f>G59-H59</ns0:f>
        <ns0:v>332</ns0:v>
      </ns0:c>
      <ns0:c r="K59" s="4" t="n">
        <ns0:v>7</ns0:v>
      </ns0:c>
      <ns0:c r="L59" s="4" t="n">
        <ns0:v>0</ns0:v>
      </ns0:c>
      <ns0:c r="M59" s="4" t="n">
        <ns0:v>750</ns0:v>
      </ns0:c>
      <ns0:c r="N59" s="4" t="n">
        <ns0:v>1000</ns0:v>
      </ns0:c>
      <ns0:c r="O59" s="9">
        <ns0:f>ROUND(L59/Assumptions!$B$2,0)</ns0:f>
        <ns0:v>0</ns0:v>
      </ns0:c>
      <ns0:c r="P59" s="9">
        <ns0:f>ROUND(M59/Assumptions!$B$2,0)</ns0:f>
        <ns0:v>104</ns0:v>
      </ns0:c>
      <ns0:c r="Q59" s="9">
        <ns0:f>ROUND(N59/Assumptions!$B$2,0)</ns0:f>
        <ns0:v>139</ns0:v>
      </ns0:c>
      <ns0:c r="R59" s="4">
        <ns0:f>COUNTIF(RawData[Script ID],A59)</ns0:f>
        <ns0:v>10</ns0:v>
      </ns0:c>
      <ns0:c r="S59" s="9">
        <ns0:f>SUMIF(RawData[Script ID],A59,RawData[Estimated Contribution])</ns0:f>
        <ns0:v>3320.0</ns0:v>
      </ns0:c>
      <ns0:c r="T59" s="9">
        <ns0:f>S59-O59</ns0:f>
        <ns0:v>3320.0</ns0:v>
      </ns0:c>
      <ns0:c r="U59" s="9">
        <ns0:f>S59-P59</ns0:f>
        <ns0:v>3216.0</ns0:v>
      </ns0:c>
      <ns0:c r="V59" s="9">
        <ns0:f>S59-Q59</ns0:f>
        <ns0:v>3181.0</ns0:v>
      </ns0:c>
      <ns0:c r="W59" s="4" t="str">
        <ns0:f>IF(R59=0,"Not Opened",IF(V59&gt;=0,"Recovered - All Scenarios",IF(U59&gt;=0,"Recovered - Low &amp; Base",IF(T59&gt;=0,"Recovered - Low Only","Not Recovered"))))</ns0:f>
        <ns0:v>Recovered - All Scenarios</ns0:v>
      </ns0:c>
      <ns0:c r="X59" s="9">
        <ns0:f>IF(R59=0,0,S59/R59)</ns0:f>
        <ns0:v>332.0</ns0:v>
      </ns0:c>
      <ns0:c r="Y59" s="4">
        <ns0:f>R59</ns0:f>
        <ns0:v>10</ns0:v>
      </ns0:c>
      <ns0:c r="Z59" s="9">
        <ns0:f>IF(R59=0,"",S59/R59)</ns0:f>
        <ns0:v>332.0</ns0:v>
      </ns0:c>
      <ns0:c r="AA59" s="4" t="str">
        <ns0:f>IF(R59=0,"Not Opened",IF(R59&gt;=Assumptions!$B$3,"High Frequency","Low Frequency")&amp;" / "&amp;IF(X59&gt;=Assumptions!$B$4,"High Contribution","Low Contribution"))</ns0:f>
        <ns0:v>High Frequency / Low Contribution</ns0:v>
      </ns0:c>
    </ns0:row>
    <ns0:row r="60">
      <ns0:c r="A60" s="4" t="inlineStr">
        <ns0:is>
          <ns0:t>SYN-059</ns0:t>
        </ns0:is>
      </ns0:c>
      <ns0:c r="B60" s="4" t="inlineStr">
        <ns0:is>
          <ns0:t>Synthetic Script 059</ns0:t>
        </ns0:is>
      </ns0:c>
      <ns0:c r="C60" s="4" t="inlineStr">
        <ns0:is>
          <ns0:t>欢乐</ns0:t>
        </ns0:is>
      </ns0:c>
      <ns0:c r="D60" s="4" t="n">
        <ns0:v>3</ns0:v>
      </ns0:c>
      <ns0:c r="E60" s="4" t="n">
        <ns0:v>7</ns0:v>
      </ns0:c>
      <ns0:c r="F60" s="9" t="n">
        <ns0:v>118</ns0:v>
      </ns0:c>
      <ns0:c r="G60" s="9">
        <ns0:f>E60*F60</ns0:f>
        <ns0:v>826</ns0:v>
      </ns0:c>
      <ns0:c r="H60" s="9" t="n">
        <ns0:v>217</ns0:v>
      </ns0:c>
      <ns0:c r="I60" s="4" t="inlineStr">
        <ns0:is>
          <ns0:t>独家</ns0:t>
        </ns0:is>
      </ns0:c>
      <ns0:c r="J60" s="9">
        <ns0:f>G60-H60</ns0:f>
        <ns0:v>609</ns0:v>
      </ns0:c>
      <ns0:c r="K60" s="4" t="n">
        <ns0:v>7.7</ns0:v>
      </ns0:c>
      <ns0:c r="L60" s="4" t="n">
        <ns0:v>2500</ns0:v>
      </ns0:c>
      <ns0:c r="M60" s="4" t="n">
        <ns0:v>3000</ns0:v>
      </ns0:c>
      <ns0:c r="N60" s="4" t="n">
        <ns0:v>3500</ns0:v>
      </ns0:c>
      <ns0:c r="O60" s="9">
        <ns0:f>ROUND(L60/Assumptions!$B$2,0)</ns0:f>
        <ns0:v>347</ns0:v>
      </ns0:c>
      <ns0:c r="P60" s="9">
        <ns0:f>ROUND(M60/Assumptions!$B$2,0)</ns0:f>
        <ns0:v>417</ns0:v>
      </ns0:c>
      <ns0:c r="Q60" s="9">
        <ns0:f>ROUND(N60/Assumptions!$B$2,0)</ns0:f>
        <ns0:v>486</ns0:v>
      </ns0:c>
      <ns0:c r="R60" s="4">
        <ns0:f>COUNTIF(RawData[Script ID],A60)</ns0:f>
        <ns0:v>1</ns0:v>
      </ns0:c>
      <ns0:c r="S60" s="9">
        <ns0:f>SUMIF(RawData[Script ID],A60,RawData[Estimated Contribution])</ns0:f>
        <ns0:v>609.0</ns0:v>
      </ns0:c>
      <ns0:c r="T60" s="9">
        <ns0:f>S60-O60</ns0:f>
        <ns0:v>262.0</ns0:v>
      </ns0:c>
      <ns0:c r="U60" s="9">
        <ns0:f>S60-P60</ns0:f>
        <ns0:v>192.0</ns0:v>
      </ns0:c>
      <ns0:c r="V60" s="9">
        <ns0:f>S60-Q60</ns0:f>
        <ns0:v>123.0</ns0:v>
      </ns0:c>
      <ns0:c r="W60" s="4" t="str">
        <ns0:f>IF(R60=0,"Not Opened",IF(V60&gt;=0,"Recovered - All Scenarios",IF(U60&gt;=0,"Recovered - Low &amp; Base",IF(T60&gt;=0,"Recovered - Low Only","Not Recovered"))))</ns0:f>
        <ns0:v>Recovered - All Scenarios</ns0:v>
      </ns0:c>
      <ns0:c r="X60" s="9">
        <ns0:f>IF(R60=0,0,S60/R60)</ns0:f>
        <ns0:v>609.0</ns0:v>
      </ns0:c>
      <ns0:c r="Y60" s="4">
        <ns0:f>R60</ns0:f>
        <ns0:v>1</ns0:v>
      </ns0:c>
      <ns0:c r="Z60" s="9">
        <ns0:f>IF(R60=0,"",S60/R60)</ns0:f>
        <ns0:v>609.0</ns0:v>
      </ns0:c>
      <ns0:c r="AA60" s="4" t="str">
        <ns0:f>IF(R60=0,"Not Opened",IF(R60&gt;=Assumptions!$B$3,"High Frequency","Low Frequency")&amp;" / "&amp;IF(X60&gt;=Assumptions!$B$4,"High Contribution","Low Contribution"))</ns0:f>
        <ns0:v>Low Frequency / High Contribution</ns0:v>
      </ns0:c>
    </ns0:row>
    <ns0:row r="61">
      <ns0:c r="A61" s="4" t="inlineStr">
        <ns0:is>
          <ns0:t>SYN-060</ns0:t>
        </ns0:is>
      </ns0:c>
      <ns0:c r="B61" s="4" t="inlineStr">
        <ns0:is>
          <ns0:t>Synthetic Script 060</ns0:t>
        </ns0:is>
      </ns0:c>
      <ns0:c r="C61" s="4" t="inlineStr">
        <ns0:is>
          <ns0:t>情感</ns0:t>
        </ns0:is>
      </ns0:c>
      <ns0:c r="D61" s="4" t="n">
        <ns0:v>6</ns0:v>
      </ns0:c>
      <ns0:c r="E61" s="4" t="n">
        <ns0:v>8</ns0:v>
      </ns0:c>
      <ns0:c r="F61" s="9" t="n">
        <ns0:v>138</ns0:v>
      </ns0:c>
      <ns0:c r="G61" s="9">
        <ns0:f>E61*F61</ns0:f>
        <ns0:v>1104</ns0:v>
      </ns0:c>
      <ns0:c r="H61" s="9" t="n">
        <ns0:v>540</ns0:v>
      </ns0:c>
      <ns0:c r="I61" s="4" t="inlineStr">
        <ns0:is>
          <ns0:t>盒装</ns0:t>
        </ns0:is>
      </ns0:c>
      <ns0:c r="J61" s="9">
        <ns0:f>G61-H61</ns0:f>
        <ns0:v>564</ns0:v>
      </ns0:c>
      <ns0:c r="K61" s="4" t="n">
        <ns0:v>8.4</ns0:v>
      </ns0:c>
      <ns0:c r="L61" s="4" t="n">
        <ns0:v>0</ns0:v>
      </ns0:c>
      <ns0:c r="M61" s="4" t="n">
        <ns0:v>750</ns0:v>
      </ns0:c>
      <ns0:c r="N61" s="4" t="n">
        <ns0:v>1000</ns0:v>
      </ns0:c>
      <ns0:c r="O61" s="9">
        <ns0:f>ROUND(L61/Assumptions!$B$2,0)</ns0:f>
        <ns0:v>0</ns0:v>
      </ns0:c>
      <ns0:c r="P61" s="9">
        <ns0:f>ROUND(M61/Assumptions!$B$2,0)</ns0:f>
        <ns0:v>104</ns0:v>
      </ns0:c>
      <ns0:c r="Q61" s="9">
        <ns0:f>ROUND(N61/Assumptions!$B$2,0)</ns0:f>
        <ns0:v>139</ns0:v>
      </ns0:c>
      <ns0:c r="R61" s="4">
        <ns0:f>COUNTIF(RawData[Script ID],A61)</ns0:f>
        <ns0:v>3</ns0:v>
      </ns0:c>
      <ns0:c r="S61" s="9">
        <ns0:f>SUMIF(RawData[Script ID],A61,RawData[Estimated Contribution])</ns0:f>
        <ns0:v>1692.0</ns0:v>
      </ns0:c>
      <ns0:c r="T61" s="9">
        <ns0:f>S61-O61</ns0:f>
        <ns0:v>1692.0</ns0:v>
      </ns0:c>
      <ns0:c r="U61" s="9">
        <ns0:f>S61-P61</ns0:f>
        <ns0:v>1588.0</ns0:v>
      </ns0:c>
      <ns0:c r="V61" s="9">
        <ns0:f>S61-Q61</ns0:f>
        <ns0:v>1553.0</ns0:v>
      </ns0:c>
      <ns0:c r="W61" s="4" t="str">
        <ns0:f>IF(R61=0,"Not Opened",IF(V61&gt;=0,"Recovered - All Scenarios",IF(U61&gt;=0,"Recovered - Low &amp; Base",IF(T61&gt;=0,"Recovered - Low Only","Not Recovered"))))</ns0:f>
        <ns0:v>Recovered - All Scenarios</ns0:v>
      </ns0:c>
      <ns0:c r="X61" s="9">
        <ns0:f>IF(R61=0,0,S61/R61)</ns0:f>
        <ns0:v>564.0</ns0:v>
      </ns0:c>
      <ns0:c r="Y61" s="4">
        <ns0:f>R61</ns0:f>
        <ns0:v>3</ns0:v>
      </ns0:c>
      <ns0:c r="Z61" s="9">
        <ns0:f>IF(R61=0,"",S61/R61)</ns0:f>
        <ns0:v>564.0</ns0:v>
      </ns0:c>
      <ns0:c r="AA61" s="4" t="str">
        <ns0:f>IF(R61=0,"Not Opened",IF(R61&gt;=Assumptions!$B$3,"High Frequency","Low Frequency")&amp;" / "&amp;IF(X61&gt;=Assumptions!$B$4,"High Contribution","Low Contribution"))</ns0:f>
        <ns0:v>High Frequency / High Contribution</ns0:v>
      </ns0:c>
    </ns0:row>
    <ns0:row r="62">
      <ns0:c r="A62" s="4" t="inlineStr">
        <ns0:is>
          <ns0:t>SYN-061</ns0:t>
        </ns0:is>
      </ns0:c>
      <ns0:c r="B62" s="4" t="inlineStr">
        <ns0:is>
          <ns0:t>Synthetic Script 061</ns0:t>
        </ns0:is>
      </ns0:c>
      <ns0:c r="C62" s="4" t="inlineStr">
        <ns0:is>
          <ns0:t>情感</ns0:t>
        </ns0:is>
      </ns0:c>
      <ns0:c r="D62" s="4" t="n">
        <ns0:v>2</ns0:v>
      </ns0:c>
      <ns0:c r="E62" s="4" t="n">
        <ns0:v>6</ns0:v>
      </ns0:c>
      <ns0:c r="F62" s="9" t="n">
        <ns0:v>99</ns0:v>
      </ns0:c>
      <ns0:c r="G62" s="9">
        <ns0:f>E62*F62</ns0:f>
        <ns0:v>594</ns0:v>
      </ns0:c>
      <ns0:c r="H62" s="9" t="n">
        <ns0:v>180</ns0:v>
      </ns0:c>
      <ns0:c r="I62" s="4" t="inlineStr">
        <ns0:is>
          <ns0:t>盒装</ns0:t>
        </ns0:is>
      </ns0:c>
      <ns0:c r="J62" s="9">
        <ns0:f>G62-H62</ns0:f>
        <ns0:v>414</ns0:v>
      </ns0:c>
      <ns0:c r="K62" s="4" t="n">
        <ns0:v>7</ns0:v>
      </ns0:c>
      <ns0:c r="L62" s="4" t="n">
        <ns0:v>0</ns0:v>
      </ns0:c>
      <ns0:c r="M62" s="4" t="n">
        <ns0:v>750</ns0:v>
      </ns0:c>
      <ns0:c r="N62" s="4" t="n">
        <ns0:v>1000</ns0:v>
      </ns0:c>
      <ns0:c r="O62" s="9">
        <ns0:f>ROUND(L62/Assumptions!$B$2,0)</ns0:f>
        <ns0:v>0</ns0:v>
      </ns0:c>
      <ns0:c r="P62" s="9">
        <ns0:f>ROUND(M62/Assumptions!$B$2,0)</ns0:f>
        <ns0:v>104</ns0:v>
      </ns0:c>
      <ns0:c r="Q62" s="9">
        <ns0:f>ROUND(N62/Assumptions!$B$2,0)</ns0:f>
        <ns0:v>139</ns0:v>
      </ns0:c>
      <ns0:c r="R62" s="4">
        <ns0:f>COUNTIF(RawData[Script ID],A62)</ns0:f>
        <ns0:v>0</ns0:v>
      </ns0:c>
      <ns0:c r="S62" s="9">
        <ns0:f>SUMIF(RawData[Script ID],A62,RawData[Estimated Contribution])</ns0:f>
        <ns0:v>0.0</ns0:v>
      </ns0:c>
      <ns0:c r="T62" s="9">
        <ns0:f>S62-O62</ns0:f>
        <ns0:v>0.0</ns0:v>
      </ns0:c>
      <ns0:c r="U62" s="9">
        <ns0:f>S62-P62</ns0:f>
        <ns0:v>-104.0</ns0:v>
      </ns0:c>
      <ns0:c r="V62" s="9">
        <ns0:f>S62-Q62</ns0:f>
        <ns0:v>-139.0</ns0:v>
      </ns0:c>
      <ns0:c r="W62" s="4" t="str">
        <ns0:f>IF(R62=0,"Not Opened",IF(V62&gt;=0,"Recovered - All Scenarios",IF(U62&gt;=0,"Recovered - Low &amp; Base",IF(T62&gt;=0,"Recovered - Low Only","Not Recovered"))))</ns0:f>
        <ns0:v>Not Opened</ns0:v>
      </ns0:c>
      <ns0:c r="X62" s="9">
        <ns0:f>IF(R62=0,0,S62/R62)</ns0:f>
        <ns0:v>0</ns0:v>
      </ns0:c>
      <ns0:c r="Y62" s="4">
        <ns0:f>R62</ns0:f>
        <ns0:v>0</ns0:v>
      </ns0:c>
      <ns0:c r="Z62" s="9" t="str">
        <ns0:f>IF(R62=0,"",S62/R62)</ns0:f>
        <ns0:v/>
      </ns0:c>
      <ns0:c r="AA62" s="4" t="str">
        <ns0:f>IF(R62=0,"Not Opened",IF(R62&gt;=Assumptions!$B$3,"High Frequency","Low Frequency")&amp;" / "&amp;IF(X62&gt;=Assumptions!$B$4,"High Contribution","Low Contribution"))</ns0:f>
        <ns0:v>Not Opened</ns0:v>
      </ns0:c>
    </ns0:row>
    <ns0:row r="63">
      <ns0:c r="A63" s="4" t="inlineStr">
        <ns0:is>
          <ns0:t>SYN-062</ns0:t>
        </ns0:is>
      </ns0:c>
      <ns0:c r="B63" s="4" t="inlineStr">
        <ns0:is>
          <ns0:t>Synthetic Script 062</ns0:t>
        </ns0:is>
      </ns0:c>
      <ns0:c r="C63" s="4" t="inlineStr">
        <ns0:is>
          <ns0:t>推理</ns0:t>
        </ns0:is>
      </ns0:c>
      <ns0:c r="D63" s="4" t="n">
        <ns0:v>1</ns0:v>
      </ns0:c>
      <ns0:c r="E63" s="4" t="n">
        <ns0:v>6</ns0:v>
      </ns0:c>
      <ns0:c r="F63" s="9" t="n">
        <ns0:v>75</ns0:v>
      </ns0:c>
      <ns0:c r="G63" s="9">
        <ns0:f>E63*F63</ns0:f>
        <ns0:v>450</ns0:v>
      </ns0:c>
      <ns0:c r="H63" s="9" t="n">
        <ns0:v>118</ns0:v>
      </ns0:c>
      <ns0:c r="I63" s="4" t="inlineStr">
        <ns0:is>
          <ns0:t>城限</ns0:t>
        </ns0:is>
      </ns0:c>
      <ns0:c r="J63" s="9">
        <ns0:f>G63-H63</ns0:f>
        <ns0:v>332</ns0:v>
      </ns0:c>
      <ns0:c r="K63" s="4" t="n">
        <ns0:v>7.7</ns0:v>
      </ns0:c>
      <ns0:c r="L63" s="4" t="n">
        <ns0:v>1500</ns0:v>
      </ns0:c>
      <ns0:c r="M63" s="4" t="n">
        <ns0:v>2000</ns0:v>
      </ns0:c>
      <ns0:c r="N63" s="4" t="n">
        <ns0:v>2500</ns0:v>
      </ns0:c>
      <ns0:c r="O63" s="9">
        <ns0:f>ROUND(L63/Assumptions!$B$2,0)</ns0:f>
        <ns0:v>208</ns0:v>
      </ns0:c>
      <ns0:c r="P63" s="9">
        <ns0:f>ROUND(M63/Assumptions!$B$2,0)</ns0:f>
        <ns0:v>278</ns0:v>
      </ns0:c>
      <ns0:c r="Q63" s="9">
        <ns0:f>ROUND(N63/Assumptions!$B$2,0)</ns0:f>
        <ns0:v>347</ns0:v>
      </ns0:c>
      <ns0:c r="R63" s="4">
        <ns0:f>COUNTIF(RawData[Script ID],A63)</ns0:f>
        <ns0:v>1</ns0:v>
      </ns0:c>
      <ns0:c r="S63" s="9">
        <ns0:f>SUMIF(RawData[Script ID],A63,RawData[Estimated Contribution])</ns0:f>
        <ns0:v>332.0</ns0:v>
      </ns0:c>
      <ns0:c r="T63" s="9">
        <ns0:f>S63-O63</ns0:f>
        <ns0:v>124.0</ns0:v>
      </ns0:c>
      <ns0:c r="U63" s="9">
        <ns0:f>S63-P63</ns0:f>
        <ns0:v>54.0</ns0:v>
      </ns0:c>
      <ns0:c r="V63" s="9">
        <ns0:f>S63-Q63</ns0:f>
        <ns0:v>-15.0</ns0:v>
      </ns0:c>
      <ns0:c r="W63" s="4" t="str">
        <ns0:f>IF(R63=0,"Not Opened",IF(V63&gt;=0,"Recovered - All Scenarios",IF(U63&gt;=0,"Recovered - Low &amp; Base",IF(T63&gt;=0,"Recovered - Low Only","Not Recovered"))))</ns0:f>
        <ns0:v>Recovered - Low &amp; Base</ns0:v>
      </ns0:c>
      <ns0:c r="X63" s="9">
        <ns0:f>IF(R63=0,0,S63/R63)</ns0:f>
        <ns0:v>332.0</ns0:v>
      </ns0:c>
      <ns0:c r="Y63" s="4">
        <ns0:f>R63</ns0:f>
        <ns0:v>1</ns0:v>
      </ns0:c>
      <ns0:c r="Z63" s="9">
        <ns0:f>IF(R63=0,"",S63/R63)</ns0:f>
        <ns0:v>332.0</ns0:v>
      </ns0:c>
      <ns0:c r="AA63" s="4" t="str">
        <ns0:f>IF(R63=0,"Not Opened",IF(R63&gt;=Assumptions!$B$3,"High Frequency","Low Frequency")&amp;" / "&amp;IF(X63&gt;=Assumptions!$B$4,"High Contribution","Low Contribution"))</ns0:f>
        <ns0:v>Low Frequency / Low Contribution</ns0:v>
      </ns0:c>
    </ns0:row>
    <ns0:row r="64">
      <ns0:c r="A64" s="4" t="inlineStr">
        <ns0:is>
          <ns0:t>SYN-063</ns0:t>
        </ns0:is>
      </ns0:c>
      <ns0:c r="B64" s="4" t="inlineStr">
        <ns0:is>
          <ns0:t>Synthetic Script 063</ns0:t>
        </ns0:is>
      </ns0:c>
      <ns0:c r="C64" s="4" t="inlineStr">
        <ns0:is>
          <ns0:t>情感</ns0:t>
        </ns0:is>
      </ns0:c>
      <ns0:c r="D64" s="4" t="n">
        <ns0:v>3</ns0:v>
      </ns0:c>
      <ns0:c r="E64" s="4" t="n">
        <ns0:v>6</ns0:v>
      </ns0:c>
      <ns0:c r="F64" s="9" t="n">
        <ns0:v>118</ns0:v>
      </ns0:c>
      <ns0:c r="G64" s="9">
        <ns0:f>E64*F64</ns0:f>
        <ns0:v>708</ns0:v>
      </ns0:c>
      <ns0:c r="H64" s="9" t="n">
        <ns0:v>270</ns0:v>
      </ns0:c>
      <ns0:c r="I64" s="4" t="inlineStr">
        <ns0:is>
          <ns0:t>盒装</ns0:t>
        </ns0:is>
      </ns0:c>
      <ns0:c r="J64" s="9">
        <ns0:f>G64-H64</ns0:f>
        <ns0:v>438</ns0:v>
      </ns0:c>
      <ns0:c r="K64" s="4" t="n">
        <ns0:v>8.4</ns0:v>
      </ns0:c>
      <ns0:c r="L64" s="4" t="n">
        <ns0:v>0</ns0:v>
      </ns0:c>
      <ns0:c r="M64" s="4" t="n">
        <ns0:v>750</ns0:v>
      </ns0:c>
      <ns0:c r="N64" s="4" t="n">
        <ns0:v>1000</ns0:v>
      </ns0:c>
      <ns0:c r="O64" s="9">
        <ns0:f>ROUND(L64/Assumptions!$B$2,0)</ns0:f>
        <ns0:v>0</ns0:v>
      </ns0:c>
      <ns0:c r="P64" s="9">
        <ns0:f>ROUND(M64/Assumptions!$B$2,0)</ns0:f>
        <ns0:v>104</ns0:v>
      </ns0:c>
      <ns0:c r="Q64" s="9">
        <ns0:f>ROUND(N64/Assumptions!$B$2,0)</ns0:f>
        <ns0:v>139</ns0:v>
      </ns0:c>
      <ns0:c r="R64" s="4">
        <ns0:f>COUNTIF(RawData[Script ID],A64)</ns0:f>
        <ns0:v>3</ns0:v>
      </ns0:c>
      <ns0:c r="S64" s="9">
        <ns0:f>SUMIF(RawData[Script ID],A64,RawData[Estimated Contribution])</ns0:f>
        <ns0:v>1314.0</ns0:v>
      </ns0:c>
      <ns0:c r="T64" s="9">
        <ns0:f>S64-O64</ns0:f>
        <ns0:v>1314.0</ns0:v>
      </ns0:c>
      <ns0:c r="U64" s="9">
        <ns0:f>S64-P64</ns0:f>
        <ns0:v>1210.0</ns0:v>
      </ns0:c>
      <ns0:c r="V64" s="9">
        <ns0:f>S64-Q64</ns0:f>
        <ns0:v>1175.0</ns0:v>
      </ns0:c>
      <ns0:c r="W64" s="4" t="str">
        <ns0:f>IF(R64=0,"Not Opened",IF(V64&gt;=0,"Recovered - All Scenarios",IF(U64&gt;=0,"Recovered - Low &amp; Base",IF(T64&gt;=0,"Recovered - Low Only","Not Recovered"))))</ns0:f>
        <ns0:v>Recovered - All Scenarios</ns0:v>
      </ns0:c>
      <ns0:c r="X64" s="9">
        <ns0:f>IF(R64=0,0,S64/R64)</ns0:f>
        <ns0:v>438.0</ns0:v>
      </ns0:c>
      <ns0:c r="Y64" s="4">
        <ns0:f>R64</ns0:f>
        <ns0:v>3</ns0:v>
      </ns0:c>
      <ns0:c r="Z64" s="9">
        <ns0:f>IF(R64=0,"",S64/R64)</ns0:f>
        <ns0:v>438.0</ns0:v>
      </ns0:c>
      <ns0:c r="AA64" s="4" t="str">
        <ns0:f>IF(R64=0,"Not Opened",IF(R64&gt;=Assumptions!$B$3,"High Frequency","Low Frequency")&amp;" / "&amp;IF(X64&gt;=Assumptions!$B$4,"High Contribution","Low Contribution"))</ns0:f>
        <ns0:v>High Frequency / Low Contribution</ns0:v>
      </ns0:c>
    </ns0:row>
    <ns0:row r="65">
      <ns0:c r="A65" s="4" t="inlineStr">
        <ns0:is>
          <ns0:t>SYN-064</ns0:t>
        </ns0:is>
      </ns0:c>
      <ns0:c r="B65" s="4" t="inlineStr">
        <ns0:is>
          <ns0:t>Synthetic Script 064</ns0:t>
        </ns0:is>
      </ns0:c>
      <ns0:c r="C65" s="4" t="inlineStr">
        <ns0:is>
          <ns0:t>欢乐</ns0:t>
        </ns0:is>
      </ns0:c>
      <ns0:c r="D65" s="4" t="n">
        <ns0:v>3</ns0:v>
      </ns0:c>
      <ns0:c r="E65" s="4" t="n">
        <ns0:v>7</ns0:v>
      </ns0:c>
      <ns0:c r="F65" s="9" t="n">
        <ns0:v>129</ns0:v>
      </ns0:c>
      <ns0:c r="G65" s="9">
        <ns0:f>E65*F65</ns0:f>
        <ns0:v>903</ns0:v>
      </ns0:c>
      <ns0:c r="H65" s="9" t="n">
        <ns0:v>237</ns0:v>
      </ns0:c>
      <ns0:c r="I65" s="4" t="inlineStr">
        <ns0:is>
          <ns0:t>独家</ns0:t>
        </ns0:is>
      </ns0:c>
      <ns0:c r="J65" s="9">
        <ns0:f>G65-H65</ns0:f>
        <ns0:v>666</ns0:v>
      </ns0:c>
      <ns0:c r="K65" s="4" t="n">
        <ns0:v>7</ns0:v>
      </ns0:c>
      <ns0:c r="L65" s="4" t="n">
        <ns0:v>2500</ns0:v>
      </ns0:c>
      <ns0:c r="M65" s="4" t="n">
        <ns0:v>3000</ns0:v>
      </ns0:c>
      <ns0:c r="N65" s="4" t="n">
        <ns0:v>3500</ns0:v>
      </ns0:c>
      <ns0:c r="O65" s="9">
        <ns0:f>ROUND(L65/Assumptions!$B$2,0)</ns0:f>
        <ns0:v>347</ns0:v>
      </ns0:c>
      <ns0:c r="P65" s="9">
        <ns0:f>ROUND(M65/Assumptions!$B$2,0)</ns0:f>
        <ns0:v>417</ns0:v>
      </ns0:c>
      <ns0:c r="Q65" s="9">
        <ns0:f>ROUND(N65/Assumptions!$B$2,0)</ns0:f>
        <ns0:v>486</ns0:v>
      </ns0:c>
      <ns0:c r="R65" s="4">
        <ns0:f>COUNTIF(RawData[Script ID],A65)</ns0:f>
        <ns0:v>0</ns0:v>
      </ns0:c>
      <ns0:c r="S65" s="9">
        <ns0:f>SUMIF(RawData[Script ID],A65,RawData[Estimated Contribution])</ns0:f>
        <ns0:v>0.0</ns0:v>
      </ns0:c>
      <ns0:c r="T65" s="9">
        <ns0:f>S65-O65</ns0:f>
        <ns0:v>-347.0</ns0:v>
      </ns0:c>
      <ns0:c r="U65" s="9">
        <ns0:f>S65-P65</ns0:f>
        <ns0:v>-417.0</ns0:v>
      </ns0:c>
      <ns0:c r="V65" s="9">
        <ns0:f>S65-Q65</ns0:f>
        <ns0:v>-486.0</ns0:v>
      </ns0:c>
      <ns0:c r="W65" s="4" t="str">
        <ns0:f>IF(R65=0,"Not Opened",IF(V65&gt;=0,"Recovered - All Scenarios",IF(U65&gt;=0,"Recovered - Low &amp; Base",IF(T65&gt;=0,"Recovered - Low Only","Not Recovered"))))</ns0:f>
        <ns0:v>Not Opened</ns0:v>
      </ns0:c>
      <ns0:c r="X65" s="9">
        <ns0:f>IF(R65=0,0,S65/R65)</ns0:f>
        <ns0:v>0</ns0:v>
      </ns0:c>
      <ns0:c r="Y65" s="4">
        <ns0:f>R65</ns0:f>
        <ns0:v>0</ns0:v>
      </ns0:c>
      <ns0:c r="Z65" s="9" t="str">
        <ns0:f>IF(R65=0,"",S65/R65)</ns0:f>
        <ns0:v/>
      </ns0:c>
      <ns0:c r="AA65" s="4" t="str">
        <ns0:f>IF(R65=0,"Not Opened",IF(R65&gt;=Assumptions!$B$3,"High Frequency","Low Frequency")&amp;" / "&amp;IF(X65&gt;=Assumptions!$B$4,"High Contribution","Low Contribution"))</ns0:f>
        <ns0:v>Not Opened</ns0:v>
      </ns0:c>
    </ns0:row>
    <ns0:row r="66">
      <ns0:c r="A66" s="4" t="inlineStr">
        <ns0:is>
          <ns0:t>SYN-065</ns0:t>
        </ns0:is>
      </ns0:c>
      <ns0:c r="B66" s="4" t="inlineStr">
        <ns0:is>
          <ns0:t>Synthetic Script 065</ns0:t>
        </ns0:is>
      </ns0:c>
      <ns0:c r="C66" s="4" t="inlineStr">
        <ns0:is>
          <ns0:t>推理</ns0:t>
        </ns0:is>
      </ns0:c>
      <ns0:c r="D66" s="4" t="n">
        <ns0:v>2</ns0:v>
      </ns0:c>
      <ns0:c r="E66" s="4" t="n">
        <ns0:v>8</ns0:v>
      </ns0:c>
      <ns0:c r="F66" s="9" t="n">
        <ns0:v>65</ns0:v>
      </ns0:c>
      <ns0:c r="G66" s="9">
        <ns0:f>E66*F66</ns0:f>
        <ns0:v>520</ns0:v>
      </ns0:c>
      <ns0:c r="H66" s="9" t="n">
        <ns0:v>137</ns0:v>
      </ns0:c>
      <ns0:c r="I66" s="4" t="inlineStr">
        <ns0:is>
          <ns0:t>城限</ns0:t>
        </ns0:is>
      </ns0:c>
      <ns0:c r="J66" s="9">
        <ns0:f>G66-H66</ns0:f>
        <ns0:v>383</ns0:v>
      </ns0:c>
      <ns0:c r="K66" s="4" t="n">
        <ns0:v>7.7</ns0:v>
      </ns0:c>
      <ns0:c r="L66" s="4" t="n">
        <ns0:v>1500</ns0:v>
      </ns0:c>
      <ns0:c r="M66" s="4" t="n">
        <ns0:v>2000</ns0:v>
      </ns0:c>
      <ns0:c r="N66" s="4" t="n">
        <ns0:v>2500</ns0:v>
      </ns0:c>
      <ns0:c r="O66" s="9">
        <ns0:f>ROUND(L66/Assumptions!$B$2,0)</ns0:f>
        <ns0:v>208</ns0:v>
      </ns0:c>
      <ns0:c r="P66" s="9">
        <ns0:f>ROUND(M66/Assumptions!$B$2,0)</ns0:f>
        <ns0:v>278</ns0:v>
      </ns0:c>
      <ns0:c r="Q66" s="9">
        <ns0:f>ROUND(N66/Assumptions!$B$2,0)</ns0:f>
        <ns0:v>347</ns0:v>
      </ns0:c>
      <ns0:c r="R66" s="4">
        <ns0:f>COUNTIF(RawData[Script ID],A66)</ns0:f>
        <ns0:v>2</ns0:v>
      </ns0:c>
      <ns0:c r="S66" s="9">
        <ns0:f>SUMIF(RawData[Script ID],A66,RawData[Estimated Contribution])</ns0:f>
        <ns0:v>766.0</ns0:v>
      </ns0:c>
      <ns0:c r="T66" s="9">
        <ns0:f>S66-O66</ns0:f>
        <ns0:v>558.0</ns0:v>
      </ns0:c>
      <ns0:c r="U66" s="9">
        <ns0:f>S66-P66</ns0:f>
        <ns0:v>488.0</ns0:v>
      </ns0:c>
      <ns0:c r="V66" s="9">
        <ns0:f>S66-Q66</ns0:f>
        <ns0:v>419.0</ns0:v>
      </ns0:c>
      <ns0:c r="W66" s="4" t="str">
        <ns0:f>IF(R66=0,"Not Opened",IF(V66&gt;=0,"Recovered - All Scenarios",IF(U66&gt;=0,"Recovered - Low &amp; Base",IF(T66&gt;=0,"Recovered - Low Only","Not Recovered"))))</ns0:f>
        <ns0:v>Recovered - All Scenarios</ns0:v>
      </ns0:c>
      <ns0:c r="X66" s="9">
        <ns0:f>IF(R66=0,0,S66/R66)</ns0:f>
        <ns0:v>383.0</ns0:v>
      </ns0:c>
      <ns0:c r="Y66" s="4">
        <ns0:f>R66</ns0:f>
        <ns0:v>2</ns0:v>
      </ns0:c>
      <ns0:c r="Z66" s="9">
        <ns0:f>IF(R66=0,"",S66/R66)</ns0:f>
        <ns0:v>383.0</ns0:v>
      </ns0:c>
      <ns0:c r="AA66" s="4" t="str">
        <ns0:f>IF(R66=0,"Not Opened",IF(R66&gt;=Assumptions!$B$3,"High Frequency","Low Frequency")&amp;" / "&amp;IF(X66&gt;=Assumptions!$B$4,"High Contribution","Low Contribution"))</ns0:f>
        <ns0:v>High Frequency / Low Contribution</ns0:v>
      </ns0:c>
    </ns0:row>
    <ns0:row r="67">
      <ns0:c r="A67" s="4" t="inlineStr">
        <ns0:is>
          <ns0:t>SYN-066</ns0:t>
        </ns0:is>
      </ns0:c>
      <ns0:c r="B67" s="4" t="inlineStr">
        <ns0:is>
          <ns0:t>Synthetic Script 066</ns0:t>
        </ns0:is>
      </ns0:c>
      <ns0:c r="C67" s="4" t="inlineStr">
        <ns0:is>
          <ns0:t>情感</ns0:t>
        </ns0:is>
      </ns0:c>
      <ns0:c r="D67" s="4" t="n">
        <ns0:v>2</ns0:v>
      </ns0:c>
      <ns0:c r="E67" s="4" t="n">
        <ns0:v>6</ns0:v>
      </ns0:c>
      <ns0:c r="F67" s="9" t="n">
        <ns0:v>109</ns0:v>
      </ns0:c>
      <ns0:c r="G67" s="9">
        <ns0:f>E67*F67</ns0:f>
        <ns0:v>654</ns0:v>
      </ns0:c>
      <ns0:c r="H67" s="9" t="n">
        <ns0:v>180</ns0:v>
      </ns0:c>
      <ns0:c r="I67" s="4" t="inlineStr">
        <ns0:is>
          <ns0:t>盒装</ns0:t>
        </ns0:is>
      </ns0:c>
      <ns0:c r="J67" s="9">
        <ns0:f>G67-H67</ns0:f>
        <ns0:v>474</ns0:v>
      </ns0:c>
      <ns0:c r="K67" s="4" t="n">
        <ns0:v>8.4</ns0:v>
      </ns0:c>
      <ns0:c r="L67" s="4" t="n">
        <ns0:v>0</ns0:v>
      </ns0:c>
      <ns0:c r="M67" s="4" t="n">
        <ns0:v>750</ns0:v>
      </ns0:c>
      <ns0:c r="N67" s="4" t="n">
        <ns0:v>1000</ns0:v>
      </ns0:c>
      <ns0:c r="O67" s="9">
        <ns0:f>ROUND(L67/Assumptions!$B$2,0)</ns0:f>
        <ns0:v>0</ns0:v>
      </ns0:c>
      <ns0:c r="P67" s="9">
        <ns0:f>ROUND(M67/Assumptions!$B$2,0)</ns0:f>
        <ns0:v>104</ns0:v>
      </ns0:c>
      <ns0:c r="Q67" s="9">
        <ns0:f>ROUND(N67/Assumptions!$B$2,0)</ns0:f>
        <ns0:v>139</ns0:v>
      </ns0:c>
      <ns0:c r="R67" s="4">
        <ns0:f>COUNTIF(RawData[Script ID],A67)</ns0:f>
        <ns0:v>4</ns0:v>
      </ns0:c>
      <ns0:c r="S67" s="9">
        <ns0:f>SUMIF(RawData[Script ID],A67,RawData[Estimated Contribution])</ns0:f>
        <ns0:v>1896.0</ns0:v>
      </ns0:c>
      <ns0:c r="T67" s="9">
        <ns0:f>S67-O67</ns0:f>
        <ns0:v>1896.0</ns0:v>
      </ns0:c>
      <ns0:c r="U67" s="9">
        <ns0:f>S67-P67</ns0:f>
        <ns0:v>1792.0</ns0:v>
      </ns0:c>
      <ns0:c r="V67" s="9">
        <ns0:f>S67-Q67</ns0:f>
        <ns0:v>1757.0</ns0:v>
      </ns0:c>
      <ns0:c r="W67" s="4" t="str">
        <ns0:f>IF(R67=0,"Not Opened",IF(V67&gt;=0,"Recovered - All Scenarios",IF(U67&gt;=0,"Recovered - Low &amp; Base",IF(T67&gt;=0,"Recovered - Low Only","Not Recovered"))))</ns0:f>
        <ns0:v>Recovered - All Scenarios</ns0:v>
      </ns0:c>
      <ns0:c r="X67" s="9">
        <ns0:f>IF(R67=0,0,S67/R67)</ns0:f>
        <ns0:v>474.0</ns0:v>
      </ns0:c>
      <ns0:c r="Y67" s="4">
        <ns0:f>R67</ns0:f>
        <ns0:v>4</ns0:v>
      </ns0:c>
      <ns0:c r="Z67" s="9">
        <ns0:f>IF(R67=0,"",S67/R67)</ns0:f>
        <ns0:v>474.0</ns0:v>
      </ns0:c>
      <ns0:c r="AA67" s="4" t="str">
        <ns0:f>IF(R67=0,"Not Opened",IF(R67&gt;=Assumptions!$B$3,"High Frequency","Low Frequency")&amp;" / "&amp;IF(X67&gt;=Assumptions!$B$4,"High Contribution","Low Contribution"))</ns0:f>
        <ns0:v>High Frequency / Low Contribution</ns0:v>
      </ns0:c>
    </ns0:row>
    <ns0:row r="68">
      <ns0:c r="A68" s="4" t="inlineStr">
        <ns0:is>
          <ns0:t>SYN-067</ns0:t>
        </ns0:is>
      </ns0:c>
      <ns0:c r="B68" s="4" t="inlineStr">
        <ns0:is>
          <ns0:t>Synthetic Script 067</ns0:t>
        </ns0:is>
      </ns0:c>
      <ns0:c r="C68" s="4" t="inlineStr">
        <ns0:is>
          <ns0:t>机制</ns0:t>
        </ns0:is>
      </ns0:c>
      <ns0:c r="D68" s="4" t="n">
        <ns0:v>1</ns0:v>
      </ns0:c>
      <ns0:c r="E68" s="4" t="n">
        <ns0:v>6</ns0:v>
      </ns0:c>
      <ns0:c r="F68" s="9" t="n">
        <ns0:v>129</ns0:v>
      </ns0:c>
      <ns0:c r="G68" s="9">
        <ns0:f>E68*F68</ns0:f>
        <ns0:v>774</ns0:v>
      </ns0:c>
      <ns0:c r="H68" s="9" t="n">
        <ns0:v>203</ns0:v>
      </ns0:c>
      <ns0:c r="I68" s="4" t="inlineStr">
        <ns0:is>
          <ns0:t>城限</ns0:t>
        </ns0:is>
      </ns0:c>
      <ns0:c r="J68" s="9">
        <ns0:f>G68-H68</ns0:f>
        <ns0:v>571</ns0:v>
      </ns0:c>
      <ns0:c r="K68" s="4" t="n">
        <ns0:v>7</ns0:v>
      </ns0:c>
      <ns0:c r="L68" s="4" t="n">
        <ns0:v>1500</ns0:v>
      </ns0:c>
      <ns0:c r="M68" s="4" t="n">
        <ns0:v>2000</ns0:v>
      </ns0:c>
      <ns0:c r="N68" s="4" t="n">
        <ns0:v>2500</ns0:v>
      </ns0:c>
      <ns0:c r="O68" s="9">
        <ns0:f>ROUND(L68/Assumptions!$B$2,0)</ns0:f>
        <ns0:v>208</ns0:v>
      </ns0:c>
      <ns0:c r="P68" s="9">
        <ns0:f>ROUND(M68/Assumptions!$B$2,0)</ns0:f>
        <ns0:v>278</ns0:v>
      </ns0:c>
      <ns0:c r="Q68" s="9">
        <ns0:f>ROUND(N68/Assumptions!$B$2,0)</ns0:f>
        <ns0:v>347</ns0:v>
      </ns0:c>
      <ns0:c r="R68" s="4">
        <ns0:f>COUNTIF(RawData[Script ID],A68)</ns0:f>
        <ns0:v>0</ns0:v>
      </ns0:c>
      <ns0:c r="S68" s="9">
        <ns0:f>SUMIF(RawData[Script ID],A68,RawData[Estimated Contribution])</ns0:f>
        <ns0:v>0.0</ns0:v>
      </ns0:c>
      <ns0:c r="T68" s="9">
        <ns0:f>S68-O68</ns0:f>
        <ns0:v>-208.0</ns0:v>
      </ns0:c>
      <ns0:c r="U68" s="9">
        <ns0:f>S68-P68</ns0:f>
        <ns0:v>-278.0</ns0:v>
      </ns0:c>
      <ns0:c r="V68" s="9">
        <ns0:f>S68-Q68</ns0:f>
        <ns0:v>-347.0</ns0:v>
      </ns0:c>
      <ns0:c r="W68" s="4" t="str">
        <ns0:f>IF(R68=0,"Not Opened",IF(V68&gt;=0,"Recovered - All Scenarios",IF(U68&gt;=0,"Recovered - Low &amp; Base",IF(T68&gt;=0,"Recovered - Low Only","Not Recovered"))))</ns0:f>
        <ns0:v>Not Opened</ns0:v>
      </ns0:c>
      <ns0:c r="X68" s="9">
        <ns0:f>IF(R68=0,0,S68/R68)</ns0:f>
        <ns0:v>0</ns0:v>
      </ns0:c>
      <ns0:c r="Y68" s="4">
        <ns0:f>R68</ns0:f>
        <ns0:v>0</ns0:v>
      </ns0:c>
      <ns0:c r="Z68" s="9" t="str">
        <ns0:f>IF(R68=0,"",S68/R68)</ns0:f>
        <ns0:v/>
      </ns0:c>
      <ns0:c r="AA68" s="4" t="str">
        <ns0:f>IF(R68=0,"Not Opened",IF(R68&gt;=Assumptions!$B$3,"High Frequency","Low Frequency")&amp;" / "&amp;IF(X68&gt;=Assumptions!$B$4,"High Contribution","Low Contribution"))</ns0:f>
        <ns0:v>Not Opened</ns0:v>
      </ns0:c>
    </ns0:row>
    <ns0:row r="69">
      <ns0:c r="A69" s="4" t="inlineStr">
        <ns0:is>
          <ns0:t>SYN-068</ns0:t>
        </ns0:is>
      </ns0:c>
      <ns0:c r="B69" s="4" t="inlineStr">
        <ns0:is>
          <ns0:t>Synthetic Script 068</ns0:t>
        </ns0:is>
      </ns0:c>
      <ns0:c r="C69" s="4" t="inlineStr">
        <ns0:is>
          <ns0:t>推理</ns0:t>
        </ns0:is>
      </ns0:c>
      <ns0:c r="D69" s="4" t="n">
        <ns0:v>1</ns0:v>
      </ns0:c>
      <ns0:c r="E69" s="4" t="n">
        <ns0:v>6</ns0:v>
      </ns0:c>
      <ns0:c r="F69" s="9" t="n">
        <ns0:v>119</ns0:v>
      </ns0:c>
      <ns0:c r="G69" s="9">
        <ns0:f>E69*F69</ns0:f>
        <ns0:v>714</ns0:v>
      </ns0:c>
      <ns0:c r="H69" s="9" t="n">
        <ns0:v>187</ns0:v>
      </ns0:c>
      <ns0:c r="I69" s="4" t="inlineStr">
        <ns0:is>
          <ns0:t>盒装</ns0:t>
        </ns0:is>
      </ns0:c>
      <ns0:c r="J69" s="9">
        <ns0:f>G69-H69</ns0:f>
        <ns0:v>527</ns0:v>
      </ns0:c>
      <ns0:c r="K69" s="4" t="n">
        <ns0:v>7.7</ns0:v>
      </ns0:c>
      <ns0:c r="L69" s="4" t="n">
        <ns0:v>0</ns0:v>
      </ns0:c>
      <ns0:c r="M69" s="4" t="n">
        <ns0:v>750</ns0:v>
      </ns0:c>
      <ns0:c r="N69" s="4" t="n">
        <ns0:v>1000</ns0:v>
      </ns0:c>
      <ns0:c r="O69" s="9">
        <ns0:f>ROUND(L69/Assumptions!$B$2,0)</ns0:f>
        <ns0:v>0</ns0:v>
      </ns0:c>
      <ns0:c r="P69" s="9">
        <ns0:f>ROUND(M69/Assumptions!$B$2,0)</ns0:f>
        <ns0:v>104</ns0:v>
      </ns0:c>
      <ns0:c r="Q69" s="9">
        <ns0:f>ROUND(N69/Assumptions!$B$2,0)</ns0:f>
        <ns0:v>139</ns0:v>
      </ns0:c>
      <ns0:c r="R69" s="4">
        <ns0:f>COUNTIF(RawData[Script ID],A69)</ns0:f>
        <ns0:v>2</ns0:v>
      </ns0:c>
      <ns0:c r="S69" s="9">
        <ns0:f>SUMIF(RawData[Script ID],A69,RawData[Estimated Contribution])</ns0:f>
        <ns0:v>1054.0</ns0:v>
      </ns0:c>
      <ns0:c r="T69" s="9">
        <ns0:f>S69-O69</ns0:f>
        <ns0:v>1054.0</ns0:v>
      </ns0:c>
      <ns0:c r="U69" s="9">
        <ns0:f>S69-P69</ns0:f>
        <ns0:v>950.0</ns0:v>
      </ns0:c>
      <ns0:c r="V69" s="9">
        <ns0:f>S69-Q69</ns0:f>
        <ns0:v>915.0</ns0:v>
      </ns0:c>
      <ns0:c r="W69" s="4" t="str">
        <ns0:f>IF(R69=0,"Not Opened",IF(V69&gt;=0,"Recovered - All Scenarios",IF(U69&gt;=0,"Recovered - Low &amp; Base",IF(T69&gt;=0,"Recovered - Low Only","Not Recovered"))))</ns0:f>
        <ns0:v>Recovered - All Scenarios</ns0:v>
      </ns0:c>
      <ns0:c r="X69" s="9">
        <ns0:f>IF(R69=0,0,S69/R69)</ns0:f>
        <ns0:v>527.0</ns0:v>
      </ns0:c>
      <ns0:c r="Y69" s="4">
        <ns0:f>R69</ns0:f>
        <ns0:v>2</ns0:v>
      </ns0:c>
      <ns0:c r="Z69" s="9">
        <ns0:f>IF(R69=0,"",S69/R69)</ns0:f>
        <ns0:v>527.0</ns0:v>
      </ns0:c>
      <ns0:c r="AA69" s="4" t="str">
        <ns0:f>IF(R69=0,"Not Opened",IF(R69&gt;=Assumptions!$B$3,"High Frequency","Low Frequency")&amp;" / "&amp;IF(X69&gt;=Assumptions!$B$4,"High Contribution","Low Contribution"))</ns0:f>
        <ns0:v>High Frequency / High Contribution</ns0:v>
      </ns0:c>
    </ns0:row>
    <ns0:row r="70">
      <ns0:c r="A70" s="4" t="inlineStr">
        <ns0:is>
          <ns0:t>SYN-069</ns0:t>
        </ns0:is>
      </ns0:c>
      <ns0:c r="B70" s="4" t="inlineStr">
        <ns0:is>
          <ns0:t>Synthetic Script 069</ns0:t>
        </ns0:is>
      </ns0:c>
      <ns0:c r="C70" s="4" t="inlineStr">
        <ns0:is>
          <ns0:t>欢乐</ns0:t>
        </ns0:is>
      </ns0:c>
      <ns0:c r="D70" s="4" t="n">
        <ns0:v>3</ns0:v>
      </ns0:c>
      <ns0:c r="E70" s="4" t="n">
        <ns0:v>7</ns0:v>
      </ns0:c>
      <ns0:c r="F70" s="9" t="n">
        <ns0:v>95</ns0:v>
      </ns0:c>
      <ns0:c r="G70" s="9">
        <ns0:f>E70*F70</ns0:f>
        <ns0:v>665</ns0:v>
      </ns0:c>
      <ns0:c r="H70" s="9" t="n">
        <ns0:v>175</ns0:v>
      </ns0:c>
      <ns0:c r="I70" s="4" t="inlineStr">
        <ns0:is>
          <ns0:t>独家</ns0:t>
        </ns0:is>
      </ns0:c>
      <ns0:c r="J70" s="9">
        <ns0:f>G70-H70</ns0:f>
        <ns0:v>490</ns0:v>
      </ns0:c>
      <ns0:c r="K70" s="4" t="n">
        <ns0:v>8.4</ns0:v>
      </ns0:c>
      <ns0:c r="L70" s="4" t="n">
        <ns0:v>2500</ns0:v>
      </ns0:c>
      <ns0:c r="M70" s="4" t="n">
        <ns0:v>3000</ns0:v>
      </ns0:c>
      <ns0:c r="N70" s="4" t="n">
        <ns0:v>3500</ns0:v>
      </ns0:c>
      <ns0:c r="O70" s="9">
        <ns0:f>ROUND(L70/Assumptions!$B$2,0)</ns0:f>
        <ns0:v>347</ns0:v>
      </ns0:c>
      <ns0:c r="P70" s="9">
        <ns0:f>ROUND(M70/Assumptions!$B$2,0)</ns0:f>
        <ns0:v>417</ns0:v>
      </ns0:c>
      <ns0:c r="Q70" s="9">
        <ns0:f>ROUND(N70/Assumptions!$B$2,0)</ns0:f>
        <ns0:v>486</ns0:v>
      </ns0:c>
      <ns0:c r="R70" s="4">
        <ns0:f>COUNTIF(RawData[Script ID],A70)</ns0:f>
        <ns0:v>4</ns0:v>
      </ns0:c>
      <ns0:c r="S70" s="9">
        <ns0:f>SUMIF(RawData[Script ID],A70,RawData[Estimated Contribution])</ns0:f>
        <ns0:v>1960.0</ns0:v>
      </ns0:c>
      <ns0:c r="T70" s="9">
        <ns0:f>S70-O70</ns0:f>
        <ns0:v>1613.0</ns0:v>
      </ns0:c>
      <ns0:c r="U70" s="9">
        <ns0:f>S70-P70</ns0:f>
        <ns0:v>1543.0</ns0:v>
      </ns0:c>
      <ns0:c r="V70" s="9">
        <ns0:f>S70-Q70</ns0:f>
        <ns0:v>1474.0</ns0:v>
      </ns0:c>
      <ns0:c r="W70" s="4" t="str">
        <ns0:f>IF(R70=0,"Not Opened",IF(V70&gt;=0,"Recovered - All Scenarios",IF(U70&gt;=0,"Recovered - Low &amp; Base",IF(T70&gt;=0,"Recovered - Low Only","Not Recovered"))))</ns0:f>
        <ns0:v>Recovered - All Scenarios</ns0:v>
      </ns0:c>
      <ns0:c r="X70" s="9">
        <ns0:f>IF(R70=0,0,S70/R70)</ns0:f>
        <ns0:v>490.0</ns0:v>
      </ns0:c>
      <ns0:c r="Y70" s="4">
        <ns0:f>R70</ns0:f>
        <ns0:v>4</ns0:v>
      </ns0:c>
      <ns0:c r="Z70" s="9">
        <ns0:f>IF(R70=0,"",S70/R70)</ns0:f>
        <ns0:v>490.0</ns0:v>
      </ns0:c>
      <ns0:c r="AA70" s="4" t="str">
        <ns0:f>IF(R70=0,"Not Opened",IF(R70&gt;=Assumptions!$B$3,"High Frequency","Low Frequency")&amp;" / "&amp;IF(X70&gt;=Assumptions!$B$4,"High Contribution","Low Contribution"))</ns0:f>
        <ns0:v>High Frequency / High Contribution</ns0:v>
      </ns0:c>
    </ns0:row>
    <ns0:row r="71">
      <ns0:c r="A71" s="4" t="inlineStr">
        <ns0:is>
          <ns0:t>SYN-070</ns0:t>
        </ns0:is>
      </ns0:c>
      <ns0:c r="B71" s="4" t="inlineStr">
        <ns0:is>
          <ns0:t>Synthetic Script 070</ns0:t>
        </ns0:is>
      </ns0:c>
      <ns0:c r="C71" s="4" t="inlineStr">
        <ns0:is>
          <ns0:t>情感</ns0:t>
        </ns0:is>
      </ns0:c>
      <ns0:c r="D71" s="4" t="n">
        <ns0:v>6</ns0:v>
      </ns0:c>
      <ns0:c r="E71" s="4" t="n">
        <ns0:v>8</ns0:v>
      </ns0:c>
      <ns0:c r="F71" s="9" t="n">
        <ns0:v>109</ns0:v>
      </ns0:c>
      <ns0:c r="G71" s="9">
        <ns0:f>E71*F71</ns0:f>
        <ns0:v>872</ns0:v>
      </ns0:c>
      <ns0:c r="H71" s="9" t="n">
        <ns0:v>540</ns0:v>
      </ns0:c>
      <ns0:c r="I71" s="4" t="inlineStr">
        <ns0:is>
          <ns0:t>盒装</ns0:t>
        </ns0:is>
      </ns0:c>
      <ns0:c r="J71" s="9">
        <ns0:f>G71-H71</ns0:f>
        <ns0:v>332</ns0:v>
      </ns0:c>
      <ns0:c r="K71" s="4" t="n">
        <ns0:v>7</ns0:v>
      </ns0:c>
      <ns0:c r="L71" s="4" t="n">
        <ns0:v>0</ns0:v>
      </ns0:c>
      <ns0:c r="M71" s="4" t="n">
        <ns0:v>750</ns0:v>
      </ns0:c>
      <ns0:c r="N71" s="4" t="n">
        <ns0:v>1000</ns0:v>
      </ns0:c>
      <ns0:c r="O71" s="9">
        <ns0:f>ROUND(L71/Assumptions!$B$2,0)</ns0:f>
        <ns0:v>0</ns0:v>
      </ns0:c>
      <ns0:c r="P71" s="9">
        <ns0:f>ROUND(M71/Assumptions!$B$2,0)</ns0:f>
        <ns0:v>104</ns0:v>
      </ns0:c>
      <ns0:c r="Q71" s="9">
        <ns0:f>ROUND(N71/Assumptions!$B$2,0)</ns0:f>
        <ns0:v>139</ns0:v>
      </ns0:c>
      <ns0:c r="R71" s="4">
        <ns0:f>COUNTIF(RawData[Script ID],A71)</ns0:f>
        <ns0:v>1</ns0:v>
      </ns0:c>
      <ns0:c r="S71" s="9">
        <ns0:f>SUMIF(RawData[Script ID],A71,RawData[Estimated Contribution])</ns0:f>
        <ns0:v>332.0</ns0:v>
      </ns0:c>
      <ns0:c r="T71" s="9">
        <ns0:f>S71-O71</ns0:f>
        <ns0:v>332.0</ns0:v>
      </ns0:c>
      <ns0:c r="U71" s="9">
        <ns0:f>S71-P71</ns0:f>
        <ns0:v>228.0</ns0:v>
      </ns0:c>
      <ns0:c r="V71" s="9">
        <ns0:f>S71-Q71</ns0:f>
        <ns0:v>193.0</ns0:v>
      </ns0:c>
      <ns0:c r="W71" s="4" t="str">
        <ns0:f>IF(R71=0,"Not Opened",IF(V71&gt;=0,"Recovered - All Scenarios",IF(U71&gt;=0,"Recovered - Low &amp; Base",IF(T71&gt;=0,"Recovered - Low Only","Not Recovered"))))</ns0:f>
        <ns0:v>Recovered - All Scenarios</ns0:v>
      </ns0:c>
      <ns0:c r="X71" s="9">
        <ns0:f>IF(R71=0,0,S71/R71)</ns0:f>
        <ns0:v>332.0</ns0:v>
      </ns0:c>
      <ns0:c r="Y71" s="4">
        <ns0:f>R71</ns0:f>
        <ns0:v>1</ns0:v>
      </ns0:c>
      <ns0:c r="Z71" s="9">
        <ns0:f>IF(R71=0,"",S71/R71)</ns0:f>
        <ns0:v>332.0</ns0:v>
      </ns0:c>
      <ns0:c r="AA71" s="4" t="str">
        <ns0:f>IF(R71=0,"Not Opened",IF(R71&gt;=Assumptions!$B$3,"High Frequency","Low Frequency")&amp;" / "&amp;IF(X71&gt;=Assumptions!$B$4,"High Contribution","Low Contribution"))</ns0:f>
        <ns0:v>Low Frequency / Low Contribution</ns0:v>
      </ns0:c>
    </ns0:row>
    <ns0:row r="72">
      <ns0:c r="A72" s="4" t="inlineStr">
        <ns0:is>
          <ns0:t>SYN-071</ns0:t>
        </ns0:is>
      </ns0:c>
      <ns0:c r="B72" s="4" t="inlineStr">
        <ns0:is>
          <ns0:t>Synthetic Script 071</ns0:t>
        </ns0:is>
      </ns0:c>
      <ns0:c r="C72" s="4" t="inlineStr">
        <ns0:is>
          <ns0:t>情感</ns0:t>
        </ns0:is>
      </ns0:c>
      <ns0:c r="D72" s="4" t="n">
        <ns0:v>2</ns0:v>
      </ns0:c>
      <ns0:c r="E72" s="4" t="n">
        <ns0:v>6</ns0:v>
      </ns0:c>
      <ns0:c r="F72" s="9" t="n">
        <ns0:v>118</ns0:v>
      </ns0:c>
      <ns0:c r="G72" s="9">
        <ns0:f>E72*F72</ns0:f>
        <ns0:v>708</ns0:v>
      </ns0:c>
      <ns0:c r="H72" s="9" t="n">
        <ns0:v>180</ns0:v>
      </ns0:c>
      <ns0:c r="I72" s="4" t="inlineStr">
        <ns0:is>
          <ns0:t>盒装</ns0:t>
        </ns0:is>
      </ns0:c>
      <ns0:c r="J72" s="9">
        <ns0:f>G72-H72</ns0:f>
        <ns0:v>528</ns0:v>
      </ns0:c>
      <ns0:c r="K72" s="4" t="n">
        <ns0:v>7.7</ns0:v>
      </ns0:c>
      <ns0:c r="L72" s="4" t="n">
        <ns0:v>0</ns0:v>
      </ns0:c>
      <ns0:c r="M72" s="4" t="n">
        <ns0:v>750</ns0:v>
      </ns0:c>
      <ns0:c r="N72" s="4" t="n">
        <ns0:v>1000</ns0:v>
      </ns0:c>
      <ns0:c r="O72" s="9">
        <ns0:f>ROUND(L72/Assumptions!$B$2,0)</ns0:f>
        <ns0:v>0</ns0:v>
      </ns0:c>
      <ns0:c r="P72" s="9">
        <ns0:f>ROUND(M72/Assumptions!$B$2,0)</ns0:f>
        <ns0:v>104</ns0:v>
      </ns0:c>
      <ns0:c r="Q72" s="9">
        <ns0:f>ROUND(N72/Assumptions!$B$2,0)</ns0:f>
        <ns0:v>139</ns0:v>
      </ns0:c>
      <ns0:c r="R72" s="4">
        <ns0:f>COUNTIF(RawData[Script ID],A72)</ns0:f>
        <ns0:v>2</ns0:v>
      </ns0:c>
      <ns0:c r="S72" s="9">
        <ns0:f>SUMIF(RawData[Script ID],A72,RawData[Estimated Contribution])</ns0:f>
        <ns0:v>1056.0</ns0:v>
      </ns0:c>
      <ns0:c r="T72" s="9">
        <ns0:f>S72-O72</ns0:f>
        <ns0:v>1056.0</ns0:v>
      </ns0:c>
      <ns0:c r="U72" s="9">
        <ns0:f>S72-P72</ns0:f>
        <ns0:v>952.0</ns0:v>
      </ns0:c>
      <ns0:c r="V72" s="9">
        <ns0:f>S72-Q72</ns0:f>
        <ns0:v>917.0</ns0:v>
      </ns0:c>
      <ns0:c r="W72" s="4" t="str">
        <ns0:f>IF(R72=0,"Not Opened",IF(V72&gt;=0,"Recovered - All Scenarios",IF(U72&gt;=0,"Recovered - Low &amp; Base",IF(T72&gt;=0,"Recovered - Low Only","Not Recovered"))))</ns0:f>
        <ns0:v>Recovered - All Scenarios</ns0:v>
      </ns0:c>
      <ns0:c r="X72" s="9">
        <ns0:f>IF(R72=0,0,S72/R72)</ns0:f>
        <ns0:v>528.0</ns0:v>
      </ns0:c>
      <ns0:c r="Y72" s="4">
        <ns0:f>R72</ns0:f>
        <ns0:v>2</ns0:v>
      </ns0:c>
      <ns0:c r="Z72" s="9">
        <ns0:f>IF(R72=0,"",S72/R72)</ns0:f>
        <ns0:v>528.0</ns0:v>
      </ns0:c>
      <ns0:c r="AA72" s="4" t="str">
        <ns0:f>IF(R72=0,"Not Opened",IF(R72&gt;=Assumptions!$B$3,"High Frequency","Low Frequency")&amp;" / "&amp;IF(X72&gt;=Assumptions!$B$4,"High Contribution","Low Contribution"))</ns0:f>
        <ns0:v>High Frequency / High Contribution</ns0:v>
      </ns0:c>
    </ns0:row>
    <ns0:row r="73">
      <ns0:c r="A73" s="4" t="inlineStr">
        <ns0:is>
          <ns0:t>SYN-072</ns0:t>
        </ns0:is>
      </ns0:c>
      <ns0:c r="B73" s="4" t="inlineStr">
        <ns0:is>
          <ns0:t>Synthetic Script 072</ns0:t>
        </ns0:is>
      </ns0:c>
      <ns0:c r="C73" s="4" t="inlineStr">
        <ns0:is>
          <ns0:t>推理</ns0:t>
        </ns0:is>
      </ns0:c>
      <ns0:c r="D73" s="4" t="n">
        <ns0:v>1</ns0:v>
      </ns0:c>
      <ns0:c r="E73" s="4" t="n">
        <ns0:v>6</ns0:v>
      </ns0:c>
      <ns0:c r="F73" s="9" t="n">
        <ns0:v>119</ns0:v>
      </ns0:c>
      <ns0:c r="G73" s="9">
        <ns0:f>E73*F73</ns0:f>
        <ns0:v>714</ns0:v>
      </ns0:c>
      <ns0:c r="H73" s="9" t="n">
        <ns0:v>187</ns0:v>
      </ns0:c>
      <ns0:c r="I73" s="4" t="inlineStr">
        <ns0:is>
          <ns0:t>城限</ns0:t>
        </ns0:is>
      </ns0:c>
      <ns0:c r="J73" s="9">
        <ns0:f>G73-H73</ns0:f>
        <ns0:v>527</ns0:v>
      </ns0:c>
      <ns0:c r="K73" s="4" t="n">
        <ns0:v>8.4</ns0:v>
      </ns0:c>
      <ns0:c r="L73" s="4" t="n">
        <ns0:v>1500</ns0:v>
      </ns0:c>
      <ns0:c r="M73" s="4" t="n">
        <ns0:v>2000</ns0:v>
      </ns0:c>
      <ns0:c r="N73" s="4" t="n">
        <ns0:v>2500</ns0:v>
      </ns0:c>
      <ns0:c r="O73" s="9">
        <ns0:f>ROUND(L73/Assumptions!$B$2,0)</ns0:f>
        <ns0:v>208</ns0:v>
      </ns0:c>
      <ns0:c r="P73" s="9">
        <ns0:f>ROUND(M73/Assumptions!$B$2,0)</ns0:f>
        <ns0:v>278</ns0:v>
      </ns0:c>
      <ns0:c r="Q73" s="9">
        <ns0:f>ROUND(N73/Assumptions!$B$2,0)</ns0:f>
        <ns0:v>347</ns0:v>
      </ns0:c>
      <ns0:c r="R73" s="4">
        <ns0:f>COUNTIF(RawData[Script ID],A73)</ns0:f>
        <ns0:v>5</ns0:v>
      </ns0:c>
      <ns0:c r="S73" s="9">
        <ns0:f>SUMIF(RawData[Script ID],A73,RawData[Estimated Contribution])</ns0:f>
        <ns0:v>2635.0</ns0:v>
      </ns0:c>
      <ns0:c r="T73" s="9">
        <ns0:f>S73-O73</ns0:f>
        <ns0:v>2427.0</ns0:v>
      </ns0:c>
      <ns0:c r="U73" s="9">
        <ns0:f>S73-P73</ns0:f>
        <ns0:v>2357.0</ns0:v>
      </ns0:c>
      <ns0:c r="V73" s="9">
        <ns0:f>S73-Q73</ns0:f>
        <ns0:v>2288.0</ns0:v>
      </ns0:c>
      <ns0:c r="W73" s="4" t="str">
        <ns0:f>IF(R73=0,"Not Opened",IF(V73&gt;=0,"Recovered - All Scenarios",IF(U73&gt;=0,"Recovered - Low &amp; Base",IF(T73&gt;=0,"Recovered - Low Only","Not Recovered"))))</ns0:f>
        <ns0:v>Recovered - All Scenarios</ns0:v>
      </ns0:c>
      <ns0:c r="X73" s="9">
        <ns0:f>IF(R73=0,0,S73/R73)</ns0:f>
        <ns0:v>527.0</ns0:v>
      </ns0:c>
      <ns0:c r="Y73" s="4">
        <ns0:f>R73</ns0:f>
        <ns0:v>5</ns0:v>
      </ns0:c>
      <ns0:c r="Z73" s="9">
        <ns0:f>IF(R73=0,"",S73/R73)</ns0:f>
        <ns0:v>527.0</ns0:v>
      </ns0:c>
      <ns0:c r="AA73" s="4" t="str">
        <ns0:f>IF(R73=0,"Not Opened",IF(R73&gt;=Assumptions!$B$3,"High Frequency","Low Frequency")&amp;" / "&amp;IF(X73&gt;=Assumptions!$B$4,"High Contribution","Low Contribution"))</ns0:f>
        <ns0:v>High Frequency / High Contribution</ns0:v>
      </ns0:c>
    </ns0:row>
    <ns0:row r="74">
      <ns0:c r="A74" s="4" t="inlineStr">
        <ns0:is>
          <ns0:t>SYN-073</ns0:t>
        </ns0:is>
      </ns0:c>
      <ns0:c r="B74" s="4" t="inlineStr">
        <ns0:is>
          <ns0:t>Synthetic Script 073</ns0:t>
        </ns0:is>
      </ns0:c>
      <ns0:c r="C74" s="4" t="inlineStr">
        <ns0:is>
          <ns0:t>情感</ns0:t>
        </ns0:is>
      </ns0:c>
      <ns0:c r="D74" s="4" t="n">
        <ns0:v>3</ns0:v>
      </ns0:c>
      <ns0:c r="E74" s="4" t="n">
        <ns0:v>6</ns0:v>
      </ns0:c>
      <ns0:c r="F74" s="9" t="n">
        <ns0:v>99</ns0:v>
      </ns0:c>
      <ns0:c r="G74" s="9">
        <ns0:f>E74*F74</ns0:f>
        <ns0:v>594</ns0:v>
      </ns0:c>
      <ns0:c r="H74" s="9" t="n">
        <ns0:v>270</ns0:v>
      </ns0:c>
      <ns0:c r="I74" s="4" t="inlineStr">
        <ns0:is>
          <ns0:t>盒装</ns0:t>
        </ns0:is>
      </ns0:c>
      <ns0:c r="J74" s="9">
        <ns0:f>G74-H74</ns0:f>
        <ns0:v>324</ns0:v>
      </ns0:c>
      <ns0:c r="K74" s="4" t="n">
        <ns0:v>7</ns0:v>
      </ns0:c>
      <ns0:c r="L74" s="4" t="n">
        <ns0:v>0</ns0:v>
      </ns0:c>
      <ns0:c r="M74" s="4" t="n">
        <ns0:v>750</ns0:v>
      </ns0:c>
      <ns0:c r="N74" s="4" t="n">
        <ns0:v>1000</ns0:v>
      </ns0:c>
      <ns0:c r="O74" s="9">
        <ns0:f>ROUND(L74/Assumptions!$B$2,0)</ns0:f>
        <ns0:v>0</ns0:v>
      </ns0:c>
      <ns0:c r="P74" s="9">
        <ns0:f>ROUND(M74/Assumptions!$B$2,0)</ns0:f>
        <ns0:v>104</ns0:v>
      </ns0:c>
      <ns0:c r="Q74" s="9">
        <ns0:f>ROUND(N74/Assumptions!$B$2,0)</ns0:f>
        <ns0:v>139</ns0:v>
      </ns0:c>
      <ns0:c r="R74" s="4">
        <ns0:f>COUNTIF(RawData[Script ID],A74)</ns0:f>
        <ns0:v>1</ns0:v>
      </ns0:c>
      <ns0:c r="S74" s="9">
        <ns0:f>SUMIF(RawData[Script ID],A74,RawData[Estimated Contribution])</ns0:f>
        <ns0:v>324.0</ns0:v>
      </ns0:c>
      <ns0:c r="T74" s="9">
        <ns0:f>S74-O74</ns0:f>
        <ns0:v>324.0</ns0:v>
      </ns0:c>
      <ns0:c r="U74" s="9">
        <ns0:f>S74-P74</ns0:f>
        <ns0:v>220.0</ns0:v>
      </ns0:c>
      <ns0:c r="V74" s="9">
        <ns0:f>S74-Q74</ns0:f>
        <ns0:v>185.0</ns0:v>
      </ns0:c>
      <ns0:c r="W74" s="4" t="str">
        <ns0:f>IF(R74=0,"Not Opened",IF(V74&gt;=0,"Recovered - All Scenarios",IF(U74&gt;=0,"Recovered - Low &amp; Base",IF(T74&gt;=0,"Recovered - Low Only","Not Recovered"))))</ns0:f>
        <ns0:v>Recovered - All Scenarios</ns0:v>
      </ns0:c>
      <ns0:c r="X74" s="9">
        <ns0:f>IF(R74=0,0,S74/R74)</ns0:f>
        <ns0:v>324.0</ns0:v>
      </ns0:c>
      <ns0:c r="Y74" s="4">
        <ns0:f>R74</ns0:f>
        <ns0:v>1</ns0:v>
      </ns0:c>
      <ns0:c r="Z74" s="9">
        <ns0:f>IF(R74=0,"",S74/R74)</ns0:f>
        <ns0:v>324.0</ns0:v>
      </ns0:c>
      <ns0:c r="AA74" s="4" t="str">
        <ns0:f>IF(R74=0,"Not Opened",IF(R74&gt;=Assumptions!$B$3,"High Frequency","Low Frequency")&amp;" / "&amp;IF(X74&gt;=Assumptions!$B$4,"High Contribution","Low Contribution"))</ns0:f>
        <ns0:v>Low Frequency / Low Contribution</ns0:v>
      </ns0:c>
    </ns0:row>
    <ns0:row r="75">
      <ns0:c r="A75" s="4" t="inlineStr">
        <ns0:is>
          <ns0:t>SYN-074</ns0:t>
        </ns0:is>
      </ns0:c>
      <ns0:c r="B75" s="4" t="inlineStr">
        <ns0:is>
          <ns0:t>Synthetic Script 074</ns0:t>
        </ns0:is>
      </ns0:c>
      <ns0:c r="C75" s="4" t="inlineStr">
        <ns0:is>
          <ns0:t>欢乐</ns0:t>
        </ns0:is>
      </ns0:c>
      <ns0:c r="D75" s="4" t="n">
        <ns0:v>3</ns0:v>
      </ns0:c>
      <ns0:c r="E75" s="4" t="n">
        <ns0:v>7</ns0:v>
      </ns0:c>
      <ns0:c r="F75" s="9" t="n">
        <ns0:v>109</ns0:v>
      </ns0:c>
      <ns0:c r="G75" s="9">
        <ns0:f>E75*F75</ns0:f>
        <ns0:v>763</ns0:v>
      </ns0:c>
      <ns0:c r="H75" s="9" t="n">
        <ns0:v>200</ns0:v>
      </ns0:c>
      <ns0:c r="I75" s="4" t="inlineStr">
        <ns0:is>
          <ns0:t>独家</ns0:t>
        </ns0:is>
      </ns0:c>
      <ns0:c r="J75" s="9">
        <ns0:f>G75-H75</ns0:f>
        <ns0:v>563</ns0:v>
      </ns0:c>
      <ns0:c r="K75" s="4" t="n">
        <ns0:v>7.7</ns0:v>
      </ns0:c>
      <ns0:c r="L75" s="4" t="n">
        <ns0:v>2500</ns0:v>
      </ns0:c>
      <ns0:c r="M75" s="4" t="n">
        <ns0:v>3000</ns0:v>
      </ns0:c>
      <ns0:c r="N75" s="4" t="n">
        <ns0:v>3500</ns0:v>
      </ns0:c>
      <ns0:c r="O75" s="9">
        <ns0:f>ROUND(L75/Assumptions!$B$2,0)</ns0:f>
        <ns0:v>347</ns0:v>
      </ns0:c>
      <ns0:c r="P75" s="9">
        <ns0:f>ROUND(M75/Assumptions!$B$2,0)</ns0:f>
        <ns0:v>417</ns0:v>
      </ns0:c>
      <ns0:c r="Q75" s="9">
        <ns0:f>ROUND(N75/Assumptions!$B$2,0)</ns0:f>
        <ns0:v>486</ns0:v>
      </ns0:c>
      <ns0:c r="R75" s="4">
        <ns0:f>COUNTIF(RawData[Script ID],A75)</ns0:f>
        <ns0:v>2</ns0:v>
      </ns0:c>
      <ns0:c r="S75" s="9">
        <ns0:f>SUMIF(RawData[Script ID],A75,RawData[Estimated Contribution])</ns0:f>
        <ns0:v>1126.0</ns0:v>
      </ns0:c>
      <ns0:c r="T75" s="9">
        <ns0:f>S75-O75</ns0:f>
        <ns0:v>779.0</ns0:v>
      </ns0:c>
      <ns0:c r="U75" s="9">
        <ns0:f>S75-P75</ns0:f>
        <ns0:v>709.0</ns0:v>
      </ns0:c>
      <ns0:c r="V75" s="9">
        <ns0:f>S75-Q75</ns0:f>
        <ns0:v>640.0</ns0:v>
      </ns0:c>
      <ns0:c r="W75" s="4" t="str">
        <ns0:f>IF(R75=0,"Not Opened",IF(V75&gt;=0,"Recovered - All Scenarios",IF(U75&gt;=0,"Recovered - Low &amp; Base",IF(T75&gt;=0,"Recovered - Low Only","Not Recovered"))))</ns0:f>
        <ns0:v>Recovered - All Scenarios</ns0:v>
      </ns0:c>
      <ns0:c r="X75" s="9">
        <ns0:f>IF(R75=0,0,S75/R75)</ns0:f>
        <ns0:v>563.0</ns0:v>
      </ns0:c>
      <ns0:c r="Y75" s="4">
        <ns0:f>R75</ns0:f>
        <ns0:v>2</ns0:v>
      </ns0:c>
      <ns0:c r="Z75" s="9">
        <ns0:f>IF(R75=0,"",S75/R75)</ns0:f>
        <ns0:v>563.0</ns0:v>
      </ns0:c>
      <ns0:c r="AA75" s="4" t="str">
        <ns0:f>IF(R75=0,"Not Opened",IF(R75&gt;=Assumptions!$B$3,"High Frequency","Low Frequency")&amp;" / "&amp;IF(X75&gt;=Assumptions!$B$4,"High Contribution","Low Contribution"))</ns0:f>
        <ns0:v>High Frequency / High Contribution</ns0:v>
      </ns0:c>
    </ns0:row>
    <ns0:row r="76">
      <ns0:c r="A76" s="4" t="inlineStr">
        <ns0:is>
          <ns0:t>SYN-075</ns0:t>
        </ns0:is>
      </ns0:c>
      <ns0:c r="B76" s="4" t="inlineStr">
        <ns0:is>
          <ns0:t>Synthetic Script 075</ns0:t>
        </ns0:is>
      </ns0:c>
      <ns0:c r="C76" s="4" t="inlineStr">
        <ns0:is>
          <ns0:t>推理</ns0:t>
        </ns0:is>
      </ns0:c>
      <ns0:c r="D76" s="4" t="n">
        <ns0:v>2</ns0:v>
      </ns0:c>
      <ns0:c r="E76" s="4" t="n">
        <ns0:v>8</ns0:v>
      </ns0:c>
      <ns0:c r="F76" s="9" t="n">
        <ns0:v>95</ns0:v>
      </ns0:c>
      <ns0:c r="G76" s="9">
        <ns0:f>E76*F76</ns0:f>
        <ns0:v>760</ns0:v>
      </ns0:c>
      <ns0:c r="H76" s="9" t="n">
        <ns0:v>200</ns0:v>
      </ns0:c>
      <ns0:c r="I76" s="4" t="inlineStr">
        <ns0:is>
          <ns0:t>城限</ns0:t>
        </ns0:is>
      </ns0:c>
      <ns0:c r="J76" s="9">
        <ns0:f>G76-H76</ns0:f>
        <ns0:v>560</ns0:v>
      </ns0:c>
      <ns0:c r="K76" s="4" t="n">
        <ns0:v>8.4</ns0:v>
      </ns0:c>
      <ns0:c r="L76" s="4" t="n">
        <ns0:v>1500</ns0:v>
      </ns0:c>
      <ns0:c r="M76" s="4" t="n">
        <ns0:v>2000</ns0:v>
      </ns0:c>
      <ns0:c r="N76" s="4" t="n">
        <ns0:v>2500</ns0:v>
      </ns0:c>
      <ns0:c r="O76" s="9">
        <ns0:f>ROUND(L76/Assumptions!$B$2,0)</ns0:f>
        <ns0:v>208</ns0:v>
      </ns0:c>
      <ns0:c r="P76" s="9">
        <ns0:f>ROUND(M76/Assumptions!$B$2,0)</ns0:f>
        <ns0:v>278</ns0:v>
      </ns0:c>
      <ns0:c r="Q76" s="9">
        <ns0:f>ROUND(N76/Assumptions!$B$2,0)</ns0:f>
        <ns0:v>347</ns0:v>
      </ns0:c>
      <ns0:c r="R76" s="4">
        <ns0:f>COUNTIF(RawData[Script ID],A76)</ns0:f>
        <ns0:v>7</ns0:v>
      </ns0:c>
      <ns0:c r="S76" s="9">
        <ns0:f>SUMIF(RawData[Script ID],A76,RawData[Estimated Contribution])</ns0:f>
        <ns0:v>3920.0</ns0:v>
      </ns0:c>
      <ns0:c r="T76" s="9">
        <ns0:f>S76-O76</ns0:f>
        <ns0:v>3712.0</ns0:v>
      </ns0:c>
      <ns0:c r="U76" s="9">
        <ns0:f>S76-P76</ns0:f>
        <ns0:v>3642.0</ns0:v>
      </ns0:c>
      <ns0:c r="V76" s="9">
        <ns0:f>S76-Q76</ns0:f>
        <ns0:v>3573.0</ns0:v>
      </ns0:c>
      <ns0:c r="W76" s="4" t="str">
        <ns0:f>IF(R76=0,"Not Opened",IF(V76&gt;=0,"Recovered - All Scenarios",IF(U76&gt;=0,"Recovered - Low &amp; Base",IF(T76&gt;=0,"Recovered - Low Only","Not Recovered"))))</ns0:f>
        <ns0:v>Recovered - All Scenarios</ns0:v>
      </ns0:c>
      <ns0:c r="X76" s="9">
        <ns0:f>IF(R76=0,0,S76/R76)</ns0:f>
        <ns0:v>560.0</ns0:v>
      </ns0:c>
      <ns0:c r="Y76" s="4">
        <ns0:f>R76</ns0:f>
        <ns0:v>7</ns0:v>
      </ns0:c>
      <ns0:c r="Z76" s="9">
        <ns0:f>IF(R76=0,"",S76/R76)</ns0:f>
        <ns0:v>560.0</ns0:v>
      </ns0:c>
      <ns0:c r="AA76" s="4" t="str">
        <ns0:f>IF(R76=0,"Not Opened",IF(R76&gt;=Assumptions!$B$3,"High Frequency","Low Frequency")&amp;" / "&amp;IF(X76&gt;=Assumptions!$B$4,"High Contribution","Low Contribution"))</ns0:f>
        <ns0:v>High Frequency / High Contribution</ns0:v>
      </ns0:c>
    </ns0:row>
    <ns0:row r="77">
      <ns0:c r="A77" s="4" t="inlineStr">
        <ns0:is>
          <ns0:t>SYN-076</ns0:t>
        </ns0:is>
      </ns0:c>
      <ns0:c r="B77" s="4" t="inlineStr">
        <ns0:is>
          <ns0:t>Synthetic Script 076</ns0:t>
        </ns0:is>
      </ns0:c>
      <ns0:c r="C77" s="4" t="inlineStr">
        <ns0:is>
          <ns0:t>情感</ns0:t>
        </ns0:is>
      </ns0:c>
      <ns0:c r="D77" s="4" t="n">
        <ns0:v>2</ns0:v>
      </ns0:c>
      <ns0:c r="E77" s="4" t="n">
        <ns0:v>6</ns0:v>
      </ns0:c>
      <ns0:c r="F77" s="9" t="n">
        <ns0:v>138</ns0:v>
      </ns0:c>
      <ns0:c r="G77" s="9">
        <ns0:f>E77*F77</ns0:f>
        <ns0:v>828</ns0:v>
      </ns0:c>
      <ns0:c r="H77" s="9" t="n">
        <ns0:v>180</ns0:v>
      </ns0:c>
      <ns0:c r="I77" s="4" t="inlineStr">
        <ns0:is>
          <ns0:t>盒装</ns0:t>
        </ns0:is>
      </ns0:c>
      <ns0:c r="J77" s="9">
        <ns0:f>G77-H77</ns0:f>
        <ns0:v>648</ns0:v>
      </ns0:c>
      <ns0:c r="K77" s="4" t="n">
        <ns0:v>7</ns0:v>
      </ns0:c>
      <ns0:c r="L77" s="4" t="n">
        <ns0:v>0</ns0:v>
      </ns0:c>
      <ns0:c r="M77" s="4" t="n">
        <ns0:v>750</ns0:v>
      </ns0:c>
      <ns0:c r="N77" s="4" t="n">
        <ns0:v>1000</ns0:v>
      </ns0:c>
      <ns0:c r="O77" s="9">
        <ns0:f>ROUND(L77/Assumptions!$B$2,0)</ns0:f>
        <ns0:v>0</ns0:v>
      </ns0:c>
      <ns0:c r="P77" s="9">
        <ns0:f>ROUND(M77/Assumptions!$B$2,0)</ns0:f>
        <ns0:v>104</ns0:v>
      </ns0:c>
      <ns0:c r="Q77" s="9">
        <ns0:f>ROUND(N77/Assumptions!$B$2,0)</ns0:f>
        <ns0:v>139</ns0:v>
      </ns0:c>
      <ns0:c r="R77" s="4">
        <ns0:f>COUNTIF(RawData[Script ID],A77)</ns0:f>
        <ns0:v>1</ns0:v>
      </ns0:c>
      <ns0:c r="S77" s="9">
        <ns0:f>SUMIF(RawData[Script ID],A77,RawData[Estimated Contribution])</ns0:f>
        <ns0:v>648.0</ns0:v>
      </ns0:c>
      <ns0:c r="T77" s="9">
        <ns0:f>S77-O77</ns0:f>
        <ns0:v>648.0</ns0:v>
      </ns0:c>
      <ns0:c r="U77" s="9">
        <ns0:f>S77-P77</ns0:f>
        <ns0:v>544.0</ns0:v>
      </ns0:c>
      <ns0:c r="V77" s="9">
        <ns0:f>S77-Q77</ns0:f>
        <ns0:v>509.0</ns0:v>
      </ns0:c>
      <ns0:c r="W77" s="4" t="str">
        <ns0:f>IF(R77=0,"Not Opened",IF(V77&gt;=0,"Recovered - All Scenarios",IF(U77&gt;=0,"Recovered - Low &amp; Base",IF(T77&gt;=0,"Recovered - Low Only","Not Recovered"))))</ns0:f>
        <ns0:v>Recovered - All Scenarios</ns0:v>
      </ns0:c>
      <ns0:c r="X77" s="9">
        <ns0:f>IF(R77=0,0,S77/R77)</ns0:f>
        <ns0:v>648.0</ns0:v>
      </ns0:c>
      <ns0:c r="Y77" s="4">
        <ns0:f>R77</ns0:f>
        <ns0:v>1</ns0:v>
      </ns0:c>
      <ns0:c r="Z77" s="9">
        <ns0:f>IF(R77=0,"",S77/R77)</ns0:f>
        <ns0:v>648.0</ns0:v>
      </ns0:c>
      <ns0:c r="AA77" s="4" t="str">
        <ns0:f>IF(R77=0,"Not Opened",IF(R77&gt;=Assumptions!$B$3,"High Frequency","Low Frequency")&amp;" / "&amp;IF(X77&gt;=Assumptions!$B$4,"High Contribution","Low Contribution"))</ns0:f>
        <ns0:v>Low Frequency / High Contribution</ns0:v>
      </ns0:c>
    </ns0:row>
    <ns0:row r="78">
      <ns0:c r="A78" s="4" t="inlineStr">
        <ns0:is>
          <ns0:t>SYN-077</ns0:t>
        </ns0:is>
      </ns0:c>
      <ns0:c r="B78" s="4" t="inlineStr">
        <ns0:is>
          <ns0:t>Synthetic Script 077</ns0:t>
        </ns0:is>
      </ns0:c>
      <ns0:c r="C78" s="4" t="inlineStr">
        <ns0:is>
          <ns0:t>机制</ns0:t>
        </ns0:is>
      </ns0:c>
      <ns0:c r="D78" s="4" t="n">
        <ns0:v>1</ns0:v>
      </ns0:c>
      <ns0:c r="E78" s="4" t="n">
        <ns0:v>6</ns0:v>
      </ns0:c>
      <ns0:c r="F78" s="9" t="n">
        <ns0:v>109</ns0:v>
      </ns0:c>
      <ns0:c r="G78" s="9">
        <ns0:f>E78*F78</ns0:f>
        <ns0:v>654</ns0:v>
      </ns0:c>
      <ns0:c r="H78" s="9" t="n">
        <ns0:v>172</ns0:v>
      </ns0:c>
      <ns0:c r="I78" s="4" t="inlineStr">
        <ns0:is>
          <ns0:t>城限</ns0:t>
        </ns0:is>
      </ns0:c>
      <ns0:c r="J78" s="9">
        <ns0:f>G78-H78</ns0:f>
        <ns0:v>482</ns0:v>
      </ns0:c>
      <ns0:c r="K78" s="4" t="n">
        <ns0:v>7.7</ns0:v>
      </ns0:c>
      <ns0:c r="L78" s="4" t="n">
        <ns0:v>1500</ns0:v>
      </ns0:c>
      <ns0:c r="M78" s="4" t="n">
        <ns0:v>2000</ns0:v>
      </ns0:c>
      <ns0:c r="N78" s="4" t="n">
        <ns0:v>2500</ns0:v>
      </ns0:c>
      <ns0:c r="O78" s="9">
        <ns0:f>ROUND(L78/Assumptions!$B$2,0)</ns0:f>
        <ns0:v>208</ns0:v>
      </ns0:c>
      <ns0:c r="P78" s="9">
        <ns0:f>ROUND(M78/Assumptions!$B$2,0)</ns0:f>
        <ns0:v>278</ns0:v>
      </ns0:c>
      <ns0:c r="Q78" s="9">
        <ns0:f>ROUND(N78/Assumptions!$B$2,0)</ns0:f>
        <ns0:v>347</ns0:v>
      </ns0:c>
      <ns0:c r="R78" s="4">
        <ns0:f>COUNTIF(RawData[Script ID],A78)</ns0:f>
        <ns0:v>3</ns0:v>
      </ns0:c>
      <ns0:c r="S78" s="9">
        <ns0:f>SUMIF(RawData[Script ID],A78,RawData[Estimated Contribution])</ns0:f>
        <ns0:v>1446.0</ns0:v>
      </ns0:c>
      <ns0:c r="T78" s="9">
        <ns0:f>S78-O78</ns0:f>
        <ns0:v>1238.0</ns0:v>
      </ns0:c>
      <ns0:c r="U78" s="9">
        <ns0:f>S78-P78</ns0:f>
        <ns0:v>1168.0</ns0:v>
      </ns0:c>
      <ns0:c r="V78" s="9">
        <ns0:f>S78-Q78</ns0:f>
        <ns0:v>1099.0</ns0:v>
      </ns0:c>
      <ns0:c r="W78" s="4" t="str">
        <ns0:f>IF(R78=0,"Not Opened",IF(V78&gt;=0,"Recovered - All Scenarios",IF(U78&gt;=0,"Recovered - Low &amp; Base",IF(T78&gt;=0,"Recovered - Low Only","Not Recovered"))))</ns0:f>
        <ns0:v>Recovered - All Scenarios</ns0:v>
      </ns0:c>
      <ns0:c r="X78" s="9">
        <ns0:f>IF(R78=0,0,S78/R78)</ns0:f>
        <ns0:v>482.0</ns0:v>
      </ns0:c>
      <ns0:c r="Y78" s="4">
        <ns0:f>R78</ns0:f>
        <ns0:v>3</ns0:v>
      </ns0:c>
      <ns0:c r="Z78" s="9">
        <ns0:f>IF(R78=0,"",S78/R78)</ns0:f>
        <ns0:v>482.0</ns0:v>
      </ns0:c>
      <ns0:c r="AA78" s="4" t="str">
        <ns0:f>IF(R78=0,"Not Opened",IF(R78&gt;=Assumptions!$B$3,"High Frequency","Low Frequency")&amp;" / "&amp;IF(X78&gt;=Assumptions!$B$4,"High Contribution","Low Contribution"))</ns0:f>
        <ns0:v>High Frequency / Low Contribution</ns0:v>
      </ns0:c>
    </ns0:row>
    <ns0:row r="79">
      <ns0:c r="A79" s="4" t="inlineStr">
        <ns0:is>
          <ns0:t>SYN-078</ns0:t>
        </ns0:is>
      </ns0:c>
      <ns0:c r="B79" s="4" t="inlineStr">
        <ns0:is>
          <ns0:t>Synthetic Script 078</ns0:t>
        </ns0:is>
      </ns0:c>
      <ns0:c r="C79" s="4" t="inlineStr">
        <ns0:is>
          <ns0:t>推理</ns0:t>
        </ns0:is>
      </ns0:c>
      <ns0:c r="D79" s="4" t="n">
        <ns0:v>1</ns0:v>
      </ns0:c>
      <ns0:c r="E79" s="4" t="n">
        <ns0:v>6</ns0:v>
      </ns0:c>
      <ns0:c r="F79" s="9" t="n">
        <ns0:v>75</ns0:v>
      </ns0:c>
      <ns0:c r="G79" s="9">
        <ns0:f>E79*F79</ns0:f>
        <ns0:v>450</ns0:v>
      </ns0:c>
      <ns0:c r="H79" s="9" t="n">
        <ns0:v>118</ns0:v>
      </ns0:c>
      <ns0:c r="I79" s="4" t="inlineStr">
        <ns0:is>
          <ns0:t>盒装</ns0:t>
        </ns0:is>
      </ns0:c>
      <ns0:c r="J79" s="9">
        <ns0:f>G79-H79</ns0:f>
        <ns0:v>332</ns0:v>
      </ns0:c>
      <ns0:c r="K79" s="4" t="n">
        <ns0:v>8.4</ns0:v>
      </ns0:c>
      <ns0:c r="L79" s="4" t="n">
        <ns0:v>0</ns0:v>
      </ns0:c>
      <ns0:c r="M79" s="4" t="n">
        <ns0:v>750</ns0:v>
      </ns0:c>
      <ns0:c r="N79" s="4" t="n">
        <ns0:v>1000</ns0:v>
      </ns0:c>
      <ns0:c r="O79" s="9">
        <ns0:f>ROUND(L79/Assumptions!$B$2,0)</ns0:f>
        <ns0:v>0</ns0:v>
      </ns0:c>
      <ns0:c r="P79" s="9">
        <ns0:f>ROUND(M79/Assumptions!$B$2,0)</ns0:f>
        <ns0:v>104</ns0:v>
      </ns0:c>
      <ns0:c r="Q79" s="9">
        <ns0:f>ROUND(N79/Assumptions!$B$2,0)</ns0:f>
        <ns0:v>139</ns0:v>
      </ns0:c>
      <ns0:c r="R79" s="4">
        <ns0:f>COUNTIF(RawData[Script ID],A79)</ns0:f>
        <ns0:v>10</ns0:v>
      </ns0:c>
      <ns0:c r="S79" s="9">
        <ns0:f>SUMIF(RawData[Script ID],A79,RawData[Estimated Contribution])</ns0:f>
        <ns0:v>3320.0</ns0:v>
      </ns0:c>
      <ns0:c r="T79" s="9">
        <ns0:f>S79-O79</ns0:f>
        <ns0:v>3320.0</ns0:v>
      </ns0:c>
      <ns0:c r="U79" s="9">
        <ns0:f>S79-P79</ns0:f>
        <ns0:v>3216.0</ns0:v>
      </ns0:c>
      <ns0:c r="V79" s="9">
        <ns0:f>S79-Q79</ns0:f>
        <ns0:v>3181.0</ns0:v>
      </ns0:c>
      <ns0:c r="W79" s="4" t="str">
        <ns0:f>IF(R79=0,"Not Opened",IF(V79&gt;=0,"Recovered - All Scenarios",IF(U79&gt;=0,"Recovered - Low &amp; Base",IF(T79&gt;=0,"Recovered - Low Only","Not Recovered"))))</ns0:f>
        <ns0:v>Recovered - All Scenarios</ns0:v>
      </ns0:c>
      <ns0:c r="X79" s="9">
        <ns0:f>IF(R79=0,0,S79/R79)</ns0:f>
        <ns0:v>332.0</ns0:v>
      </ns0:c>
      <ns0:c r="Y79" s="4">
        <ns0:f>R79</ns0:f>
        <ns0:v>10</ns0:v>
      </ns0:c>
      <ns0:c r="Z79" s="9">
        <ns0:f>IF(R79=0,"",S79/R79)</ns0:f>
        <ns0:v>332.0</ns0:v>
      </ns0:c>
      <ns0:c r="AA79" s="4" t="str">
        <ns0:f>IF(R79=0,"Not Opened",IF(R79&gt;=Assumptions!$B$3,"High Frequency","Low Frequency")&amp;" / "&amp;IF(X79&gt;=Assumptions!$B$4,"High Contribution","Low Contribution"))</ns0:f>
        <ns0:v>High Frequency / Low Contribution</ns0:v>
      </ns0:c>
    </ns0:row>
    <ns0:row r="80">
      <ns0:c r="A80" s="4" t="inlineStr">
        <ns0:is>
          <ns0:t>SYN-079</ns0:t>
        </ns0:is>
      </ns0:c>
      <ns0:c r="B80" s="4" t="inlineStr">
        <ns0:is>
          <ns0:t>Synthetic Script 079</ns0:t>
        </ns0:is>
      </ns0:c>
      <ns0:c r="C80" s="4" t="inlineStr">
        <ns0:is>
          <ns0:t>欢乐</ns0:t>
        </ns0:is>
      </ns0:c>
      <ns0:c r="D80" s="4" t="n">
        <ns0:v>3</ns0:v>
      </ns0:c>
      <ns0:c r="E80" s="4" t="n">
        <ns0:v>7</ns0:v>
      </ns0:c>
      <ns0:c r="F80" s="9" t="n">
        <ns0:v>118</ns0:v>
      </ns0:c>
      <ns0:c r="G80" s="9">
        <ns0:f>E80*F80</ns0:f>
        <ns0:v>826</ns0:v>
      </ns0:c>
      <ns0:c r="H80" s="9" t="n">
        <ns0:v>217</ns0:v>
      </ns0:c>
      <ns0:c r="I80" s="4" t="inlineStr">
        <ns0:is>
          <ns0:t>独家</ns0:t>
        </ns0:is>
      </ns0:c>
      <ns0:c r="J80" s="9">
        <ns0:f>G80-H80</ns0:f>
        <ns0:v>609</ns0:v>
      </ns0:c>
      <ns0:c r="K80" s="4" t="n">
        <ns0:v>7</ns0:v>
      </ns0:c>
      <ns0:c r="L80" s="4" t="n">
        <ns0:v>2500</ns0:v>
      </ns0:c>
      <ns0:c r="M80" s="4" t="n">
        <ns0:v>3000</ns0:v>
      </ns0:c>
      <ns0:c r="N80" s="4" t="n">
        <ns0:v>3500</ns0:v>
      </ns0:c>
      <ns0:c r="O80" s="9">
        <ns0:f>ROUND(L80/Assumptions!$B$2,0)</ns0:f>
        <ns0:v>347</ns0:v>
      </ns0:c>
      <ns0:c r="P80" s="9">
        <ns0:f>ROUND(M80/Assumptions!$B$2,0)</ns0:f>
        <ns0:v>417</ns0:v>
      </ns0:c>
      <ns0:c r="Q80" s="9">
        <ns0:f>ROUND(N80/Assumptions!$B$2,0)</ns0:f>
        <ns0:v>486</ns0:v>
      </ns0:c>
      <ns0:c r="R80" s="4">
        <ns0:f>COUNTIF(RawData[Script ID],A80)</ns0:f>
        <ns0:v>1</ns0:v>
      </ns0:c>
      <ns0:c r="S80" s="9">
        <ns0:f>SUMIF(RawData[Script ID],A80,RawData[Estimated Contribution])</ns0:f>
        <ns0:v>609.0</ns0:v>
      </ns0:c>
      <ns0:c r="T80" s="9">
        <ns0:f>S80-O80</ns0:f>
        <ns0:v>262.0</ns0:v>
      </ns0:c>
      <ns0:c r="U80" s="9">
        <ns0:f>S80-P80</ns0:f>
        <ns0:v>192.0</ns0:v>
      </ns0:c>
      <ns0:c r="V80" s="9">
        <ns0:f>S80-Q80</ns0:f>
        <ns0:v>123.0</ns0:v>
      </ns0:c>
      <ns0:c r="W80" s="4" t="str">
        <ns0:f>IF(R80=0,"Not Opened",IF(V80&gt;=0,"Recovered - All Scenarios",IF(U80&gt;=0,"Recovered - Low &amp; Base",IF(T80&gt;=0,"Recovered - Low Only","Not Recovered"))))</ns0:f>
        <ns0:v>Recovered - All Scenarios</ns0:v>
      </ns0:c>
      <ns0:c r="X80" s="9">
        <ns0:f>IF(R80=0,0,S80/R80)</ns0:f>
        <ns0:v>609.0</ns0:v>
      </ns0:c>
      <ns0:c r="Y80" s="4">
        <ns0:f>R80</ns0:f>
        <ns0:v>1</ns0:v>
      </ns0:c>
      <ns0:c r="Z80" s="9">
        <ns0:f>IF(R80=0,"",S80/R80)</ns0:f>
        <ns0:v>609.0</ns0:v>
      </ns0:c>
      <ns0:c r="AA80" s="4" t="str">
        <ns0:f>IF(R80=0,"Not Opened",IF(R80&gt;=Assumptions!$B$3,"High Frequency","Low Frequency")&amp;" / "&amp;IF(X80&gt;=Assumptions!$B$4,"High Contribution","Low Contribution"))</ns0:f>
        <ns0:v>Low Frequency / High Contribution</ns0:v>
      </ns0:c>
    </ns0:row>
    <ns0:row r="81">
      <ns0:c r="A81" s="4" t="inlineStr">
        <ns0:is>
          <ns0:t>SYN-080</ns0:t>
        </ns0:is>
      </ns0:c>
      <ns0:c r="B81" s="4" t="inlineStr">
        <ns0:is>
          <ns0:t>Synthetic Script 080</ns0:t>
        </ns0:is>
      </ns0:c>
      <ns0:c r="C81" s="4" t="inlineStr">
        <ns0:is>
          <ns0:t>情感</ns0:t>
        </ns0:is>
      </ns0:c>
      <ns0:c r="D81" s="4" t="n">
        <ns0:v>6</ns0:v>
      </ns0:c>
      <ns0:c r="E81" s="4" t="n">
        <ns0:v>8</ns0:v>
      </ns0:c>
      <ns0:c r="F81" s="9" t="n">
        <ns0:v>138</ns0:v>
      </ns0:c>
      <ns0:c r="G81" s="9">
        <ns0:f>E81*F81</ns0:f>
        <ns0:v>1104</ns0:v>
      </ns0:c>
      <ns0:c r="H81" s="9" t="n">
        <ns0:v>540</ns0:v>
      </ns0:c>
      <ns0:c r="I81" s="4" t="inlineStr">
        <ns0:is>
          <ns0:t>盒装</ns0:t>
        </ns0:is>
      </ns0:c>
      <ns0:c r="J81" s="9">
        <ns0:f>G81-H81</ns0:f>
        <ns0:v>564</ns0:v>
      </ns0:c>
      <ns0:c r="K81" s="4" t="n">
        <ns0:v>7.7</ns0:v>
      </ns0:c>
      <ns0:c r="L81" s="4" t="n">
        <ns0:v>0</ns0:v>
      </ns0:c>
      <ns0:c r="M81" s="4" t="n">
        <ns0:v>750</ns0:v>
      </ns0:c>
      <ns0:c r="N81" s="4" t="n">
        <ns0:v>1000</ns0:v>
      </ns0:c>
      <ns0:c r="O81" s="9">
        <ns0:f>ROUND(L81/Assumptions!$B$2,0)</ns0:f>
        <ns0:v>0</ns0:v>
      </ns0:c>
      <ns0:c r="P81" s="9">
        <ns0:f>ROUND(M81/Assumptions!$B$2,0)</ns0:f>
        <ns0:v>104</ns0:v>
      </ns0:c>
      <ns0:c r="Q81" s="9">
        <ns0:f>ROUND(N81/Assumptions!$B$2,0)</ns0:f>
        <ns0:v>139</ns0:v>
      </ns0:c>
      <ns0:c r="R81" s="4">
        <ns0:f>COUNTIF(RawData[Script ID],A81)</ns0:f>
        <ns0:v>3</ns0:v>
      </ns0:c>
      <ns0:c r="S81" s="9">
        <ns0:f>SUMIF(RawData[Script ID],A81,RawData[Estimated Contribution])</ns0:f>
        <ns0:v>1692.0</ns0:v>
      </ns0:c>
      <ns0:c r="T81" s="9">
        <ns0:f>S81-O81</ns0:f>
        <ns0:v>1692.0</ns0:v>
      </ns0:c>
      <ns0:c r="U81" s="9">
        <ns0:f>S81-P81</ns0:f>
        <ns0:v>1588.0</ns0:v>
      </ns0:c>
      <ns0:c r="V81" s="9">
        <ns0:f>S81-Q81</ns0:f>
        <ns0:v>1553.0</ns0:v>
      </ns0:c>
      <ns0:c r="W81" s="4" t="str">
        <ns0:f>IF(R81=0,"Not Opened",IF(V81&gt;=0,"Recovered - All Scenarios",IF(U81&gt;=0,"Recovered - Low &amp; Base",IF(T81&gt;=0,"Recovered - Low Only","Not Recovered"))))</ns0:f>
        <ns0:v>Recovered - All Scenarios</ns0:v>
      </ns0:c>
      <ns0:c r="X81" s="9">
        <ns0:f>IF(R81=0,0,S81/R81)</ns0:f>
        <ns0:v>564.0</ns0:v>
      </ns0:c>
      <ns0:c r="Y81" s="4">
        <ns0:f>R81</ns0:f>
        <ns0:v>3</ns0:v>
      </ns0:c>
      <ns0:c r="Z81" s="9">
        <ns0:f>IF(R81=0,"",S81/R81)</ns0:f>
        <ns0:v>564.0</ns0:v>
      </ns0:c>
      <ns0:c r="AA81" s="4" t="str">
        <ns0:f>IF(R81=0,"Not Opened",IF(R81&gt;=Assumptions!$B$3,"High Frequency","Low Frequency")&amp;" / "&amp;IF(X81&gt;=Assumptions!$B$4,"High Contribution","Low Contribution"))</ns0:f>
        <ns0:v>High Frequency / High Contribution</ns0:v>
      </ns0:c>
    </ns0:row>
    <ns0:row r="82">
      <ns0:c r="A82" s="4" t="inlineStr">
        <ns0:is>
          <ns0:t>SYN-081</ns0:t>
        </ns0:is>
      </ns0:c>
      <ns0:c r="B82" s="4" t="inlineStr">
        <ns0:is>
          <ns0:t>Synthetic Script 081</ns0:t>
        </ns0:is>
      </ns0:c>
      <ns0:c r="C82" s="4" t="inlineStr">
        <ns0:is>
          <ns0:t>情感</ns0:t>
        </ns0:is>
      </ns0:c>
      <ns0:c r="D82" s="4" t="n">
        <ns0:v>2</ns0:v>
      </ns0:c>
      <ns0:c r="E82" s="4" t="n">
        <ns0:v>6</ns0:v>
      </ns0:c>
      <ns0:c r="F82" s="9" t="n">
        <ns0:v>99</ns0:v>
      </ns0:c>
      <ns0:c r="G82" s="9">
        <ns0:f>E82*F82</ns0:f>
        <ns0:v>594</ns0:v>
      </ns0:c>
      <ns0:c r="H82" s="9" t="n">
        <ns0:v>180</ns0:v>
      </ns0:c>
      <ns0:c r="I82" s="4" t="inlineStr">
        <ns0:is>
          <ns0:t>盒装</ns0:t>
        </ns0:is>
      </ns0:c>
      <ns0:c r="J82" s="9">
        <ns0:f>G82-H82</ns0:f>
        <ns0:v>414</ns0:v>
      </ns0:c>
      <ns0:c r="K82" s="4" t="n">
        <ns0:v>8.4</ns0:v>
      </ns0:c>
      <ns0:c r="L82" s="4" t="n">
        <ns0:v>0</ns0:v>
      </ns0:c>
      <ns0:c r="M82" s="4" t="n">
        <ns0:v>750</ns0:v>
      </ns0:c>
      <ns0:c r="N82" s="4" t="n">
        <ns0:v>1000</ns0:v>
      </ns0:c>
      <ns0:c r="O82" s="9">
        <ns0:f>ROUND(L82/Assumptions!$B$2,0)</ns0:f>
        <ns0:v>0</ns0:v>
      </ns0:c>
      <ns0:c r="P82" s="9">
        <ns0:f>ROUND(M82/Assumptions!$B$2,0)</ns0:f>
        <ns0:v>104</ns0:v>
      </ns0:c>
      <ns0:c r="Q82" s="9">
        <ns0:f>ROUND(N82/Assumptions!$B$2,0)</ns0:f>
        <ns0:v>139</ns0:v>
      </ns0:c>
      <ns0:c r="R82" s="4">
        <ns0:f>COUNTIF(RawData[Script ID],A82)</ns0:f>
        <ns0:v>0</ns0:v>
      </ns0:c>
      <ns0:c r="S82" s="9">
        <ns0:f>SUMIF(RawData[Script ID],A82,RawData[Estimated Contribution])</ns0:f>
        <ns0:v>0.0</ns0:v>
      </ns0:c>
      <ns0:c r="T82" s="9">
        <ns0:f>S82-O82</ns0:f>
        <ns0:v>0.0</ns0:v>
      </ns0:c>
      <ns0:c r="U82" s="9">
        <ns0:f>S82-P82</ns0:f>
        <ns0:v>-104.0</ns0:v>
      </ns0:c>
      <ns0:c r="V82" s="9">
        <ns0:f>S82-Q82</ns0:f>
        <ns0:v>-139.0</ns0:v>
      </ns0:c>
      <ns0:c r="W82" s="4" t="str">
        <ns0:f>IF(R82=0,"Not Opened",IF(V82&gt;=0,"Recovered - All Scenarios",IF(U82&gt;=0,"Recovered - Low &amp; Base",IF(T82&gt;=0,"Recovered - Low Only","Not Recovered"))))</ns0:f>
        <ns0:v>Not Opened</ns0:v>
      </ns0:c>
      <ns0:c r="X82" s="9">
        <ns0:f>IF(R82=0,0,S82/R82)</ns0:f>
        <ns0:v>0</ns0:v>
      </ns0:c>
      <ns0:c r="Y82" s="4">
        <ns0:f>R82</ns0:f>
        <ns0:v>0</ns0:v>
      </ns0:c>
      <ns0:c r="Z82" s="9" t="str">
        <ns0:f>IF(R82=0,"",S82/R82)</ns0:f>
        <ns0:v/>
      </ns0:c>
      <ns0:c r="AA82" s="4" t="str">
        <ns0:f>IF(R82=0,"Not Opened",IF(R82&gt;=Assumptions!$B$3,"High Frequency","Low Frequency")&amp;" / "&amp;IF(X82&gt;=Assumptions!$B$4,"High Contribution","Low Contribution"))</ns0:f>
        <ns0:v>Not Opened</ns0:v>
      </ns0:c>
    </ns0:row>
    <ns0:row r="83">
      <ns0:c r="A83" s="4" t="inlineStr">
        <ns0:is>
          <ns0:t>SYN-082</ns0:t>
        </ns0:is>
      </ns0:c>
      <ns0:c r="B83" s="4" t="inlineStr">
        <ns0:is>
          <ns0:t>Synthetic Script 082</ns0:t>
        </ns0:is>
      </ns0:c>
      <ns0:c r="C83" s="4" t="inlineStr">
        <ns0:is>
          <ns0:t>推理</ns0:t>
        </ns0:is>
      </ns0:c>
      <ns0:c r="D83" s="4" t="n">
        <ns0:v>1</ns0:v>
      </ns0:c>
      <ns0:c r="E83" s="4" t="n">
        <ns0:v>6</ns0:v>
      </ns0:c>
      <ns0:c r="F83" s="9" t="n">
        <ns0:v>75</ns0:v>
      </ns0:c>
      <ns0:c r="G83" s="9">
        <ns0:f>E83*F83</ns0:f>
        <ns0:v>450</ns0:v>
      </ns0:c>
      <ns0:c r="H83" s="9" t="n">
        <ns0:v>118</ns0:v>
      </ns0:c>
      <ns0:c r="I83" s="4" t="inlineStr">
        <ns0:is>
          <ns0:t>城限</ns0:t>
        </ns0:is>
      </ns0:c>
      <ns0:c r="J83" s="9">
        <ns0:f>G83-H83</ns0:f>
        <ns0:v>332</ns0:v>
      </ns0:c>
      <ns0:c r="K83" s="4" t="n">
        <ns0:v>7</ns0:v>
      </ns0:c>
      <ns0:c r="L83" s="4" t="n">
        <ns0:v>1500</ns0:v>
      </ns0:c>
      <ns0:c r="M83" s="4" t="n">
        <ns0:v>2000</ns0:v>
      </ns0:c>
      <ns0:c r="N83" s="4" t="n">
        <ns0:v>2500</ns0:v>
      </ns0:c>
      <ns0:c r="O83" s="9">
        <ns0:f>ROUND(L83/Assumptions!$B$2,0)</ns0:f>
        <ns0:v>208</ns0:v>
      </ns0:c>
      <ns0:c r="P83" s="9">
        <ns0:f>ROUND(M83/Assumptions!$B$2,0)</ns0:f>
        <ns0:v>278</ns0:v>
      </ns0:c>
      <ns0:c r="Q83" s="9">
        <ns0:f>ROUND(N83/Assumptions!$B$2,0)</ns0:f>
        <ns0:v>347</ns0:v>
      </ns0:c>
      <ns0:c r="R83" s="4">
        <ns0:f>COUNTIF(RawData[Script ID],A83)</ns0:f>
        <ns0:v>1</ns0:v>
      </ns0:c>
      <ns0:c r="S83" s="9">
        <ns0:f>SUMIF(RawData[Script ID],A83,RawData[Estimated Contribution])</ns0:f>
        <ns0:v>332.0</ns0:v>
      </ns0:c>
      <ns0:c r="T83" s="9">
        <ns0:f>S83-O83</ns0:f>
        <ns0:v>124.0</ns0:v>
      </ns0:c>
      <ns0:c r="U83" s="9">
        <ns0:f>S83-P83</ns0:f>
        <ns0:v>54.0</ns0:v>
      </ns0:c>
      <ns0:c r="V83" s="9">
        <ns0:f>S83-Q83</ns0:f>
        <ns0:v>-15.0</ns0:v>
      </ns0:c>
      <ns0:c r="W83" s="4" t="str">
        <ns0:f>IF(R83=0,"Not Opened",IF(V83&gt;=0,"Recovered - All Scenarios",IF(U83&gt;=0,"Recovered - Low &amp; Base",IF(T83&gt;=0,"Recovered - Low Only","Not Recovered"))))</ns0:f>
        <ns0:v>Recovered - Low &amp; Base</ns0:v>
      </ns0:c>
      <ns0:c r="X83" s="9">
        <ns0:f>IF(R83=0,0,S83/R83)</ns0:f>
        <ns0:v>332.0</ns0:v>
      </ns0:c>
      <ns0:c r="Y83" s="4">
        <ns0:f>R83</ns0:f>
        <ns0:v>1</ns0:v>
      </ns0:c>
      <ns0:c r="Z83" s="9">
        <ns0:f>IF(R83=0,"",S83/R83)</ns0:f>
        <ns0:v>332.0</ns0:v>
      </ns0:c>
      <ns0:c r="AA83" s="4" t="str">
        <ns0:f>IF(R83=0,"Not Opened",IF(R83&gt;=Assumptions!$B$3,"High Frequency","Low Frequency")&amp;" / "&amp;IF(X83&gt;=Assumptions!$B$4,"High Contribution","Low Contribution"))</ns0:f>
        <ns0:v>Low Frequency / Low Contribution</ns0:v>
      </ns0:c>
    </ns0:row>
    <ns0:row r="84">
      <ns0:c r="A84" s="4" t="inlineStr">
        <ns0:is>
          <ns0:t>SYN-083</ns0:t>
        </ns0:is>
      </ns0:c>
      <ns0:c r="B84" s="4" t="inlineStr">
        <ns0:is>
          <ns0:t>Synthetic Script 083</ns0:t>
        </ns0:is>
      </ns0:c>
      <ns0:c r="C84" s="4" t="inlineStr">
        <ns0:is>
          <ns0:t>情感</ns0:t>
        </ns0:is>
      </ns0:c>
      <ns0:c r="D84" s="4" t="n">
        <ns0:v>3</ns0:v>
      </ns0:c>
      <ns0:c r="E84" s="4" t="n">
        <ns0:v>6</ns0:v>
      </ns0:c>
      <ns0:c r="F84" s="9" t="n">
        <ns0:v>118</ns0:v>
      </ns0:c>
      <ns0:c r="G84" s="9">
        <ns0:f>E84*F84</ns0:f>
        <ns0:v>708</ns0:v>
      </ns0:c>
      <ns0:c r="H84" s="9" t="n">
        <ns0:v>270</ns0:v>
      </ns0:c>
      <ns0:c r="I84" s="4" t="inlineStr">
        <ns0:is>
          <ns0:t>盒装</ns0:t>
        </ns0:is>
      </ns0:c>
      <ns0:c r="J84" s="9">
        <ns0:f>G84-H84</ns0:f>
        <ns0:v>438</ns0:v>
      </ns0:c>
      <ns0:c r="K84" s="4" t="n">
        <ns0:v>7.7</ns0:v>
      </ns0:c>
      <ns0:c r="L84" s="4" t="n">
        <ns0:v>0</ns0:v>
      </ns0:c>
      <ns0:c r="M84" s="4" t="n">
        <ns0:v>750</ns0:v>
      </ns0:c>
      <ns0:c r="N84" s="4" t="n">
        <ns0:v>1000</ns0:v>
      </ns0:c>
      <ns0:c r="O84" s="9">
        <ns0:f>ROUND(L84/Assumptions!$B$2,0)</ns0:f>
        <ns0:v>0</ns0:v>
      </ns0:c>
      <ns0:c r="P84" s="9">
        <ns0:f>ROUND(M84/Assumptions!$B$2,0)</ns0:f>
        <ns0:v>104</ns0:v>
      </ns0:c>
      <ns0:c r="Q84" s="9">
        <ns0:f>ROUND(N84/Assumptions!$B$2,0)</ns0:f>
        <ns0:v>139</ns0:v>
      </ns0:c>
      <ns0:c r="R84" s="4">
        <ns0:f>COUNTIF(RawData[Script ID],A84)</ns0:f>
        <ns0:v>3</ns0:v>
      </ns0:c>
      <ns0:c r="S84" s="9">
        <ns0:f>SUMIF(RawData[Script ID],A84,RawData[Estimated Contribution])</ns0:f>
        <ns0:v>1314.0</ns0:v>
      </ns0:c>
      <ns0:c r="T84" s="9">
        <ns0:f>S84-O84</ns0:f>
        <ns0:v>1314.0</ns0:v>
      </ns0:c>
      <ns0:c r="U84" s="9">
        <ns0:f>S84-P84</ns0:f>
        <ns0:v>1210.0</ns0:v>
      </ns0:c>
      <ns0:c r="V84" s="9">
        <ns0:f>S84-Q84</ns0:f>
        <ns0:v>1175.0</ns0:v>
      </ns0:c>
      <ns0:c r="W84" s="4" t="str">
        <ns0:f>IF(R84=0,"Not Opened",IF(V84&gt;=0,"Recovered - All Scenarios",IF(U84&gt;=0,"Recovered - Low &amp; Base",IF(T84&gt;=0,"Recovered - Low Only","Not Recovered"))))</ns0:f>
        <ns0:v>Recovered - All Scenarios</ns0:v>
      </ns0:c>
      <ns0:c r="X84" s="9">
        <ns0:f>IF(R84=0,0,S84/R84)</ns0:f>
        <ns0:v>438.0</ns0:v>
      </ns0:c>
      <ns0:c r="Y84" s="4">
        <ns0:f>R84</ns0:f>
        <ns0:v>3</ns0:v>
      </ns0:c>
      <ns0:c r="Z84" s="9">
        <ns0:f>IF(R84=0,"",S84/R84)</ns0:f>
        <ns0:v>438.0</ns0:v>
      </ns0:c>
      <ns0:c r="AA84" s="4" t="str">
        <ns0:f>IF(R84=0,"Not Opened",IF(R84&gt;=Assumptions!$B$3,"High Frequency","Low Frequency")&amp;" / "&amp;IF(X84&gt;=Assumptions!$B$4,"High Contribution","Low Contribution"))</ns0:f>
        <ns0:v>High Frequency / Low Contribution</ns0:v>
      </ns0:c>
    </ns0:row>
    <ns0:row r="85">
      <ns0:c r="A85" s="4" t="inlineStr">
        <ns0:is>
          <ns0:t>SYN-084</ns0:t>
        </ns0:is>
      </ns0:c>
      <ns0:c r="B85" s="4" t="inlineStr">
        <ns0:is>
          <ns0:t>Synthetic Script 084</ns0:t>
        </ns0:is>
      </ns0:c>
      <ns0:c r="C85" s="4" t="inlineStr">
        <ns0:is>
          <ns0:t>欢乐</ns0:t>
        </ns0:is>
      </ns0:c>
      <ns0:c r="D85" s="4" t="n">
        <ns0:v>3</ns0:v>
      </ns0:c>
      <ns0:c r="E85" s="4" t="n">
        <ns0:v>7</ns0:v>
      </ns0:c>
      <ns0:c r="F85" s="9" t="n">
        <ns0:v>129</ns0:v>
      </ns0:c>
      <ns0:c r="G85" s="9">
        <ns0:f>E85*F85</ns0:f>
        <ns0:v>903</ns0:v>
      </ns0:c>
      <ns0:c r="H85" s="9" t="n">
        <ns0:v>237</ns0:v>
      </ns0:c>
      <ns0:c r="I85" s="4" t="inlineStr">
        <ns0:is>
          <ns0:t>独家</ns0:t>
        </ns0:is>
      </ns0:c>
      <ns0:c r="J85" s="9">
        <ns0:f>G85-H85</ns0:f>
        <ns0:v>666</ns0:v>
      </ns0:c>
      <ns0:c r="K85" s="4" t="n">
        <ns0:v>8.4</ns0:v>
      </ns0:c>
      <ns0:c r="L85" s="4" t="n">
        <ns0:v>2500</ns0:v>
      </ns0:c>
      <ns0:c r="M85" s="4" t="n">
        <ns0:v>3000</ns0:v>
      </ns0:c>
      <ns0:c r="N85" s="4" t="n">
        <ns0:v>3500</ns0:v>
      </ns0:c>
      <ns0:c r="O85" s="9">
        <ns0:f>ROUND(L85/Assumptions!$B$2,0)</ns0:f>
        <ns0:v>347</ns0:v>
      </ns0:c>
      <ns0:c r="P85" s="9">
        <ns0:f>ROUND(M85/Assumptions!$B$2,0)</ns0:f>
        <ns0:v>417</ns0:v>
      </ns0:c>
      <ns0:c r="Q85" s="9">
        <ns0:f>ROUND(N85/Assumptions!$B$2,0)</ns0:f>
        <ns0:v>486</ns0:v>
      </ns0:c>
      <ns0:c r="R85" s="4">
        <ns0:f>COUNTIF(RawData[Script ID],A85)</ns0:f>
        <ns0:v>0</ns0:v>
      </ns0:c>
      <ns0:c r="S85" s="9">
        <ns0:f>SUMIF(RawData[Script ID],A85,RawData[Estimated Contribution])</ns0:f>
        <ns0:v>0.0</ns0:v>
      </ns0:c>
      <ns0:c r="T85" s="9">
        <ns0:f>S85-O85</ns0:f>
        <ns0:v>-347.0</ns0:v>
      </ns0:c>
      <ns0:c r="U85" s="9">
        <ns0:f>S85-P85</ns0:f>
        <ns0:v>-417.0</ns0:v>
      </ns0:c>
      <ns0:c r="V85" s="9">
        <ns0:f>S85-Q85</ns0:f>
        <ns0:v>-486.0</ns0:v>
      </ns0:c>
      <ns0:c r="W85" s="4" t="str">
        <ns0:f>IF(R85=0,"Not Opened",IF(V85&gt;=0,"Recovered - All Scenarios",IF(U85&gt;=0,"Recovered - Low &amp; Base",IF(T85&gt;=0,"Recovered - Low Only","Not Recovered"))))</ns0:f>
        <ns0:v>Not Opened</ns0:v>
      </ns0:c>
      <ns0:c r="X85" s="9">
        <ns0:f>IF(R85=0,0,S85/R85)</ns0:f>
        <ns0:v>0</ns0:v>
      </ns0:c>
      <ns0:c r="Y85" s="4">
        <ns0:f>R85</ns0:f>
        <ns0:v>0</ns0:v>
      </ns0:c>
      <ns0:c r="Z85" s="9" t="str">
        <ns0:f>IF(R85=0,"",S85/R85)</ns0:f>
        <ns0:v/>
      </ns0:c>
      <ns0:c r="AA85" s="4" t="str">
        <ns0:f>IF(R85=0,"Not Opened",IF(R85&gt;=Assumptions!$B$3,"High Frequency","Low Frequency")&amp;" / "&amp;IF(X85&gt;=Assumptions!$B$4,"High Contribution","Low Contribution"))</ns0:f>
        <ns0:v>Not Opened</ns0:v>
      </ns0:c>
    </ns0:row>
    <ns0:row r="86">
      <ns0:c r="A86" s="4" t="inlineStr">
        <ns0:is>
          <ns0:t>SYN-085</ns0:t>
        </ns0:is>
      </ns0:c>
      <ns0:c r="B86" s="4" t="inlineStr">
        <ns0:is>
          <ns0:t>Synthetic Script 085</ns0:t>
        </ns0:is>
      </ns0:c>
      <ns0:c r="C86" s="4" t="inlineStr">
        <ns0:is>
          <ns0:t>推理</ns0:t>
        </ns0:is>
      </ns0:c>
      <ns0:c r="D86" s="4" t="n">
        <ns0:v>2</ns0:v>
      </ns0:c>
      <ns0:c r="E86" s="4" t="n">
        <ns0:v>8</ns0:v>
      </ns0:c>
      <ns0:c r="F86" s="9" t="n">
        <ns0:v>65</ns0:v>
      </ns0:c>
      <ns0:c r="G86" s="9">
        <ns0:f>E86*F86</ns0:f>
        <ns0:v>520</ns0:v>
      </ns0:c>
      <ns0:c r="H86" s="9" t="n">
        <ns0:v>137</ns0:v>
      </ns0:c>
      <ns0:c r="I86" s="4" t="inlineStr">
        <ns0:is>
          <ns0:t>城限</ns0:t>
        </ns0:is>
      </ns0:c>
      <ns0:c r="J86" s="9">
        <ns0:f>G86-H86</ns0:f>
        <ns0:v>383</ns0:v>
      </ns0:c>
      <ns0:c r="K86" s="4" t="n">
        <ns0:v>7</ns0:v>
      </ns0:c>
      <ns0:c r="L86" s="4" t="n">
        <ns0:v>1500</ns0:v>
      </ns0:c>
      <ns0:c r="M86" s="4" t="n">
        <ns0:v>2000</ns0:v>
      </ns0:c>
      <ns0:c r="N86" s="4" t="n">
        <ns0:v>2500</ns0:v>
      </ns0:c>
      <ns0:c r="O86" s="9">
        <ns0:f>ROUND(L86/Assumptions!$B$2,0)</ns0:f>
        <ns0:v>208</ns0:v>
      </ns0:c>
      <ns0:c r="P86" s="9">
        <ns0:f>ROUND(M86/Assumptions!$B$2,0)</ns0:f>
        <ns0:v>278</ns0:v>
      </ns0:c>
      <ns0:c r="Q86" s="9">
        <ns0:f>ROUND(N86/Assumptions!$B$2,0)</ns0:f>
        <ns0:v>347</ns0:v>
      </ns0:c>
      <ns0:c r="R86" s="4">
        <ns0:f>COUNTIF(RawData[Script ID],A86)</ns0:f>
        <ns0:v>2</ns0:v>
      </ns0:c>
      <ns0:c r="S86" s="9">
        <ns0:f>SUMIF(RawData[Script ID],A86,RawData[Estimated Contribution])</ns0:f>
        <ns0:v>766.0</ns0:v>
      </ns0:c>
      <ns0:c r="T86" s="9">
        <ns0:f>S86-O86</ns0:f>
        <ns0:v>558.0</ns0:v>
      </ns0:c>
      <ns0:c r="U86" s="9">
        <ns0:f>S86-P86</ns0:f>
        <ns0:v>488.0</ns0:v>
      </ns0:c>
      <ns0:c r="V86" s="9">
        <ns0:f>S86-Q86</ns0:f>
        <ns0:v>419.0</ns0:v>
      </ns0:c>
      <ns0:c r="W86" s="4" t="str">
        <ns0:f>IF(R86=0,"Not Opened",IF(V86&gt;=0,"Recovered - All Scenarios",IF(U86&gt;=0,"Recovered - Low &amp; Base",IF(T86&gt;=0,"Recovered - Low Only","Not Recovered"))))</ns0:f>
        <ns0:v>Recovered - All Scenarios</ns0:v>
      </ns0:c>
      <ns0:c r="X86" s="9">
        <ns0:f>IF(R86=0,0,S86/R86)</ns0:f>
        <ns0:v>383.0</ns0:v>
      </ns0:c>
      <ns0:c r="Y86" s="4">
        <ns0:f>R86</ns0:f>
        <ns0:v>2</ns0:v>
      </ns0:c>
      <ns0:c r="Z86" s="9">
        <ns0:f>IF(R86=0,"",S86/R86)</ns0:f>
        <ns0:v>383.0</ns0:v>
      </ns0:c>
      <ns0:c r="AA86" s="4" t="str">
        <ns0:f>IF(R86=0,"Not Opened",IF(R86&gt;=Assumptions!$B$3,"High Frequency","Low Frequency")&amp;" / "&amp;IF(X86&gt;=Assumptions!$B$4,"High Contribution","Low Contribution"))</ns0:f>
        <ns0:v>High Frequency / Low Contribution</ns0:v>
      </ns0:c>
    </ns0:row>
    <ns0:row r="87">
      <ns0:c r="A87" s="4" t="inlineStr">
        <ns0:is>
          <ns0:t>SYN-086</ns0:t>
        </ns0:is>
      </ns0:c>
      <ns0:c r="B87" s="4" t="inlineStr">
        <ns0:is>
          <ns0:t>Synthetic Script 086</ns0:t>
        </ns0:is>
      </ns0:c>
      <ns0:c r="C87" s="4" t="inlineStr">
        <ns0:is>
          <ns0:t>情感</ns0:t>
        </ns0:is>
      </ns0:c>
      <ns0:c r="D87" s="4" t="n">
        <ns0:v>2</ns0:v>
      </ns0:c>
      <ns0:c r="E87" s="4" t="n">
        <ns0:v>6</ns0:v>
      </ns0:c>
      <ns0:c r="F87" s="9" t="n">
        <ns0:v>109</ns0:v>
      </ns0:c>
      <ns0:c r="G87" s="9">
        <ns0:f>E87*F87</ns0:f>
        <ns0:v>654</ns0:v>
      </ns0:c>
      <ns0:c r="H87" s="9" t="n">
        <ns0:v>180</ns0:v>
      </ns0:c>
      <ns0:c r="I87" s="4" t="inlineStr">
        <ns0:is>
          <ns0:t>盒装</ns0:t>
        </ns0:is>
      </ns0:c>
      <ns0:c r="J87" s="9">
        <ns0:f>G87-H87</ns0:f>
        <ns0:v>474</ns0:v>
      </ns0:c>
      <ns0:c r="K87" s="4" t="n">
        <ns0:v>7.7</ns0:v>
      </ns0:c>
      <ns0:c r="L87" s="4" t="n">
        <ns0:v>0</ns0:v>
      </ns0:c>
      <ns0:c r="M87" s="4" t="n">
        <ns0:v>750</ns0:v>
      </ns0:c>
      <ns0:c r="N87" s="4" t="n">
        <ns0:v>1000</ns0:v>
      </ns0:c>
      <ns0:c r="O87" s="9">
        <ns0:f>ROUND(L87/Assumptions!$B$2,0)</ns0:f>
        <ns0:v>0</ns0:v>
      </ns0:c>
      <ns0:c r="P87" s="9">
        <ns0:f>ROUND(M87/Assumptions!$B$2,0)</ns0:f>
        <ns0:v>104</ns0:v>
      </ns0:c>
      <ns0:c r="Q87" s="9">
        <ns0:f>ROUND(N87/Assumptions!$B$2,0)</ns0:f>
        <ns0:v>139</ns0:v>
      </ns0:c>
      <ns0:c r="R87" s="4">
        <ns0:f>COUNTIF(RawData[Script ID],A87)</ns0:f>
        <ns0:v>4</ns0:v>
      </ns0:c>
      <ns0:c r="S87" s="9">
        <ns0:f>SUMIF(RawData[Script ID],A87,RawData[Estimated Contribution])</ns0:f>
        <ns0:v>1896.0</ns0:v>
      </ns0:c>
      <ns0:c r="T87" s="9">
        <ns0:f>S87-O87</ns0:f>
        <ns0:v>1896.0</ns0:v>
      </ns0:c>
      <ns0:c r="U87" s="9">
        <ns0:f>S87-P87</ns0:f>
        <ns0:v>1792.0</ns0:v>
      </ns0:c>
      <ns0:c r="V87" s="9">
        <ns0:f>S87-Q87</ns0:f>
        <ns0:v>1757.0</ns0:v>
      </ns0:c>
      <ns0:c r="W87" s="4" t="str">
        <ns0:f>IF(R87=0,"Not Opened",IF(V87&gt;=0,"Recovered - All Scenarios",IF(U87&gt;=0,"Recovered - Low &amp; Base",IF(T87&gt;=0,"Recovered - Low Only","Not Recovered"))))</ns0:f>
        <ns0:v>Recovered - All Scenarios</ns0:v>
      </ns0:c>
      <ns0:c r="X87" s="9">
        <ns0:f>IF(R87=0,0,S87/R87)</ns0:f>
        <ns0:v>474.0</ns0:v>
      </ns0:c>
      <ns0:c r="Y87" s="4">
        <ns0:f>R87</ns0:f>
        <ns0:v>4</ns0:v>
      </ns0:c>
      <ns0:c r="Z87" s="9">
        <ns0:f>IF(R87=0,"",S87/R87)</ns0:f>
        <ns0:v>474.0</ns0:v>
      </ns0:c>
      <ns0:c r="AA87" s="4" t="str">
        <ns0:f>IF(R87=0,"Not Opened",IF(R87&gt;=Assumptions!$B$3,"High Frequency","Low Frequency")&amp;" / "&amp;IF(X87&gt;=Assumptions!$B$4,"High Contribution","Low Contribution"))</ns0:f>
        <ns0:v>High Frequency / Low Contribution</ns0:v>
      </ns0:c>
    </ns0:row>
    <ns0:row r="88">
      <ns0:c r="A88" s="4" t="inlineStr">
        <ns0:is>
          <ns0:t>SYN-087</ns0:t>
        </ns0:is>
      </ns0:c>
      <ns0:c r="B88" s="4" t="inlineStr">
        <ns0:is>
          <ns0:t>Synthetic Script 087</ns0:t>
        </ns0:is>
      </ns0:c>
      <ns0:c r="C88" s="4" t="inlineStr">
        <ns0:is>
          <ns0:t>机制</ns0:t>
        </ns0:is>
      </ns0:c>
      <ns0:c r="D88" s="4" t="n">
        <ns0:v>1</ns0:v>
      </ns0:c>
      <ns0:c r="E88" s="4" t="n">
        <ns0:v>6</ns0:v>
      </ns0:c>
      <ns0:c r="F88" s="9" t="n">
        <ns0:v>129</ns0:v>
      </ns0:c>
      <ns0:c r="G88" s="9">
        <ns0:f>E88*F88</ns0:f>
        <ns0:v>774</ns0:v>
      </ns0:c>
      <ns0:c r="H88" s="9" t="n">
        <ns0:v>203</ns0:v>
      </ns0:c>
      <ns0:c r="I88" s="4" t="inlineStr">
        <ns0:is>
          <ns0:t>城限</ns0:t>
        </ns0:is>
      </ns0:c>
      <ns0:c r="J88" s="9">
        <ns0:f>G88-H88</ns0:f>
        <ns0:v>571</ns0:v>
      </ns0:c>
      <ns0:c r="K88" s="4" t="n">
        <ns0:v>8.4</ns0:v>
      </ns0:c>
      <ns0:c r="L88" s="4" t="n">
        <ns0:v>1500</ns0:v>
      </ns0:c>
      <ns0:c r="M88" s="4" t="n">
        <ns0:v>2000</ns0:v>
      </ns0:c>
      <ns0:c r="N88" s="4" t="n">
        <ns0:v>2500</ns0:v>
      </ns0:c>
      <ns0:c r="O88" s="9">
        <ns0:f>ROUND(L88/Assumptions!$B$2,0)</ns0:f>
        <ns0:v>208</ns0:v>
      </ns0:c>
      <ns0:c r="P88" s="9">
        <ns0:f>ROUND(M88/Assumptions!$B$2,0)</ns0:f>
        <ns0:v>278</ns0:v>
      </ns0:c>
      <ns0:c r="Q88" s="9">
        <ns0:f>ROUND(N88/Assumptions!$B$2,0)</ns0:f>
        <ns0:v>347</ns0:v>
      </ns0:c>
      <ns0:c r="R88" s="4">
        <ns0:f>COUNTIF(RawData[Script ID],A88)</ns0:f>
        <ns0:v>0</ns0:v>
      </ns0:c>
      <ns0:c r="S88" s="9">
        <ns0:f>SUMIF(RawData[Script ID],A88,RawData[Estimated Contribution])</ns0:f>
        <ns0:v>0.0</ns0:v>
      </ns0:c>
      <ns0:c r="T88" s="9">
        <ns0:f>S88-O88</ns0:f>
        <ns0:v>-208.0</ns0:v>
      </ns0:c>
      <ns0:c r="U88" s="9">
        <ns0:f>S88-P88</ns0:f>
        <ns0:v>-278.0</ns0:v>
      </ns0:c>
      <ns0:c r="V88" s="9">
        <ns0:f>S88-Q88</ns0:f>
        <ns0:v>-347.0</ns0:v>
      </ns0:c>
      <ns0:c r="W88" s="4" t="str">
        <ns0:f>IF(R88=0,"Not Opened",IF(V88&gt;=0,"Recovered - All Scenarios",IF(U88&gt;=0,"Recovered - Low &amp; Base",IF(T88&gt;=0,"Recovered - Low Only","Not Recovered"))))</ns0:f>
        <ns0:v>Not Opened</ns0:v>
      </ns0:c>
      <ns0:c r="X88" s="9">
        <ns0:f>IF(R88=0,0,S88/R88)</ns0:f>
        <ns0:v>0</ns0:v>
      </ns0:c>
      <ns0:c r="Y88" s="4">
        <ns0:f>R88</ns0:f>
        <ns0:v>0</ns0:v>
      </ns0:c>
      <ns0:c r="Z88" s="9" t="str">
        <ns0:f>IF(R88=0,"",S88/R88)</ns0:f>
        <ns0:v/>
      </ns0:c>
      <ns0:c r="AA88" s="4" t="str">
        <ns0:f>IF(R88=0,"Not Opened",IF(R88&gt;=Assumptions!$B$3,"High Frequency","Low Frequency")&amp;" / "&amp;IF(X88&gt;=Assumptions!$B$4,"High Contribution","Low Contribution"))</ns0:f>
        <ns0:v>Not Opened</ns0:v>
      </ns0:c>
    </ns0:row>
    <ns0:row r="89">
      <ns0:c r="A89" s="4" t="inlineStr">
        <ns0:is>
          <ns0:t>SYN-088</ns0:t>
        </ns0:is>
      </ns0:c>
      <ns0:c r="B89" s="4" t="inlineStr">
        <ns0:is>
          <ns0:t>Synthetic Script 088</ns0:t>
        </ns0:is>
      </ns0:c>
      <ns0:c r="C89" s="4" t="inlineStr">
        <ns0:is>
          <ns0:t>推理</ns0:t>
        </ns0:is>
      </ns0:c>
      <ns0:c r="D89" s="4" t="n">
        <ns0:v>1</ns0:v>
      </ns0:c>
      <ns0:c r="E89" s="4" t="n">
        <ns0:v>6</ns0:v>
      </ns0:c>
      <ns0:c r="F89" s="9" t="n">
        <ns0:v>119</ns0:v>
      </ns0:c>
      <ns0:c r="G89" s="9">
        <ns0:f>E89*F89</ns0:f>
        <ns0:v>714</ns0:v>
      </ns0:c>
      <ns0:c r="H89" s="9" t="n">
        <ns0:v>187</ns0:v>
      </ns0:c>
      <ns0:c r="I89" s="4" t="inlineStr">
        <ns0:is>
          <ns0:t>盒装</ns0:t>
        </ns0:is>
      </ns0:c>
      <ns0:c r="J89" s="9">
        <ns0:f>G89-H89</ns0:f>
        <ns0:v>527</ns0:v>
      </ns0:c>
      <ns0:c r="K89" s="4" t="n">
        <ns0:v>7</ns0:v>
      </ns0:c>
      <ns0:c r="L89" s="4" t="n">
        <ns0:v>0</ns0:v>
      </ns0:c>
      <ns0:c r="M89" s="4" t="n">
        <ns0:v>750</ns0:v>
      </ns0:c>
      <ns0:c r="N89" s="4" t="n">
        <ns0:v>1000</ns0:v>
      </ns0:c>
      <ns0:c r="O89" s="9">
        <ns0:f>ROUND(L89/Assumptions!$B$2,0)</ns0:f>
        <ns0:v>0</ns0:v>
      </ns0:c>
      <ns0:c r="P89" s="9">
        <ns0:f>ROUND(M89/Assumptions!$B$2,0)</ns0:f>
        <ns0:v>104</ns0:v>
      </ns0:c>
      <ns0:c r="Q89" s="9">
        <ns0:f>ROUND(N89/Assumptions!$B$2,0)</ns0:f>
        <ns0:v>139</ns0:v>
      </ns0:c>
      <ns0:c r="R89" s="4">
        <ns0:f>COUNTIF(RawData[Script ID],A89)</ns0:f>
        <ns0:v>2</ns0:v>
      </ns0:c>
      <ns0:c r="S89" s="9">
        <ns0:f>SUMIF(RawData[Script ID],A89,RawData[Estimated Contribution])</ns0:f>
        <ns0:v>1054.0</ns0:v>
      </ns0:c>
      <ns0:c r="T89" s="9">
        <ns0:f>S89-O89</ns0:f>
        <ns0:v>1054.0</ns0:v>
      </ns0:c>
      <ns0:c r="U89" s="9">
        <ns0:f>S89-P89</ns0:f>
        <ns0:v>950.0</ns0:v>
      </ns0:c>
      <ns0:c r="V89" s="9">
        <ns0:f>S89-Q89</ns0:f>
        <ns0:v>915.0</ns0:v>
      </ns0:c>
      <ns0:c r="W89" s="4" t="str">
        <ns0:f>IF(R89=0,"Not Opened",IF(V89&gt;=0,"Recovered - All Scenarios",IF(U89&gt;=0,"Recovered - Low &amp; Base",IF(T89&gt;=0,"Recovered - Low Only","Not Recovered"))))</ns0:f>
        <ns0:v>Recovered - All Scenarios</ns0:v>
      </ns0:c>
      <ns0:c r="X89" s="9">
        <ns0:f>IF(R89=0,0,S89/R89)</ns0:f>
        <ns0:v>527.0</ns0:v>
      </ns0:c>
      <ns0:c r="Y89" s="4">
        <ns0:f>R89</ns0:f>
        <ns0:v>2</ns0:v>
      </ns0:c>
      <ns0:c r="Z89" s="9">
        <ns0:f>IF(R89=0,"",S89/R89)</ns0:f>
        <ns0:v>527.0</ns0:v>
      </ns0:c>
      <ns0:c r="AA89" s="4" t="str">
        <ns0:f>IF(R89=0,"Not Opened",IF(R89&gt;=Assumptions!$B$3,"High Frequency","Low Frequency")&amp;" / "&amp;IF(X89&gt;=Assumptions!$B$4,"High Contribution","Low Contribution"))</ns0:f>
        <ns0:v>High Frequency / High Contribution</ns0:v>
      </ns0:c>
    </ns0:row>
    <ns0:row r="90">
      <ns0:c r="A90" s="4" t="inlineStr">
        <ns0:is>
          <ns0:t>SYN-089</ns0:t>
        </ns0:is>
      </ns0:c>
      <ns0:c r="B90" s="4" t="inlineStr">
        <ns0:is>
          <ns0:t>Synthetic Script 089</ns0:t>
        </ns0:is>
      </ns0:c>
      <ns0:c r="C90" s="4" t="inlineStr">
        <ns0:is>
          <ns0:t>欢乐</ns0:t>
        </ns0:is>
      </ns0:c>
      <ns0:c r="D90" s="4" t="n">
        <ns0:v>3</ns0:v>
      </ns0:c>
      <ns0:c r="E90" s="4" t="n">
        <ns0:v>7</ns0:v>
      </ns0:c>
      <ns0:c r="F90" s="9" t="n">
        <ns0:v>95</ns0:v>
      </ns0:c>
      <ns0:c r="G90" s="9">
        <ns0:f>E90*F90</ns0:f>
        <ns0:v>665</ns0:v>
      </ns0:c>
      <ns0:c r="H90" s="9" t="n">
        <ns0:v>175</ns0:v>
      </ns0:c>
      <ns0:c r="I90" s="4" t="inlineStr">
        <ns0:is>
          <ns0:t>独家</ns0:t>
        </ns0:is>
      </ns0:c>
      <ns0:c r="J90" s="9">
        <ns0:f>G90-H90</ns0:f>
        <ns0:v>490</ns0:v>
      </ns0:c>
      <ns0:c r="K90" s="4" t="n">
        <ns0:v>7.7</ns0:v>
      </ns0:c>
      <ns0:c r="L90" s="4" t="n">
        <ns0:v>2500</ns0:v>
      </ns0:c>
      <ns0:c r="M90" s="4" t="n">
        <ns0:v>3000</ns0:v>
      </ns0:c>
      <ns0:c r="N90" s="4" t="n">
        <ns0:v>3500</ns0:v>
      </ns0:c>
      <ns0:c r="O90" s="9">
        <ns0:f>ROUND(L90/Assumptions!$B$2,0)</ns0:f>
        <ns0:v>347</ns0:v>
      </ns0:c>
      <ns0:c r="P90" s="9">
        <ns0:f>ROUND(M90/Assumptions!$B$2,0)</ns0:f>
        <ns0:v>417</ns0:v>
      </ns0:c>
      <ns0:c r="Q90" s="9">
        <ns0:f>ROUND(N90/Assumptions!$B$2,0)</ns0:f>
        <ns0:v>486</ns0:v>
      </ns0:c>
      <ns0:c r="R90" s="4">
        <ns0:f>COUNTIF(RawData[Script ID],A90)</ns0:f>
        <ns0:v>4</ns0:v>
      </ns0:c>
      <ns0:c r="S90" s="9">
        <ns0:f>SUMIF(RawData[Script ID],A90,RawData[Estimated Contribution])</ns0:f>
        <ns0:v>1960.0</ns0:v>
      </ns0:c>
      <ns0:c r="T90" s="9">
        <ns0:f>S90-O90</ns0:f>
        <ns0:v>1613.0</ns0:v>
      </ns0:c>
      <ns0:c r="U90" s="9">
        <ns0:f>S90-P90</ns0:f>
        <ns0:v>1543.0</ns0:v>
      </ns0:c>
      <ns0:c r="V90" s="9">
        <ns0:f>S90-Q90</ns0:f>
        <ns0:v>1474.0</ns0:v>
      </ns0:c>
      <ns0:c r="W90" s="4" t="str">
        <ns0:f>IF(R90=0,"Not Opened",IF(V90&gt;=0,"Recovered - All Scenarios",IF(U90&gt;=0,"Recovered - Low &amp; Base",IF(T90&gt;=0,"Recovered - Low Only","Not Recovered"))))</ns0:f>
        <ns0:v>Recovered - All Scenarios</ns0:v>
      </ns0:c>
      <ns0:c r="X90" s="9">
        <ns0:f>IF(R90=0,0,S90/R90)</ns0:f>
        <ns0:v>490.0</ns0:v>
      </ns0:c>
      <ns0:c r="Y90" s="4">
        <ns0:f>R90</ns0:f>
        <ns0:v>4</ns0:v>
      </ns0:c>
      <ns0:c r="Z90" s="9">
        <ns0:f>IF(R90=0,"",S90/R90)</ns0:f>
        <ns0:v>490.0</ns0:v>
      </ns0:c>
      <ns0:c r="AA90" s="4" t="str">
        <ns0:f>IF(R90=0,"Not Opened",IF(R90&gt;=Assumptions!$B$3,"High Frequency","Low Frequency")&amp;" / "&amp;IF(X90&gt;=Assumptions!$B$4,"High Contribution","Low Contribution"))</ns0:f>
        <ns0:v>High Frequency / High Contribution</ns0:v>
      </ns0:c>
    </ns0:row>
    <ns0:row r="91">
      <ns0:c r="A91" s="4" t="inlineStr">
        <ns0:is>
          <ns0:t>SYN-090</ns0:t>
        </ns0:is>
      </ns0:c>
      <ns0:c r="B91" s="4" t="inlineStr">
        <ns0:is>
          <ns0:t>Synthetic Script 090</ns0:t>
        </ns0:is>
      </ns0:c>
      <ns0:c r="C91" s="4" t="inlineStr">
        <ns0:is>
          <ns0:t>情感</ns0:t>
        </ns0:is>
      </ns0:c>
      <ns0:c r="D91" s="4" t="n">
        <ns0:v>6</ns0:v>
      </ns0:c>
      <ns0:c r="E91" s="4" t="n">
        <ns0:v>8</ns0:v>
      </ns0:c>
      <ns0:c r="F91" s="9" t="n">
        <ns0:v>109</ns0:v>
      </ns0:c>
      <ns0:c r="G91" s="9">
        <ns0:f>E91*F91</ns0:f>
        <ns0:v>872</ns0:v>
      </ns0:c>
      <ns0:c r="H91" s="9" t="n">
        <ns0:v>540</ns0:v>
      </ns0:c>
      <ns0:c r="I91" s="4" t="inlineStr">
        <ns0:is>
          <ns0:t>盒装</ns0:t>
        </ns0:is>
      </ns0:c>
      <ns0:c r="J91" s="9">
        <ns0:f>G91-H91</ns0:f>
        <ns0:v>332</ns0:v>
      </ns0:c>
      <ns0:c r="K91" s="4" t="n">
        <ns0:v>8.4</ns0:v>
      </ns0:c>
      <ns0:c r="L91" s="4" t="n">
        <ns0:v>0</ns0:v>
      </ns0:c>
      <ns0:c r="M91" s="4" t="n">
        <ns0:v>750</ns0:v>
      </ns0:c>
      <ns0:c r="N91" s="4" t="n">
        <ns0:v>1000</ns0:v>
      </ns0:c>
      <ns0:c r="O91" s="9">
        <ns0:f>ROUND(L91/Assumptions!$B$2,0)</ns0:f>
        <ns0:v>0</ns0:v>
      </ns0:c>
      <ns0:c r="P91" s="9">
        <ns0:f>ROUND(M91/Assumptions!$B$2,0)</ns0:f>
        <ns0:v>104</ns0:v>
      </ns0:c>
      <ns0:c r="Q91" s="9">
        <ns0:f>ROUND(N91/Assumptions!$B$2,0)</ns0:f>
        <ns0:v>139</ns0:v>
      </ns0:c>
      <ns0:c r="R91" s="4">
        <ns0:f>COUNTIF(RawData[Script ID],A91)</ns0:f>
        <ns0:v>1</ns0:v>
      </ns0:c>
      <ns0:c r="S91" s="9">
        <ns0:f>SUMIF(RawData[Script ID],A91,RawData[Estimated Contribution])</ns0:f>
        <ns0:v>332.0</ns0:v>
      </ns0:c>
      <ns0:c r="T91" s="9">
        <ns0:f>S91-O91</ns0:f>
        <ns0:v>332.0</ns0:v>
      </ns0:c>
      <ns0:c r="U91" s="9">
        <ns0:f>S91-P91</ns0:f>
        <ns0:v>228.0</ns0:v>
      </ns0:c>
      <ns0:c r="V91" s="9">
        <ns0:f>S91-Q91</ns0:f>
        <ns0:v>193.0</ns0:v>
      </ns0:c>
      <ns0:c r="W91" s="4" t="str">
        <ns0:f>IF(R91=0,"Not Opened",IF(V91&gt;=0,"Recovered - All Scenarios",IF(U91&gt;=0,"Recovered - Low &amp; Base",IF(T91&gt;=0,"Recovered - Low Only","Not Recovered"))))</ns0:f>
        <ns0:v>Recovered - All Scenarios</ns0:v>
      </ns0:c>
      <ns0:c r="X91" s="9">
        <ns0:f>IF(R91=0,0,S91/R91)</ns0:f>
        <ns0:v>332.0</ns0:v>
      </ns0:c>
      <ns0:c r="Y91" s="4">
        <ns0:f>R91</ns0:f>
        <ns0:v>1</ns0:v>
      </ns0:c>
      <ns0:c r="Z91" s="9">
        <ns0:f>IF(R91=0,"",S91/R91)</ns0:f>
        <ns0:v>332.0</ns0:v>
      </ns0:c>
      <ns0:c r="AA91" s="4" t="str">
        <ns0:f>IF(R91=0,"Not Opened",IF(R91&gt;=Assumptions!$B$3,"High Frequency","Low Frequency")&amp;" / "&amp;IF(X91&gt;=Assumptions!$B$4,"High Contribution","Low Contribution"))</ns0:f>
        <ns0:v>Low Frequency / Low Contribution</ns0:v>
      </ns0:c>
    </ns0:row>
    <ns0:row r="92">
      <ns0:c r="A92" s="4" t="inlineStr">
        <ns0:is>
          <ns0:t>SYN-091</ns0:t>
        </ns0:is>
      </ns0:c>
      <ns0:c r="B92" s="4" t="inlineStr">
        <ns0:is>
          <ns0:t>Synthetic Script 091</ns0:t>
        </ns0:is>
      </ns0:c>
      <ns0:c r="C92" s="4" t="inlineStr">
        <ns0:is>
          <ns0:t>情感</ns0:t>
        </ns0:is>
      </ns0:c>
      <ns0:c r="D92" s="4" t="n">
        <ns0:v>2</ns0:v>
      </ns0:c>
      <ns0:c r="E92" s="4" t="n">
        <ns0:v>6</ns0:v>
      </ns0:c>
      <ns0:c r="F92" s="9" t="n">
        <ns0:v>118</ns0:v>
      </ns0:c>
      <ns0:c r="G92" s="9">
        <ns0:f>E92*F92</ns0:f>
        <ns0:v>708</ns0:v>
      </ns0:c>
      <ns0:c r="H92" s="9" t="n">
        <ns0:v>180</ns0:v>
      </ns0:c>
      <ns0:c r="I92" s="4" t="inlineStr">
        <ns0:is>
          <ns0:t>盒装</ns0:t>
        </ns0:is>
      </ns0:c>
      <ns0:c r="J92" s="9">
        <ns0:f>G92-H92</ns0:f>
        <ns0:v>528</ns0:v>
      </ns0:c>
      <ns0:c r="K92" s="4" t="n">
        <ns0:v>7</ns0:v>
      </ns0:c>
      <ns0:c r="L92" s="4" t="n">
        <ns0:v>0</ns0:v>
      </ns0:c>
      <ns0:c r="M92" s="4" t="n">
        <ns0:v>750</ns0:v>
      </ns0:c>
      <ns0:c r="N92" s="4" t="n">
        <ns0:v>1000</ns0:v>
      </ns0:c>
      <ns0:c r="O92" s="9">
        <ns0:f>ROUND(L92/Assumptions!$B$2,0)</ns0:f>
        <ns0:v>0</ns0:v>
      </ns0:c>
      <ns0:c r="P92" s="9">
        <ns0:f>ROUND(M92/Assumptions!$B$2,0)</ns0:f>
        <ns0:v>104</ns0:v>
      </ns0:c>
      <ns0:c r="Q92" s="9">
        <ns0:f>ROUND(N92/Assumptions!$B$2,0)</ns0:f>
        <ns0:v>139</ns0:v>
      </ns0:c>
      <ns0:c r="R92" s="4">
        <ns0:f>COUNTIF(RawData[Script ID],A92)</ns0:f>
        <ns0:v>2</ns0:v>
      </ns0:c>
      <ns0:c r="S92" s="9">
        <ns0:f>SUMIF(RawData[Script ID],A92,RawData[Estimated Contribution])</ns0:f>
        <ns0:v>1056.0</ns0:v>
      </ns0:c>
      <ns0:c r="T92" s="9">
        <ns0:f>S92-O92</ns0:f>
        <ns0:v>1056.0</ns0:v>
      </ns0:c>
      <ns0:c r="U92" s="9">
        <ns0:f>S92-P92</ns0:f>
        <ns0:v>952.0</ns0:v>
      </ns0:c>
      <ns0:c r="V92" s="9">
        <ns0:f>S92-Q92</ns0:f>
        <ns0:v>917.0</ns0:v>
      </ns0:c>
      <ns0:c r="W92" s="4" t="str">
        <ns0:f>IF(R92=0,"Not Opened",IF(V92&gt;=0,"Recovered - All Scenarios",IF(U92&gt;=0,"Recovered - Low &amp; Base",IF(T92&gt;=0,"Recovered - Low Only","Not Recovered"))))</ns0:f>
        <ns0:v>Recovered - All Scenarios</ns0:v>
      </ns0:c>
      <ns0:c r="X92" s="9">
        <ns0:f>IF(R92=0,0,S92/R92)</ns0:f>
        <ns0:v>528.0</ns0:v>
      </ns0:c>
      <ns0:c r="Y92" s="4">
        <ns0:f>R92</ns0:f>
        <ns0:v>2</ns0:v>
      </ns0:c>
      <ns0:c r="Z92" s="9">
        <ns0:f>IF(R92=0,"",S92/R92)</ns0:f>
        <ns0:v>528.0</ns0:v>
      </ns0:c>
      <ns0:c r="AA92" s="4" t="str">
        <ns0:f>IF(R92=0,"Not Opened",IF(R92&gt;=Assumptions!$B$3,"High Frequency","Low Frequency")&amp;" / "&amp;IF(X92&gt;=Assumptions!$B$4,"High Contribution","Low Contribution"))</ns0:f>
        <ns0:v>High Frequency / High Contribution</ns0:v>
      </ns0:c>
    </ns0:row>
    <ns0:row r="93">
      <ns0:c r="A93" s="4" t="inlineStr">
        <ns0:is>
          <ns0:t>SYN-092</ns0:t>
        </ns0:is>
      </ns0:c>
      <ns0:c r="B93" s="4" t="inlineStr">
        <ns0:is>
          <ns0:t>Synthetic Script 092</ns0:t>
        </ns0:is>
      </ns0:c>
      <ns0:c r="C93" s="4" t="inlineStr">
        <ns0:is>
          <ns0:t>推理</ns0:t>
        </ns0:is>
      </ns0:c>
      <ns0:c r="D93" s="4" t="n">
        <ns0:v>1</ns0:v>
      </ns0:c>
      <ns0:c r="E93" s="4" t="n">
        <ns0:v>6</ns0:v>
      </ns0:c>
      <ns0:c r="F93" s="9" t="n">
        <ns0:v>119</ns0:v>
      </ns0:c>
      <ns0:c r="G93" s="9">
        <ns0:f>E93*F93</ns0:f>
        <ns0:v>714</ns0:v>
      </ns0:c>
      <ns0:c r="H93" s="9" t="n">
        <ns0:v>187</ns0:v>
      </ns0:c>
      <ns0:c r="I93" s="4" t="inlineStr">
        <ns0:is>
          <ns0:t>城限</ns0:t>
        </ns0:is>
      </ns0:c>
      <ns0:c r="J93" s="9">
        <ns0:f>G93-H93</ns0:f>
        <ns0:v>527</ns0:v>
      </ns0:c>
      <ns0:c r="K93" s="4" t="n">
        <ns0:v>7.7</ns0:v>
      </ns0:c>
      <ns0:c r="L93" s="4" t="n">
        <ns0:v>1500</ns0:v>
      </ns0:c>
      <ns0:c r="M93" s="4" t="n">
        <ns0:v>2000</ns0:v>
      </ns0:c>
      <ns0:c r="N93" s="4" t="n">
        <ns0:v>2500</ns0:v>
      </ns0:c>
      <ns0:c r="O93" s="9">
        <ns0:f>ROUND(L93/Assumptions!$B$2,0)</ns0:f>
        <ns0:v>208</ns0:v>
      </ns0:c>
      <ns0:c r="P93" s="9">
        <ns0:f>ROUND(M93/Assumptions!$B$2,0)</ns0:f>
        <ns0:v>278</ns0:v>
      </ns0:c>
      <ns0:c r="Q93" s="9">
        <ns0:f>ROUND(N93/Assumptions!$B$2,0)</ns0:f>
        <ns0:v>347</ns0:v>
      </ns0:c>
      <ns0:c r="R93" s="4">
        <ns0:f>COUNTIF(RawData[Script ID],A93)</ns0:f>
        <ns0:v>5</ns0:v>
      </ns0:c>
      <ns0:c r="S93" s="9">
        <ns0:f>SUMIF(RawData[Script ID],A93,RawData[Estimated Contribution])</ns0:f>
        <ns0:v>2635.0</ns0:v>
      </ns0:c>
      <ns0:c r="T93" s="9">
        <ns0:f>S93-O93</ns0:f>
        <ns0:v>2427.0</ns0:v>
      </ns0:c>
      <ns0:c r="U93" s="9">
        <ns0:f>S93-P93</ns0:f>
        <ns0:v>2357.0</ns0:v>
      </ns0:c>
      <ns0:c r="V93" s="9">
        <ns0:f>S93-Q93</ns0:f>
        <ns0:v>2288.0</ns0:v>
      </ns0:c>
      <ns0:c r="W93" s="4" t="str">
        <ns0:f>IF(R93=0,"Not Opened",IF(V93&gt;=0,"Recovered - All Scenarios",IF(U93&gt;=0,"Recovered - Low &amp; Base",IF(T93&gt;=0,"Recovered - Low Only","Not Recovered"))))</ns0:f>
        <ns0:v>Recovered - All Scenarios</ns0:v>
      </ns0:c>
      <ns0:c r="X93" s="9">
        <ns0:f>IF(R93=0,0,S93/R93)</ns0:f>
        <ns0:v>527.0</ns0:v>
      </ns0:c>
      <ns0:c r="Y93" s="4">
        <ns0:f>R93</ns0:f>
        <ns0:v>5</ns0:v>
      </ns0:c>
      <ns0:c r="Z93" s="9">
        <ns0:f>IF(R93=0,"",S93/R93)</ns0:f>
        <ns0:v>527.0</ns0:v>
      </ns0:c>
      <ns0:c r="AA93" s="4" t="str">
        <ns0:f>IF(R93=0,"Not Opened",IF(R93&gt;=Assumptions!$B$3,"High Frequency","Low Frequency")&amp;" / "&amp;IF(X93&gt;=Assumptions!$B$4,"High Contribution","Low Contribution"))</ns0:f>
        <ns0:v>High Frequency / High Contribution</ns0:v>
      </ns0:c>
    </ns0:row>
    <ns0:row r="94">
      <ns0:c r="A94" s="4" t="inlineStr">
        <ns0:is>
          <ns0:t>SYN-093</ns0:t>
        </ns0:is>
      </ns0:c>
      <ns0:c r="B94" s="4" t="inlineStr">
        <ns0:is>
          <ns0:t>Synthetic Script 093</ns0:t>
        </ns0:is>
      </ns0:c>
      <ns0:c r="C94" s="4" t="inlineStr">
        <ns0:is>
          <ns0:t>情感</ns0:t>
        </ns0:is>
      </ns0:c>
      <ns0:c r="D94" s="4" t="n">
        <ns0:v>3</ns0:v>
      </ns0:c>
      <ns0:c r="E94" s="4" t="n">
        <ns0:v>6</ns0:v>
      </ns0:c>
      <ns0:c r="F94" s="9" t="n">
        <ns0:v>99</ns0:v>
      </ns0:c>
      <ns0:c r="G94" s="9">
        <ns0:f>E94*F94</ns0:f>
        <ns0:v>594</ns0:v>
      </ns0:c>
      <ns0:c r="H94" s="9" t="n">
        <ns0:v>270</ns0:v>
      </ns0:c>
      <ns0:c r="I94" s="4" t="inlineStr">
        <ns0:is>
          <ns0:t>盒装</ns0:t>
        </ns0:is>
      </ns0:c>
      <ns0:c r="J94" s="9">
        <ns0:f>G94-H94</ns0:f>
        <ns0:v>324</ns0:v>
      </ns0:c>
      <ns0:c r="K94" s="4" t="n">
        <ns0:v>8.4</ns0:v>
      </ns0:c>
      <ns0:c r="L94" s="4" t="n">
        <ns0:v>0</ns0:v>
      </ns0:c>
      <ns0:c r="M94" s="4" t="n">
        <ns0:v>750</ns0:v>
      </ns0:c>
      <ns0:c r="N94" s="4" t="n">
        <ns0:v>1000</ns0:v>
      </ns0:c>
      <ns0:c r="O94" s="9">
        <ns0:f>ROUND(L94/Assumptions!$B$2,0)</ns0:f>
        <ns0:v>0</ns0:v>
      </ns0:c>
      <ns0:c r="P94" s="9">
        <ns0:f>ROUND(M94/Assumptions!$B$2,0)</ns0:f>
        <ns0:v>104</ns0:v>
      </ns0:c>
      <ns0:c r="Q94" s="9">
        <ns0:f>ROUND(N94/Assumptions!$B$2,0)</ns0:f>
        <ns0:v>139</ns0:v>
      </ns0:c>
      <ns0:c r="R94" s="4">
        <ns0:f>COUNTIF(RawData[Script ID],A94)</ns0:f>
        <ns0:v>1</ns0:v>
      </ns0:c>
      <ns0:c r="S94" s="9">
        <ns0:f>SUMIF(RawData[Script ID],A94,RawData[Estimated Contribution])</ns0:f>
        <ns0:v>324.0</ns0:v>
      </ns0:c>
      <ns0:c r="T94" s="9">
        <ns0:f>S94-O94</ns0:f>
        <ns0:v>324.0</ns0:v>
      </ns0:c>
      <ns0:c r="U94" s="9">
        <ns0:f>S94-P94</ns0:f>
        <ns0:v>220.0</ns0:v>
      </ns0:c>
      <ns0:c r="V94" s="9">
        <ns0:f>S94-Q94</ns0:f>
        <ns0:v>185.0</ns0:v>
      </ns0:c>
      <ns0:c r="W94" s="4" t="str">
        <ns0:f>IF(R94=0,"Not Opened",IF(V94&gt;=0,"Recovered - All Scenarios",IF(U94&gt;=0,"Recovered - Low &amp; Base",IF(T94&gt;=0,"Recovered - Low Only","Not Recovered"))))</ns0:f>
        <ns0:v>Recovered - All Scenarios</ns0:v>
      </ns0:c>
      <ns0:c r="X94" s="9">
        <ns0:f>IF(R94=0,0,S94/R94)</ns0:f>
        <ns0:v>324.0</ns0:v>
      </ns0:c>
      <ns0:c r="Y94" s="4">
        <ns0:f>R94</ns0:f>
        <ns0:v>1</ns0:v>
      </ns0:c>
      <ns0:c r="Z94" s="9">
        <ns0:f>IF(R94=0,"",S94/R94)</ns0:f>
        <ns0:v>324.0</ns0:v>
      </ns0:c>
      <ns0:c r="AA94" s="4" t="str">
        <ns0:f>IF(R94=0,"Not Opened",IF(R94&gt;=Assumptions!$B$3,"High Frequency","Low Frequency")&amp;" / "&amp;IF(X94&gt;=Assumptions!$B$4,"High Contribution","Low Contribution"))</ns0:f>
        <ns0:v>Low Frequency / Low Contribution</ns0:v>
      </ns0:c>
    </ns0:row>
    <ns0:row r="95">
      <ns0:c r="A95" s="4" t="inlineStr">
        <ns0:is>
          <ns0:t>SYN-094</ns0:t>
        </ns0:is>
      </ns0:c>
      <ns0:c r="B95" s="4" t="inlineStr">
        <ns0:is>
          <ns0:t>Synthetic Script 094</ns0:t>
        </ns0:is>
      </ns0:c>
      <ns0:c r="C95" s="4" t="inlineStr">
        <ns0:is>
          <ns0:t>欢乐</ns0:t>
        </ns0:is>
      </ns0:c>
      <ns0:c r="D95" s="4" t="n">
        <ns0:v>3</ns0:v>
      </ns0:c>
      <ns0:c r="E95" s="4" t="n">
        <ns0:v>7</ns0:v>
      </ns0:c>
      <ns0:c r="F95" s="9" t="n">
        <ns0:v>109</ns0:v>
      </ns0:c>
      <ns0:c r="G95" s="9">
        <ns0:f>E95*F95</ns0:f>
        <ns0:v>763</ns0:v>
      </ns0:c>
      <ns0:c r="H95" s="9" t="n">
        <ns0:v>200</ns0:v>
      </ns0:c>
      <ns0:c r="I95" s="4" t="inlineStr">
        <ns0:is>
          <ns0:t>独家</ns0:t>
        </ns0:is>
      </ns0:c>
      <ns0:c r="J95" s="9">
        <ns0:f>G95-H95</ns0:f>
        <ns0:v>563</ns0:v>
      </ns0:c>
      <ns0:c r="K95" s="4" t="n">
        <ns0:v>7</ns0:v>
      </ns0:c>
      <ns0:c r="L95" s="4" t="n">
        <ns0:v>2500</ns0:v>
      </ns0:c>
      <ns0:c r="M95" s="4" t="n">
        <ns0:v>3000</ns0:v>
      </ns0:c>
      <ns0:c r="N95" s="4" t="n">
        <ns0:v>3500</ns0:v>
      </ns0:c>
      <ns0:c r="O95" s="9">
        <ns0:f>ROUND(L95/Assumptions!$B$2,0)</ns0:f>
        <ns0:v>347</ns0:v>
      </ns0:c>
      <ns0:c r="P95" s="9">
        <ns0:f>ROUND(M95/Assumptions!$B$2,0)</ns0:f>
        <ns0:v>417</ns0:v>
      </ns0:c>
      <ns0:c r="Q95" s="9">
        <ns0:f>ROUND(N95/Assumptions!$B$2,0)</ns0:f>
        <ns0:v>486</ns0:v>
      </ns0:c>
      <ns0:c r="R95" s="4">
        <ns0:f>COUNTIF(RawData[Script ID],A95)</ns0:f>
        <ns0:v>2</ns0:v>
      </ns0:c>
      <ns0:c r="S95" s="9">
        <ns0:f>SUMIF(RawData[Script ID],A95,RawData[Estimated Contribution])</ns0:f>
        <ns0:v>1126.0</ns0:v>
      </ns0:c>
      <ns0:c r="T95" s="9">
        <ns0:f>S95-O95</ns0:f>
        <ns0:v>779.0</ns0:v>
      </ns0:c>
      <ns0:c r="U95" s="9">
        <ns0:f>S95-P95</ns0:f>
        <ns0:v>709.0</ns0:v>
      </ns0:c>
      <ns0:c r="V95" s="9">
        <ns0:f>S95-Q95</ns0:f>
        <ns0:v>640.0</ns0:v>
      </ns0:c>
      <ns0:c r="W95" s="4" t="str">
        <ns0:f>IF(R95=0,"Not Opened",IF(V95&gt;=0,"Recovered - All Scenarios",IF(U95&gt;=0,"Recovered - Low &amp; Base",IF(T95&gt;=0,"Recovered - Low Only","Not Recovered"))))</ns0:f>
        <ns0:v>Recovered - All Scenarios</ns0:v>
      </ns0:c>
      <ns0:c r="X95" s="9">
        <ns0:f>IF(R95=0,0,S95/R95)</ns0:f>
        <ns0:v>563.0</ns0:v>
      </ns0:c>
      <ns0:c r="Y95" s="4">
        <ns0:f>R95</ns0:f>
        <ns0:v>2</ns0:v>
      </ns0:c>
      <ns0:c r="Z95" s="9">
        <ns0:f>IF(R95=0,"",S95/R95)</ns0:f>
        <ns0:v>563.0</ns0:v>
      </ns0:c>
      <ns0:c r="AA95" s="4" t="str">
        <ns0:f>IF(R95=0,"Not Opened",IF(R95&gt;=Assumptions!$B$3,"High Frequency","Low Frequency")&amp;" / "&amp;IF(X95&gt;=Assumptions!$B$4,"High Contribution","Low Contribution"))</ns0:f>
        <ns0:v>High Frequency / High Contribution</ns0:v>
      </ns0:c>
    </ns0:row>
    <ns0:row r="96">
      <ns0:c r="A96" s="4" t="inlineStr">
        <ns0:is>
          <ns0:t>SYN-095</ns0:t>
        </ns0:is>
      </ns0:c>
      <ns0:c r="B96" s="4" t="inlineStr">
        <ns0:is>
          <ns0:t>Synthetic Script 095</ns0:t>
        </ns0:is>
      </ns0:c>
      <ns0:c r="C96" s="4" t="inlineStr">
        <ns0:is>
          <ns0:t>推理</ns0:t>
        </ns0:is>
      </ns0:c>
      <ns0:c r="D96" s="4" t="n">
        <ns0:v>2</ns0:v>
      </ns0:c>
      <ns0:c r="E96" s="4" t="n">
        <ns0:v>8</ns0:v>
      </ns0:c>
      <ns0:c r="F96" s="9" t="n">
        <ns0:v>95</ns0:v>
      </ns0:c>
      <ns0:c r="G96" s="9">
        <ns0:f>E96*F96</ns0:f>
        <ns0:v>760</ns0:v>
      </ns0:c>
      <ns0:c r="H96" s="9" t="n">
        <ns0:v>200</ns0:v>
      </ns0:c>
      <ns0:c r="I96" s="4" t="inlineStr">
        <ns0:is>
          <ns0:t>城限</ns0:t>
        </ns0:is>
      </ns0:c>
      <ns0:c r="J96" s="9">
        <ns0:f>G96-H96</ns0:f>
        <ns0:v>560</ns0:v>
      </ns0:c>
      <ns0:c r="K96" s="4" t="n">
        <ns0:v>7.7</ns0:v>
      </ns0:c>
      <ns0:c r="L96" s="4" t="n">
        <ns0:v>1500</ns0:v>
      </ns0:c>
      <ns0:c r="M96" s="4" t="n">
        <ns0:v>2000</ns0:v>
      </ns0:c>
      <ns0:c r="N96" s="4" t="n">
        <ns0:v>2500</ns0:v>
      </ns0:c>
      <ns0:c r="O96" s="9">
        <ns0:f>ROUND(L96/Assumptions!$B$2,0)</ns0:f>
        <ns0:v>208</ns0:v>
      </ns0:c>
      <ns0:c r="P96" s="9">
        <ns0:f>ROUND(M96/Assumptions!$B$2,0)</ns0:f>
        <ns0:v>278</ns0:v>
      </ns0:c>
      <ns0:c r="Q96" s="9">
        <ns0:f>ROUND(N96/Assumptions!$B$2,0)</ns0:f>
        <ns0:v>347</ns0:v>
      </ns0:c>
      <ns0:c r="R96" s="4">
        <ns0:f>COUNTIF(RawData[Script ID],A96)</ns0:f>
        <ns0:v>7</ns0:v>
      </ns0:c>
      <ns0:c r="S96" s="9">
        <ns0:f>SUMIF(RawData[Script ID],A96,RawData[Estimated Contribution])</ns0:f>
        <ns0:v>3920.0</ns0:v>
      </ns0:c>
      <ns0:c r="T96" s="9">
        <ns0:f>S96-O96</ns0:f>
        <ns0:v>3712.0</ns0:v>
      </ns0:c>
      <ns0:c r="U96" s="9">
        <ns0:f>S96-P96</ns0:f>
        <ns0:v>3642.0</ns0:v>
      </ns0:c>
      <ns0:c r="V96" s="9">
        <ns0:f>S96-Q96</ns0:f>
        <ns0:v>3573.0</ns0:v>
      </ns0:c>
      <ns0:c r="W96" s="4" t="str">
        <ns0:f>IF(R96=0,"Not Opened",IF(V96&gt;=0,"Recovered - All Scenarios",IF(U96&gt;=0,"Recovered - Low &amp; Base",IF(T96&gt;=0,"Recovered - Low Only","Not Recovered"))))</ns0:f>
        <ns0:v>Recovered - All Scenarios</ns0:v>
      </ns0:c>
      <ns0:c r="X96" s="9">
        <ns0:f>IF(R96=0,0,S96/R96)</ns0:f>
        <ns0:v>560.0</ns0:v>
      </ns0:c>
      <ns0:c r="Y96" s="4">
        <ns0:f>R96</ns0:f>
        <ns0:v>7</ns0:v>
      </ns0:c>
      <ns0:c r="Z96" s="9">
        <ns0:f>IF(R96=0,"",S96/R96)</ns0:f>
        <ns0:v>560.0</ns0:v>
      </ns0:c>
      <ns0:c r="AA96" s="4" t="str">
        <ns0:f>IF(R96=0,"Not Opened",IF(R96&gt;=Assumptions!$B$3,"High Frequency","Low Frequency")&amp;" / "&amp;IF(X96&gt;=Assumptions!$B$4,"High Contribution","Low Contribution"))</ns0:f>
        <ns0:v>High Frequency / High Contribution</ns0:v>
      </ns0:c>
    </ns0:row>
    <ns0:row r="97">
      <ns0:c r="A97" s="4" t="inlineStr">
        <ns0:is>
          <ns0:t>SYN-096</ns0:t>
        </ns0:is>
      </ns0:c>
      <ns0:c r="B97" s="4" t="inlineStr">
        <ns0:is>
          <ns0:t>Synthetic Script 096</ns0:t>
        </ns0:is>
      </ns0:c>
      <ns0:c r="C97" s="4" t="inlineStr">
        <ns0:is>
          <ns0:t>情感</ns0:t>
        </ns0:is>
      </ns0:c>
      <ns0:c r="D97" s="4" t="n">
        <ns0:v>2</ns0:v>
      </ns0:c>
      <ns0:c r="E97" s="4" t="n">
        <ns0:v>6</ns0:v>
      </ns0:c>
      <ns0:c r="F97" s="9" t="n">
        <ns0:v>138</ns0:v>
      </ns0:c>
      <ns0:c r="G97" s="9">
        <ns0:f>E97*F97</ns0:f>
        <ns0:v>828</ns0:v>
      </ns0:c>
      <ns0:c r="H97" s="9" t="n">
        <ns0:v>180</ns0:v>
      </ns0:c>
      <ns0:c r="I97" s="4" t="inlineStr">
        <ns0:is>
          <ns0:t>盒装</ns0:t>
        </ns0:is>
      </ns0:c>
      <ns0:c r="J97" s="9">
        <ns0:f>G97-H97</ns0:f>
        <ns0:v>648</ns0:v>
      </ns0:c>
      <ns0:c r="K97" s="4" t="n">
        <ns0:v>8.4</ns0:v>
      </ns0:c>
      <ns0:c r="L97" s="4" t="n">
        <ns0:v>0</ns0:v>
      </ns0:c>
      <ns0:c r="M97" s="4" t="n">
        <ns0:v>750</ns0:v>
      </ns0:c>
      <ns0:c r="N97" s="4" t="n">
        <ns0:v>1000</ns0:v>
      </ns0:c>
      <ns0:c r="O97" s="9">
        <ns0:f>ROUND(L97/Assumptions!$B$2,0)</ns0:f>
        <ns0:v>0</ns0:v>
      </ns0:c>
      <ns0:c r="P97" s="9">
        <ns0:f>ROUND(M97/Assumptions!$B$2,0)</ns0:f>
        <ns0:v>104</ns0:v>
      </ns0:c>
      <ns0:c r="Q97" s="9">
        <ns0:f>ROUND(N97/Assumptions!$B$2,0)</ns0:f>
        <ns0:v>139</ns0:v>
      </ns0:c>
      <ns0:c r="R97" s="4">
        <ns0:f>COUNTIF(RawData[Script ID],A97)</ns0:f>
        <ns0:v>1</ns0:v>
      </ns0:c>
      <ns0:c r="S97" s="9">
        <ns0:f>SUMIF(RawData[Script ID],A97,RawData[Estimated Contribution])</ns0:f>
        <ns0:v>648.0</ns0:v>
      </ns0:c>
      <ns0:c r="T97" s="9">
        <ns0:f>S97-O97</ns0:f>
        <ns0:v>648.0</ns0:v>
      </ns0:c>
      <ns0:c r="U97" s="9">
        <ns0:f>S97-P97</ns0:f>
        <ns0:v>544.0</ns0:v>
      </ns0:c>
      <ns0:c r="V97" s="9">
        <ns0:f>S97-Q97</ns0:f>
        <ns0:v>509.0</ns0:v>
      </ns0:c>
      <ns0:c r="W97" s="4" t="str">
        <ns0:f>IF(R97=0,"Not Opened",IF(V97&gt;=0,"Recovered - All Scenarios",IF(U97&gt;=0,"Recovered - Low &amp; Base",IF(T97&gt;=0,"Recovered - Low Only","Not Recovered"))))</ns0:f>
        <ns0:v>Recovered - All Scenarios</ns0:v>
      </ns0:c>
      <ns0:c r="X97" s="9">
        <ns0:f>IF(R97=0,0,S97/R97)</ns0:f>
        <ns0:v>648.0</ns0:v>
      </ns0:c>
      <ns0:c r="Y97" s="4">
        <ns0:f>R97</ns0:f>
        <ns0:v>1</ns0:v>
      </ns0:c>
      <ns0:c r="Z97" s="9">
        <ns0:f>IF(R97=0,"",S97/R97)</ns0:f>
        <ns0:v>648.0</ns0:v>
      </ns0:c>
      <ns0:c r="AA97" s="4" t="str">
        <ns0:f>IF(R97=0,"Not Opened",IF(R97&gt;=Assumptions!$B$3,"High Frequency","Low Frequency")&amp;" / "&amp;IF(X97&gt;=Assumptions!$B$4,"High Contribution","Low Contribution"))</ns0:f>
        <ns0:v>Low Frequency / High Contribution</ns0:v>
      </ns0:c>
    </ns0:row>
    <ns0:row r="98">
      <ns0:c r="A98" s="4" t="inlineStr">
        <ns0:is>
          <ns0:t>SYN-097</ns0:t>
        </ns0:is>
      </ns0:c>
      <ns0:c r="B98" s="4" t="inlineStr">
        <ns0:is>
          <ns0:t>Synthetic Script 097</ns0:t>
        </ns0:is>
      </ns0:c>
      <ns0:c r="C98" s="4" t="inlineStr">
        <ns0:is>
          <ns0:t>机制</ns0:t>
        </ns0:is>
      </ns0:c>
      <ns0:c r="D98" s="4" t="n">
        <ns0:v>1</ns0:v>
      </ns0:c>
      <ns0:c r="E98" s="4" t="n">
        <ns0:v>6</ns0:v>
      </ns0:c>
      <ns0:c r="F98" s="9" t="n">
        <ns0:v>109</ns0:v>
      </ns0:c>
      <ns0:c r="G98" s="9">
        <ns0:f>E98*F98</ns0:f>
        <ns0:v>654</ns0:v>
      </ns0:c>
      <ns0:c r="H98" s="9" t="n">
        <ns0:v>172</ns0:v>
      </ns0:c>
      <ns0:c r="I98" s="4" t="inlineStr">
        <ns0:is>
          <ns0:t>城限</ns0:t>
        </ns0:is>
      </ns0:c>
      <ns0:c r="J98" s="9">
        <ns0:f>G98-H98</ns0:f>
        <ns0:v>482</ns0:v>
      </ns0:c>
      <ns0:c r="K98" s="4" t="n">
        <ns0:v>7</ns0:v>
      </ns0:c>
      <ns0:c r="L98" s="4" t="n">
        <ns0:v>1500</ns0:v>
      </ns0:c>
      <ns0:c r="M98" s="4" t="n">
        <ns0:v>2000</ns0:v>
      </ns0:c>
      <ns0:c r="N98" s="4" t="n">
        <ns0:v>2500</ns0:v>
      </ns0:c>
      <ns0:c r="O98" s="9">
        <ns0:f>ROUND(L98/Assumptions!$B$2,0)</ns0:f>
        <ns0:v>208</ns0:v>
      </ns0:c>
      <ns0:c r="P98" s="9">
        <ns0:f>ROUND(M98/Assumptions!$B$2,0)</ns0:f>
        <ns0:v>278</ns0:v>
      </ns0:c>
      <ns0:c r="Q98" s="9">
        <ns0:f>ROUND(N98/Assumptions!$B$2,0)</ns0:f>
        <ns0:v>347</ns0:v>
      </ns0:c>
      <ns0:c r="R98" s="4">
        <ns0:f>COUNTIF(RawData[Script ID],A98)</ns0:f>
        <ns0:v>3</ns0:v>
      </ns0:c>
      <ns0:c r="S98" s="9">
        <ns0:f>SUMIF(RawData[Script ID],A98,RawData[Estimated Contribution])</ns0:f>
        <ns0:v>1446.0</ns0:v>
      </ns0:c>
      <ns0:c r="T98" s="9">
        <ns0:f>S98-O98</ns0:f>
        <ns0:v>1238.0</ns0:v>
      </ns0:c>
      <ns0:c r="U98" s="9">
        <ns0:f>S98-P98</ns0:f>
        <ns0:v>1168.0</ns0:v>
      </ns0:c>
      <ns0:c r="V98" s="9">
        <ns0:f>S98-Q98</ns0:f>
        <ns0:v>1099.0</ns0:v>
      </ns0:c>
      <ns0:c r="W98" s="4" t="str">
        <ns0:f>IF(R98=0,"Not Opened",IF(V98&gt;=0,"Recovered - All Scenarios",IF(U98&gt;=0,"Recovered - Low &amp; Base",IF(T98&gt;=0,"Recovered - Low Only","Not Recovered"))))</ns0:f>
        <ns0:v>Recovered - All Scenarios</ns0:v>
      </ns0:c>
      <ns0:c r="X98" s="9">
        <ns0:f>IF(R98=0,0,S98/R98)</ns0:f>
        <ns0:v>482.0</ns0:v>
      </ns0:c>
      <ns0:c r="Y98" s="4">
        <ns0:f>R98</ns0:f>
        <ns0:v>3</ns0:v>
      </ns0:c>
      <ns0:c r="Z98" s="9">
        <ns0:f>IF(R98=0,"",S98/R98)</ns0:f>
        <ns0:v>482.0</ns0:v>
      </ns0:c>
      <ns0:c r="AA98" s="4" t="str">
        <ns0:f>IF(R98=0,"Not Opened",IF(R98&gt;=Assumptions!$B$3,"High Frequency","Low Frequency")&amp;" / "&amp;IF(X98&gt;=Assumptions!$B$4,"High Contribution","Low Contribution"))</ns0:f>
        <ns0:v>High Frequency / Low Contribution</ns0:v>
      </ns0:c>
    </ns0:row>
    <ns0:row r="99">
      <ns0:c r="A99" s="4" t="inlineStr">
        <ns0:is>
          <ns0:t>SYN-098</ns0:t>
        </ns0:is>
      </ns0:c>
      <ns0:c r="B99" s="4" t="inlineStr">
        <ns0:is>
          <ns0:t>Synthetic Script 098</ns0:t>
        </ns0:is>
      </ns0:c>
      <ns0:c r="C99" s="4" t="inlineStr">
        <ns0:is>
          <ns0:t>推理</ns0:t>
        </ns0:is>
      </ns0:c>
      <ns0:c r="D99" s="4" t="n">
        <ns0:v>1</ns0:v>
      </ns0:c>
      <ns0:c r="E99" s="4" t="n">
        <ns0:v>6</ns0:v>
      </ns0:c>
      <ns0:c r="F99" s="9" t="n">
        <ns0:v>75</ns0:v>
      </ns0:c>
      <ns0:c r="G99" s="9">
        <ns0:f>E99*F99</ns0:f>
        <ns0:v>450</ns0:v>
      </ns0:c>
      <ns0:c r="H99" s="9" t="n">
        <ns0:v>118</ns0:v>
      </ns0:c>
      <ns0:c r="I99" s="4" t="inlineStr">
        <ns0:is>
          <ns0:t>盒装</ns0:t>
        </ns0:is>
      </ns0:c>
      <ns0:c r="J99" s="9">
        <ns0:f>G99-H99</ns0:f>
        <ns0:v>332</ns0:v>
      </ns0:c>
      <ns0:c r="K99" s="4" t="n">
        <ns0:v>7.7</ns0:v>
      </ns0:c>
      <ns0:c r="L99" s="4" t="n">
        <ns0:v>0</ns0:v>
      </ns0:c>
      <ns0:c r="M99" s="4" t="n">
        <ns0:v>750</ns0:v>
      </ns0:c>
      <ns0:c r="N99" s="4" t="n">
        <ns0:v>1000</ns0:v>
      </ns0:c>
      <ns0:c r="O99" s="9">
        <ns0:f>ROUND(L99/Assumptions!$B$2,0)</ns0:f>
        <ns0:v>0</ns0:v>
      </ns0:c>
      <ns0:c r="P99" s="9">
        <ns0:f>ROUND(M99/Assumptions!$B$2,0)</ns0:f>
        <ns0:v>104</ns0:v>
      </ns0:c>
      <ns0:c r="Q99" s="9">
        <ns0:f>ROUND(N99/Assumptions!$B$2,0)</ns0:f>
        <ns0:v>139</ns0:v>
      </ns0:c>
      <ns0:c r="R99" s="4">
        <ns0:f>COUNTIF(RawData[Script ID],A99)</ns0:f>
        <ns0:v>10</ns0:v>
      </ns0:c>
      <ns0:c r="S99" s="9">
        <ns0:f>SUMIF(RawData[Script ID],A99,RawData[Estimated Contribution])</ns0:f>
        <ns0:v>3320.0</ns0:v>
      </ns0:c>
      <ns0:c r="T99" s="9">
        <ns0:f>S99-O99</ns0:f>
        <ns0:v>3320.0</ns0:v>
      </ns0:c>
      <ns0:c r="U99" s="9">
        <ns0:f>S99-P99</ns0:f>
        <ns0:v>3216.0</ns0:v>
      </ns0:c>
      <ns0:c r="V99" s="9">
        <ns0:f>S99-Q99</ns0:f>
        <ns0:v>3181.0</ns0:v>
      </ns0:c>
      <ns0:c r="W99" s="4" t="str">
        <ns0:f>IF(R99=0,"Not Opened",IF(V99&gt;=0,"Recovered - All Scenarios",IF(U99&gt;=0,"Recovered - Low &amp; Base",IF(T99&gt;=0,"Recovered - Low Only","Not Recovered"))))</ns0:f>
        <ns0:v>Recovered - All Scenarios</ns0:v>
      </ns0:c>
      <ns0:c r="X99" s="9">
        <ns0:f>IF(R99=0,0,S99/R99)</ns0:f>
        <ns0:v>332.0</ns0:v>
      </ns0:c>
      <ns0:c r="Y99" s="4">
        <ns0:f>R99</ns0:f>
        <ns0:v>10</ns0:v>
      </ns0:c>
      <ns0:c r="Z99" s="9">
        <ns0:f>IF(R99=0,"",S99/R99)</ns0:f>
        <ns0:v>332.0</ns0:v>
      </ns0:c>
      <ns0:c r="AA99" s="4" t="str">
        <ns0:f>IF(R99=0,"Not Opened",IF(R99&gt;=Assumptions!$B$3,"High Frequency","Low Frequency")&amp;" / "&amp;IF(X99&gt;=Assumptions!$B$4,"High Contribution","Low Contribution"))</ns0:f>
        <ns0:v>High Frequency / Low Contribution</ns0:v>
      </ns0:c>
    </ns0:row>
    <ns0:row r="100">
      <ns0:c r="A100" s="4" t="inlineStr">
        <ns0:is>
          <ns0:t>SYN-099</ns0:t>
        </ns0:is>
      </ns0:c>
      <ns0:c r="B100" s="4" t="inlineStr">
        <ns0:is>
          <ns0:t>Synthetic Script 099</ns0:t>
        </ns0:is>
      </ns0:c>
      <ns0:c r="C100" s="4" t="inlineStr">
        <ns0:is>
          <ns0:t>欢乐</ns0:t>
        </ns0:is>
      </ns0:c>
      <ns0:c r="D100" s="4" t="n">
        <ns0:v>3</ns0:v>
      </ns0:c>
      <ns0:c r="E100" s="4" t="n">
        <ns0:v>7</ns0:v>
      </ns0:c>
      <ns0:c r="F100" s="9" t="n">
        <ns0:v>118</ns0:v>
      </ns0:c>
      <ns0:c r="G100" s="9">
        <ns0:f>E100*F100</ns0:f>
        <ns0:v>826</ns0:v>
      </ns0:c>
      <ns0:c r="H100" s="9" t="n">
        <ns0:v>217</ns0:v>
      </ns0:c>
      <ns0:c r="I100" s="4" t="inlineStr">
        <ns0:is>
          <ns0:t>独家</ns0:t>
        </ns0:is>
      </ns0:c>
      <ns0:c r="J100" s="9">
        <ns0:f>G100-H100</ns0:f>
        <ns0:v>609</ns0:v>
      </ns0:c>
      <ns0:c r="K100" s="4" t="n">
        <ns0:v>8.4</ns0:v>
      </ns0:c>
      <ns0:c r="L100" s="4" t="n">
        <ns0:v>2500</ns0:v>
      </ns0:c>
      <ns0:c r="M100" s="4" t="n">
        <ns0:v>3000</ns0:v>
      </ns0:c>
      <ns0:c r="N100" s="4" t="n">
        <ns0:v>3500</ns0:v>
      </ns0:c>
      <ns0:c r="O100" s="9">
        <ns0:f>ROUND(L100/Assumptions!$B$2,0)</ns0:f>
        <ns0:v>347</ns0:v>
      </ns0:c>
      <ns0:c r="P100" s="9">
        <ns0:f>ROUND(M100/Assumptions!$B$2,0)</ns0:f>
        <ns0:v>417</ns0:v>
      </ns0:c>
      <ns0:c r="Q100" s="9">
        <ns0:f>ROUND(N100/Assumptions!$B$2,0)</ns0:f>
        <ns0:v>486</ns0:v>
      </ns0:c>
      <ns0:c r="R100" s="4">
        <ns0:f>COUNTIF(RawData[Script ID],A100)</ns0:f>
        <ns0:v>1</ns0:v>
      </ns0:c>
      <ns0:c r="S100" s="9">
        <ns0:f>SUMIF(RawData[Script ID],A100,RawData[Estimated Contribution])</ns0:f>
        <ns0:v>609.0</ns0:v>
      </ns0:c>
      <ns0:c r="T100" s="9">
        <ns0:f>S100-O100</ns0:f>
        <ns0:v>262.0</ns0:v>
      </ns0:c>
      <ns0:c r="U100" s="9">
        <ns0:f>S100-P100</ns0:f>
        <ns0:v>192.0</ns0:v>
      </ns0:c>
      <ns0:c r="V100" s="9">
        <ns0:f>S100-Q100</ns0:f>
        <ns0:v>123.0</ns0:v>
      </ns0:c>
      <ns0:c r="W100" s="4" t="str">
        <ns0:f>IF(R100=0,"Not Opened",IF(V100&gt;=0,"Recovered - All Scenarios",IF(U100&gt;=0,"Recovered - Low &amp; Base",IF(T100&gt;=0,"Recovered - Low Only","Not Recovered"))))</ns0:f>
        <ns0:v>Recovered - All Scenarios</ns0:v>
      </ns0:c>
      <ns0:c r="X100" s="9">
        <ns0:f>IF(R100=0,0,S100/R100)</ns0:f>
        <ns0:v>609.0</ns0:v>
      </ns0:c>
      <ns0:c r="Y100" s="4">
        <ns0:f>R100</ns0:f>
        <ns0:v>1</ns0:v>
      </ns0:c>
      <ns0:c r="Z100" s="9">
        <ns0:f>IF(R100=0,"",S100/R100)</ns0:f>
        <ns0:v>609.0</ns0:v>
      </ns0:c>
      <ns0:c r="AA100" s="4" t="str">
        <ns0:f>IF(R100=0,"Not Opened",IF(R100&gt;=Assumptions!$B$3,"High Frequency","Low Frequency")&amp;" / "&amp;IF(X100&gt;=Assumptions!$B$4,"High Contribution","Low Contribution"))</ns0:f>
        <ns0:v>Low Frequency / High Contribution</ns0:v>
      </ns0:c>
    </ns0:row>
    <ns0:row r="101">
      <ns0:c r="A101" s="4" t="inlineStr">
        <ns0:is>
          <ns0:t>SYN-100</ns0:t>
        </ns0:is>
      </ns0:c>
      <ns0:c r="B101" s="4" t="inlineStr">
        <ns0:is>
          <ns0:t>Synthetic Script 100</ns0:t>
        </ns0:is>
      </ns0:c>
      <ns0:c r="C101" s="4" t="inlineStr">
        <ns0:is>
          <ns0:t>情感</ns0:t>
        </ns0:is>
      </ns0:c>
      <ns0:c r="D101" s="4" t="n">
        <ns0:v>6</ns0:v>
      </ns0:c>
      <ns0:c r="E101" s="4" t="n">
        <ns0:v>8</ns0:v>
      </ns0:c>
      <ns0:c r="F101" s="9" t="n">
        <ns0:v>138</ns0:v>
      </ns0:c>
      <ns0:c r="G101" s="9">
        <ns0:f>E101*F101</ns0:f>
        <ns0:v>1104</ns0:v>
      </ns0:c>
      <ns0:c r="H101" s="9" t="n">
        <ns0:v>540</ns0:v>
      </ns0:c>
      <ns0:c r="I101" s="4" t="inlineStr">
        <ns0:is>
          <ns0:t>盒装</ns0:t>
        </ns0:is>
      </ns0:c>
      <ns0:c r="J101" s="9">
        <ns0:f>G101-H101</ns0:f>
        <ns0:v>564</ns0:v>
      </ns0:c>
      <ns0:c r="K101" s="4" t="n">
        <ns0:v>7</ns0:v>
      </ns0:c>
      <ns0:c r="L101" s="4" t="n">
        <ns0:v>0</ns0:v>
      </ns0:c>
      <ns0:c r="M101" s="4" t="n">
        <ns0:v>750</ns0:v>
      </ns0:c>
      <ns0:c r="N101" s="4" t="n">
        <ns0:v>1000</ns0:v>
      </ns0:c>
      <ns0:c r="O101" s="9">
        <ns0:f>ROUND(L101/Assumptions!$B$2,0)</ns0:f>
        <ns0:v>0</ns0:v>
      </ns0:c>
      <ns0:c r="P101" s="9">
        <ns0:f>ROUND(M101/Assumptions!$B$2,0)</ns0:f>
        <ns0:v>104</ns0:v>
      </ns0:c>
      <ns0:c r="Q101" s="9">
        <ns0:f>ROUND(N101/Assumptions!$B$2,0)</ns0:f>
        <ns0:v>139</ns0:v>
      </ns0:c>
      <ns0:c r="R101" s="4">
        <ns0:f>COUNTIF(RawData[Script ID],A101)</ns0:f>
        <ns0:v>3</ns0:v>
      </ns0:c>
      <ns0:c r="S101" s="9">
        <ns0:f>SUMIF(RawData[Script ID],A101,RawData[Estimated Contribution])</ns0:f>
        <ns0:v>1692.0</ns0:v>
      </ns0:c>
      <ns0:c r="T101" s="9">
        <ns0:f>S101-O101</ns0:f>
        <ns0:v>1692.0</ns0:v>
      </ns0:c>
      <ns0:c r="U101" s="9">
        <ns0:f>S101-P101</ns0:f>
        <ns0:v>1588.0</ns0:v>
      </ns0:c>
      <ns0:c r="V101" s="9">
        <ns0:f>S101-Q101</ns0:f>
        <ns0:v>1553.0</ns0:v>
      </ns0:c>
      <ns0:c r="W101" s="4" t="str">
        <ns0:f>IF(R101=0,"Not Opened",IF(V101&gt;=0,"Recovered - All Scenarios",IF(U101&gt;=0,"Recovered - Low &amp; Base",IF(T101&gt;=0,"Recovered - Low Only","Not Recovered"))))</ns0:f>
        <ns0:v>Recovered - All Scenarios</ns0:v>
      </ns0:c>
      <ns0:c r="X101" s="9">
        <ns0:f>IF(R101=0,0,S101/R101)</ns0:f>
        <ns0:v>564.0</ns0:v>
      </ns0:c>
      <ns0:c r="Y101" s="4">
        <ns0:f>R101</ns0:f>
        <ns0:v>3</ns0:v>
      </ns0:c>
      <ns0:c r="Z101" s="9">
        <ns0:f>IF(R101=0,"",S101/R101)</ns0:f>
        <ns0:v>564.0</ns0:v>
      </ns0:c>
      <ns0:c r="AA101" s="4" t="str">
        <ns0:f>IF(R101=0,"Not Opened",IF(R101&gt;=Assumptions!$B$3,"High Frequency","Low Frequency")&amp;" / "&amp;IF(X101&gt;=Assumptions!$B$4,"High Contribution","Low Contribution"))</ns0:f>
        <ns0:v>High Frequency / High Contribution</ns0:v>
      </ns0:c>
    </ns0:row>
    <ns0:row r="102">
      <ns0:c r="A102" s="4" t="inlineStr">
        <ns0:is>
          <ns0:t>SYN-101</ns0:t>
        </ns0:is>
      </ns0:c>
      <ns0:c r="B102" s="4" t="inlineStr">
        <ns0:is>
          <ns0:t>Synthetic Script 101</ns0:t>
        </ns0:is>
      </ns0:c>
      <ns0:c r="C102" s="4" t="inlineStr">
        <ns0:is>
          <ns0:t>情感</ns0:t>
        </ns0:is>
      </ns0:c>
      <ns0:c r="D102" s="4" t="n">
        <ns0:v>2</ns0:v>
      </ns0:c>
      <ns0:c r="E102" s="4" t="n">
        <ns0:v>6</ns0:v>
      </ns0:c>
      <ns0:c r="F102" s="9" t="n">
        <ns0:v>99</ns0:v>
      </ns0:c>
      <ns0:c r="G102" s="9">
        <ns0:f>E102*F102</ns0:f>
        <ns0:v>594</ns0:v>
      </ns0:c>
      <ns0:c r="H102" s="9" t="n">
        <ns0:v>180</ns0:v>
      </ns0:c>
      <ns0:c r="I102" s="4" t="inlineStr">
        <ns0:is>
          <ns0:t>盒装</ns0:t>
        </ns0:is>
      </ns0:c>
      <ns0:c r="J102" s="9">
        <ns0:f>G102-H102</ns0:f>
        <ns0:v>414</ns0:v>
      </ns0:c>
      <ns0:c r="K102" s="4" t="n">
        <ns0:v>7.7</ns0:v>
      </ns0:c>
      <ns0:c r="L102" s="4" t="n">
        <ns0:v>0</ns0:v>
      </ns0:c>
      <ns0:c r="M102" s="4" t="n">
        <ns0:v>750</ns0:v>
      </ns0:c>
      <ns0:c r="N102" s="4" t="n">
        <ns0:v>1000</ns0:v>
      </ns0:c>
      <ns0:c r="O102" s="9">
        <ns0:f>ROUND(L102/Assumptions!$B$2,0)</ns0:f>
        <ns0:v>0</ns0:v>
      </ns0:c>
      <ns0:c r="P102" s="9">
        <ns0:f>ROUND(M102/Assumptions!$B$2,0)</ns0:f>
        <ns0:v>104</ns0:v>
      </ns0:c>
      <ns0:c r="Q102" s="9">
        <ns0:f>ROUND(N102/Assumptions!$B$2,0)</ns0:f>
        <ns0:v>139</ns0:v>
      </ns0:c>
      <ns0:c r="R102" s="4">
        <ns0:f>COUNTIF(RawData[Script ID],A102)</ns0:f>
        <ns0:v>0</ns0:v>
      </ns0:c>
      <ns0:c r="S102" s="9">
        <ns0:f>SUMIF(RawData[Script ID],A102,RawData[Estimated Contribution])</ns0:f>
        <ns0:v>0.0</ns0:v>
      </ns0:c>
      <ns0:c r="T102" s="9">
        <ns0:f>S102-O102</ns0:f>
        <ns0:v>0.0</ns0:v>
      </ns0:c>
      <ns0:c r="U102" s="9">
        <ns0:f>S102-P102</ns0:f>
        <ns0:v>-104.0</ns0:v>
      </ns0:c>
      <ns0:c r="V102" s="9">
        <ns0:f>S102-Q102</ns0:f>
        <ns0:v>-139.0</ns0:v>
      </ns0:c>
      <ns0:c r="W102" s="4" t="str">
        <ns0:f>IF(R102=0,"Not Opened",IF(V102&gt;=0,"Recovered - All Scenarios",IF(U102&gt;=0,"Recovered - Low &amp; Base",IF(T102&gt;=0,"Recovered - Low Only","Not Recovered"))))</ns0:f>
        <ns0:v>Not Opened</ns0:v>
      </ns0:c>
      <ns0:c r="X102" s="9">
        <ns0:f>IF(R102=0,0,S102/R102)</ns0:f>
        <ns0:v>0</ns0:v>
      </ns0:c>
      <ns0:c r="Y102" s="4">
        <ns0:f>R102</ns0:f>
        <ns0:v>0</ns0:v>
      </ns0:c>
      <ns0:c r="Z102" s="9" t="str">
        <ns0:f>IF(R102=0,"",S102/R102)</ns0:f>
        <ns0:v/>
      </ns0:c>
      <ns0:c r="AA102" s="4" t="str">
        <ns0:f>IF(R102=0,"Not Opened",IF(R102&gt;=Assumptions!$B$3,"High Frequency","Low Frequency")&amp;" / "&amp;IF(X102&gt;=Assumptions!$B$4,"High Contribution","Low Contribution"))</ns0:f>
        <ns0:v>Not Opened</ns0:v>
      </ns0:c>
    </ns0:row>
    <ns0:row r="103">
      <ns0:c r="A103" s="4" t="inlineStr">
        <ns0:is>
          <ns0:t>SYN-102</ns0:t>
        </ns0:is>
      </ns0:c>
      <ns0:c r="B103" s="4" t="inlineStr">
        <ns0:is>
          <ns0:t>Synthetic Script 102</ns0:t>
        </ns0:is>
      </ns0:c>
      <ns0:c r="C103" s="4" t="inlineStr">
        <ns0:is>
          <ns0:t>推理</ns0:t>
        </ns0:is>
      </ns0:c>
      <ns0:c r="D103" s="4" t="n">
        <ns0:v>1</ns0:v>
      </ns0:c>
      <ns0:c r="E103" s="4" t="n">
        <ns0:v>6</ns0:v>
      </ns0:c>
      <ns0:c r="F103" s="9" t="n">
        <ns0:v>75</ns0:v>
      </ns0:c>
      <ns0:c r="G103" s="9">
        <ns0:f>E103*F103</ns0:f>
        <ns0:v>450</ns0:v>
      </ns0:c>
      <ns0:c r="H103" s="9" t="n">
        <ns0:v>118</ns0:v>
      </ns0:c>
      <ns0:c r="I103" s="4" t="inlineStr">
        <ns0:is>
          <ns0:t>城限</ns0:t>
        </ns0:is>
      </ns0:c>
      <ns0:c r="J103" s="9">
        <ns0:f>G103-H103</ns0:f>
        <ns0:v>332</ns0:v>
      </ns0:c>
      <ns0:c r="K103" s="4" t="n">
        <ns0:v>8.4</ns0:v>
      </ns0:c>
      <ns0:c r="L103" s="4" t="n">
        <ns0:v>1500</ns0:v>
      </ns0:c>
      <ns0:c r="M103" s="4" t="n">
        <ns0:v>2000</ns0:v>
      </ns0:c>
      <ns0:c r="N103" s="4" t="n">
        <ns0:v>2500</ns0:v>
      </ns0:c>
      <ns0:c r="O103" s="9">
        <ns0:f>ROUND(L103/Assumptions!$B$2,0)</ns0:f>
        <ns0:v>208</ns0:v>
      </ns0:c>
      <ns0:c r="P103" s="9">
        <ns0:f>ROUND(M103/Assumptions!$B$2,0)</ns0:f>
        <ns0:v>278</ns0:v>
      </ns0:c>
      <ns0:c r="Q103" s="9">
        <ns0:f>ROUND(N103/Assumptions!$B$2,0)</ns0:f>
        <ns0:v>347</ns0:v>
      </ns0:c>
      <ns0:c r="R103" s="4">
        <ns0:f>COUNTIF(RawData[Script ID],A103)</ns0:f>
        <ns0:v>1</ns0:v>
      </ns0:c>
      <ns0:c r="S103" s="9">
        <ns0:f>SUMIF(RawData[Script ID],A103,RawData[Estimated Contribution])</ns0:f>
        <ns0:v>332.0</ns0:v>
      </ns0:c>
      <ns0:c r="T103" s="9">
        <ns0:f>S103-O103</ns0:f>
        <ns0:v>124.0</ns0:v>
      </ns0:c>
      <ns0:c r="U103" s="9">
        <ns0:f>S103-P103</ns0:f>
        <ns0:v>54.0</ns0:v>
      </ns0:c>
      <ns0:c r="V103" s="9">
        <ns0:f>S103-Q103</ns0:f>
        <ns0:v>-15.0</ns0:v>
      </ns0:c>
      <ns0:c r="W103" s="4" t="str">
        <ns0:f>IF(R103=0,"Not Opened",IF(V103&gt;=0,"Recovered - All Scenarios",IF(U103&gt;=0,"Recovered - Low &amp; Base",IF(T103&gt;=0,"Recovered - Low Only","Not Recovered"))))</ns0:f>
        <ns0:v>Recovered - Low &amp; Base</ns0:v>
      </ns0:c>
      <ns0:c r="X103" s="9">
        <ns0:f>IF(R103=0,0,S103/R103)</ns0:f>
        <ns0:v>332.0</ns0:v>
      </ns0:c>
      <ns0:c r="Y103" s="4">
        <ns0:f>R103</ns0:f>
        <ns0:v>1</ns0:v>
      </ns0:c>
      <ns0:c r="Z103" s="9">
        <ns0:f>IF(R103=0,"",S103/R103)</ns0:f>
        <ns0:v>332.0</ns0:v>
      </ns0:c>
      <ns0:c r="AA103" s="4" t="str">
        <ns0:f>IF(R103=0,"Not Opened",IF(R103&gt;=Assumptions!$B$3,"High Frequency","Low Frequency")&amp;" / "&amp;IF(X103&gt;=Assumptions!$B$4,"High Contribution","Low Contribution"))</ns0:f>
        <ns0:v>Low Frequency / Low Contribution</ns0:v>
      </ns0:c>
    </ns0:row>
    <ns0:row r="104">
      <ns0:c r="A104" s="4" t="inlineStr">
        <ns0:is>
          <ns0:t>SYN-103</ns0:t>
        </ns0:is>
      </ns0:c>
      <ns0:c r="B104" s="4" t="inlineStr">
        <ns0:is>
          <ns0:t>Synthetic Script 103</ns0:t>
        </ns0:is>
      </ns0:c>
      <ns0:c r="C104" s="4" t="inlineStr">
        <ns0:is>
          <ns0:t>情感</ns0:t>
        </ns0:is>
      </ns0:c>
      <ns0:c r="D104" s="4" t="n">
        <ns0:v>3</ns0:v>
      </ns0:c>
      <ns0:c r="E104" s="4" t="n">
        <ns0:v>6</ns0:v>
      </ns0:c>
      <ns0:c r="F104" s="9" t="n">
        <ns0:v>118</ns0:v>
      </ns0:c>
      <ns0:c r="G104" s="9">
        <ns0:f>E104*F104</ns0:f>
        <ns0:v>708</ns0:v>
      </ns0:c>
      <ns0:c r="H104" s="9" t="n">
        <ns0:v>270</ns0:v>
      </ns0:c>
      <ns0:c r="I104" s="4" t="inlineStr">
        <ns0:is>
          <ns0:t>盒装</ns0:t>
        </ns0:is>
      </ns0:c>
      <ns0:c r="J104" s="9">
        <ns0:f>G104-H104</ns0:f>
        <ns0:v>438</ns0:v>
      </ns0:c>
      <ns0:c r="K104" s="4" t="n">
        <ns0:v>7</ns0:v>
      </ns0:c>
      <ns0:c r="L104" s="4" t="n">
        <ns0:v>0</ns0:v>
      </ns0:c>
      <ns0:c r="M104" s="4" t="n">
        <ns0:v>750</ns0:v>
      </ns0:c>
      <ns0:c r="N104" s="4" t="n">
        <ns0:v>1000</ns0:v>
      </ns0:c>
      <ns0:c r="O104" s="9">
        <ns0:f>ROUND(L104/Assumptions!$B$2,0)</ns0:f>
        <ns0:v>0</ns0:v>
      </ns0:c>
      <ns0:c r="P104" s="9">
        <ns0:f>ROUND(M104/Assumptions!$B$2,0)</ns0:f>
        <ns0:v>104</ns0:v>
      </ns0:c>
      <ns0:c r="Q104" s="9">
        <ns0:f>ROUND(N104/Assumptions!$B$2,0)</ns0:f>
        <ns0:v>139</ns0:v>
      </ns0:c>
      <ns0:c r="R104" s="4">
        <ns0:f>COUNTIF(RawData[Script ID],A104)</ns0:f>
        <ns0:v>3</ns0:v>
      </ns0:c>
      <ns0:c r="S104" s="9">
        <ns0:f>SUMIF(RawData[Script ID],A104,RawData[Estimated Contribution])</ns0:f>
        <ns0:v>1314.0</ns0:v>
      </ns0:c>
      <ns0:c r="T104" s="9">
        <ns0:f>S104-O104</ns0:f>
        <ns0:v>1314.0</ns0:v>
      </ns0:c>
      <ns0:c r="U104" s="9">
        <ns0:f>S104-P104</ns0:f>
        <ns0:v>1210.0</ns0:v>
      </ns0:c>
      <ns0:c r="V104" s="9">
        <ns0:f>S104-Q104</ns0:f>
        <ns0:v>1175.0</ns0:v>
      </ns0:c>
      <ns0:c r="W104" s="4" t="str">
        <ns0:f>IF(R104=0,"Not Opened",IF(V104&gt;=0,"Recovered - All Scenarios",IF(U104&gt;=0,"Recovered - Low &amp; Base",IF(T104&gt;=0,"Recovered - Low Only","Not Recovered"))))</ns0:f>
        <ns0:v>Recovered - All Scenarios</ns0:v>
      </ns0:c>
      <ns0:c r="X104" s="9">
        <ns0:f>IF(R104=0,0,S104/R104)</ns0:f>
        <ns0:v>438.0</ns0:v>
      </ns0:c>
      <ns0:c r="Y104" s="4">
        <ns0:f>R104</ns0:f>
        <ns0:v>3</ns0:v>
      </ns0:c>
      <ns0:c r="Z104" s="9">
        <ns0:f>IF(R104=0,"",S104/R104)</ns0:f>
        <ns0:v>438.0</ns0:v>
      </ns0:c>
      <ns0:c r="AA104" s="4" t="str">
        <ns0:f>IF(R104=0,"Not Opened",IF(R104&gt;=Assumptions!$B$3,"High Frequency","Low Frequency")&amp;" / "&amp;IF(X104&gt;=Assumptions!$B$4,"High Contribution","Low Contribution"))</ns0:f>
        <ns0:v>High Frequency / Low Contribution</ns0:v>
      </ns0:c>
    </ns0:row>
    <ns0:row r="105">
      <ns0:c r="A105" s="4" t="inlineStr">
        <ns0:is>
          <ns0:t>SYN-104</ns0:t>
        </ns0:is>
      </ns0:c>
      <ns0:c r="B105" s="4" t="inlineStr">
        <ns0:is>
          <ns0:t>Synthetic Script 104</ns0:t>
        </ns0:is>
      </ns0:c>
      <ns0:c r="C105" s="4" t="inlineStr">
        <ns0:is>
          <ns0:t>欢乐</ns0:t>
        </ns0:is>
      </ns0:c>
      <ns0:c r="D105" s="4" t="n">
        <ns0:v>3</ns0:v>
      </ns0:c>
      <ns0:c r="E105" s="4" t="n">
        <ns0:v>7</ns0:v>
      </ns0:c>
      <ns0:c r="F105" s="9" t="n">
        <ns0:v>129</ns0:v>
      </ns0:c>
      <ns0:c r="G105" s="9">
        <ns0:f>E105*F105</ns0:f>
        <ns0:v>903</ns0:v>
      </ns0:c>
      <ns0:c r="H105" s="9" t="n">
        <ns0:v>237</ns0:v>
      </ns0:c>
      <ns0:c r="I105" s="4" t="inlineStr">
        <ns0:is>
          <ns0:t>独家</ns0:t>
        </ns0:is>
      </ns0:c>
      <ns0:c r="J105" s="9">
        <ns0:f>G105-H105</ns0:f>
        <ns0:v>666</ns0:v>
      </ns0:c>
      <ns0:c r="K105" s="4" t="n">
        <ns0:v>7.7</ns0:v>
      </ns0:c>
      <ns0:c r="L105" s="4" t="n">
        <ns0:v>2500</ns0:v>
      </ns0:c>
      <ns0:c r="M105" s="4" t="n">
        <ns0:v>3000</ns0:v>
      </ns0:c>
      <ns0:c r="N105" s="4" t="n">
        <ns0:v>3500</ns0:v>
      </ns0:c>
      <ns0:c r="O105" s="9">
        <ns0:f>ROUND(L105/Assumptions!$B$2,0)</ns0:f>
        <ns0:v>347</ns0:v>
      </ns0:c>
      <ns0:c r="P105" s="9">
        <ns0:f>ROUND(M105/Assumptions!$B$2,0)</ns0:f>
        <ns0:v>417</ns0:v>
      </ns0:c>
      <ns0:c r="Q105" s="9">
        <ns0:f>ROUND(N105/Assumptions!$B$2,0)</ns0:f>
        <ns0:v>486</ns0:v>
      </ns0:c>
      <ns0:c r="R105" s="4">
        <ns0:f>COUNTIF(RawData[Script ID],A105)</ns0:f>
        <ns0:v>0</ns0:v>
      </ns0:c>
      <ns0:c r="S105" s="9">
        <ns0:f>SUMIF(RawData[Script ID],A105,RawData[Estimated Contribution])</ns0:f>
        <ns0:v>0.0</ns0:v>
      </ns0:c>
      <ns0:c r="T105" s="9">
        <ns0:f>S105-O105</ns0:f>
        <ns0:v>-347.0</ns0:v>
      </ns0:c>
      <ns0:c r="U105" s="9">
        <ns0:f>S105-P105</ns0:f>
        <ns0:v>-417.0</ns0:v>
      </ns0:c>
      <ns0:c r="V105" s="9">
        <ns0:f>S105-Q105</ns0:f>
        <ns0:v>-486.0</ns0:v>
      </ns0:c>
      <ns0:c r="W105" s="4" t="str">
        <ns0:f>IF(R105=0,"Not Opened",IF(V105&gt;=0,"Recovered - All Scenarios",IF(U105&gt;=0,"Recovered - Low &amp; Base",IF(T105&gt;=0,"Recovered - Low Only","Not Recovered"))))</ns0:f>
        <ns0:v>Not Opened</ns0:v>
      </ns0:c>
      <ns0:c r="X105" s="9">
        <ns0:f>IF(R105=0,0,S105/R105)</ns0:f>
        <ns0:v>0</ns0:v>
      </ns0:c>
      <ns0:c r="Y105" s="4">
        <ns0:f>R105</ns0:f>
        <ns0:v>0</ns0:v>
      </ns0:c>
      <ns0:c r="Z105" s="9" t="str">
        <ns0:f>IF(R105=0,"",S105/R105)</ns0:f>
        <ns0:v/>
      </ns0:c>
      <ns0:c r="AA105" s="4" t="str">
        <ns0:f>IF(R105=0,"Not Opened",IF(R105&gt;=Assumptions!$B$3,"High Frequency","Low Frequency")&amp;" / "&amp;IF(X105&gt;=Assumptions!$B$4,"High Contribution","Low Contribution"))</ns0:f>
        <ns0:v>Not Opened</ns0:v>
      </ns0:c>
    </ns0:row>
    <ns0:row r="106">
      <ns0:c r="A106" s="4" t="inlineStr">
        <ns0:is>
          <ns0:t>SYN-105</ns0:t>
        </ns0:is>
      </ns0:c>
      <ns0:c r="B106" s="4" t="inlineStr">
        <ns0:is>
          <ns0:t>Synthetic Script 105</ns0:t>
        </ns0:is>
      </ns0:c>
      <ns0:c r="C106" s="4" t="inlineStr">
        <ns0:is>
          <ns0:t>推理</ns0:t>
        </ns0:is>
      </ns0:c>
      <ns0:c r="D106" s="4" t="n">
        <ns0:v>2</ns0:v>
      </ns0:c>
      <ns0:c r="E106" s="4" t="n">
        <ns0:v>8</ns0:v>
      </ns0:c>
      <ns0:c r="F106" s="9" t="n">
        <ns0:v>65</ns0:v>
      </ns0:c>
      <ns0:c r="G106" s="9">
        <ns0:f>E106*F106</ns0:f>
        <ns0:v>520</ns0:v>
      </ns0:c>
      <ns0:c r="H106" s="9" t="n">
        <ns0:v>137</ns0:v>
      </ns0:c>
      <ns0:c r="I106" s="4" t="inlineStr">
        <ns0:is>
          <ns0:t>城限</ns0:t>
        </ns0:is>
      </ns0:c>
      <ns0:c r="J106" s="9">
        <ns0:f>G106-H106</ns0:f>
        <ns0:v>383</ns0:v>
      </ns0:c>
      <ns0:c r="K106" s="4" t="n">
        <ns0:v>8.4</ns0:v>
      </ns0:c>
      <ns0:c r="L106" s="4" t="n">
        <ns0:v>1500</ns0:v>
      </ns0:c>
      <ns0:c r="M106" s="4" t="n">
        <ns0:v>2000</ns0:v>
      </ns0:c>
      <ns0:c r="N106" s="4" t="n">
        <ns0:v>2500</ns0:v>
      </ns0:c>
      <ns0:c r="O106" s="9">
        <ns0:f>ROUND(L106/Assumptions!$B$2,0)</ns0:f>
        <ns0:v>208</ns0:v>
      </ns0:c>
      <ns0:c r="P106" s="9">
        <ns0:f>ROUND(M106/Assumptions!$B$2,0)</ns0:f>
        <ns0:v>278</ns0:v>
      </ns0:c>
      <ns0:c r="Q106" s="9">
        <ns0:f>ROUND(N106/Assumptions!$B$2,0)</ns0:f>
        <ns0:v>347</ns0:v>
      </ns0:c>
      <ns0:c r="R106" s="4">
        <ns0:f>COUNTIF(RawData[Script ID],A106)</ns0:f>
        <ns0:v>2</ns0:v>
      </ns0:c>
      <ns0:c r="S106" s="9">
        <ns0:f>SUMIF(RawData[Script ID],A106,RawData[Estimated Contribution])</ns0:f>
        <ns0:v>766.0</ns0:v>
      </ns0:c>
      <ns0:c r="T106" s="9">
        <ns0:f>S106-O106</ns0:f>
        <ns0:v>558.0</ns0:v>
      </ns0:c>
      <ns0:c r="U106" s="9">
        <ns0:f>S106-P106</ns0:f>
        <ns0:v>488.0</ns0:v>
      </ns0:c>
      <ns0:c r="V106" s="9">
        <ns0:f>S106-Q106</ns0:f>
        <ns0:v>419.0</ns0:v>
      </ns0:c>
      <ns0:c r="W106" s="4" t="str">
        <ns0:f>IF(R106=0,"Not Opened",IF(V106&gt;=0,"Recovered - All Scenarios",IF(U106&gt;=0,"Recovered - Low &amp; Base",IF(T106&gt;=0,"Recovered - Low Only","Not Recovered"))))</ns0:f>
        <ns0:v>Recovered - All Scenarios</ns0:v>
      </ns0:c>
      <ns0:c r="X106" s="9">
        <ns0:f>IF(R106=0,0,S106/R106)</ns0:f>
        <ns0:v>383.0</ns0:v>
      </ns0:c>
      <ns0:c r="Y106" s="4">
        <ns0:f>R106</ns0:f>
        <ns0:v>2</ns0:v>
      </ns0:c>
      <ns0:c r="Z106" s="9">
        <ns0:f>IF(R106=0,"",S106/R106)</ns0:f>
        <ns0:v>383.0</ns0:v>
      </ns0:c>
      <ns0:c r="AA106" s="4" t="str">
        <ns0:f>IF(R106=0,"Not Opened",IF(R106&gt;=Assumptions!$B$3,"High Frequency","Low Frequency")&amp;" / "&amp;IF(X106&gt;=Assumptions!$B$4,"High Contribution","Low Contribution"))</ns0:f>
        <ns0:v>High Frequency / Low Contribution</ns0:v>
      </ns0:c>
    </ns0:row>
    <ns0:row r="107">
      <ns0:c r="A107" s="4" t="inlineStr">
        <ns0:is>
          <ns0:t>SYN-106</ns0:t>
        </ns0:is>
      </ns0:c>
      <ns0:c r="B107" s="4" t="inlineStr">
        <ns0:is>
          <ns0:t>Synthetic Script 106</ns0:t>
        </ns0:is>
      </ns0:c>
      <ns0:c r="C107" s="4" t="inlineStr">
        <ns0:is>
          <ns0:t>情感</ns0:t>
        </ns0:is>
      </ns0:c>
      <ns0:c r="D107" s="4" t="n">
        <ns0:v>2</ns0:v>
      </ns0:c>
      <ns0:c r="E107" s="4" t="n">
        <ns0:v>6</ns0:v>
      </ns0:c>
      <ns0:c r="F107" s="9" t="n">
        <ns0:v>109</ns0:v>
      </ns0:c>
      <ns0:c r="G107" s="9">
        <ns0:f>E107*F107</ns0:f>
        <ns0:v>654</ns0:v>
      </ns0:c>
      <ns0:c r="H107" s="9" t="n">
        <ns0:v>180</ns0:v>
      </ns0:c>
      <ns0:c r="I107" s="4" t="inlineStr">
        <ns0:is>
          <ns0:t>盒装</ns0:t>
        </ns0:is>
      </ns0:c>
      <ns0:c r="J107" s="9">
        <ns0:f>G107-H107</ns0:f>
        <ns0:v>474</ns0:v>
      </ns0:c>
      <ns0:c r="K107" s="4" t="n">
        <ns0:v>7</ns0:v>
      </ns0:c>
      <ns0:c r="L107" s="4" t="n">
        <ns0:v>0</ns0:v>
      </ns0:c>
      <ns0:c r="M107" s="4" t="n">
        <ns0:v>750</ns0:v>
      </ns0:c>
      <ns0:c r="N107" s="4" t="n">
        <ns0:v>1000</ns0:v>
      </ns0:c>
      <ns0:c r="O107" s="9">
        <ns0:f>ROUND(L107/Assumptions!$B$2,0)</ns0:f>
        <ns0:v>0</ns0:v>
      </ns0:c>
      <ns0:c r="P107" s="9">
        <ns0:f>ROUND(M107/Assumptions!$B$2,0)</ns0:f>
        <ns0:v>104</ns0:v>
      </ns0:c>
      <ns0:c r="Q107" s="9">
        <ns0:f>ROUND(N107/Assumptions!$B$2,0)</ns0:f>
        <ns0:v>139</ns0:v>
      </ns0:c>
      <ns0:c r="R107" s="4">
        <ns0:f>COUNTIF(RawData[Script ID],A107)</ns0:f>
        <ns0:v>4</ns0:v>
      </ns0:c>
      <ns0:c r="S107" s="9">
        <ns0:f>SUMIF(RawData[Script ID],A107,RawData[Estimated Contribution])</ns0:f>
        <ns0:v>1896.0</ns0:v>
      </ns0:c>
      <ns0:c r="T107" s="9">
        <ns0:f>S107-O107</ns0:f>
        <ns0:v>1896.0</ns0:v>
      </ns0:c>
      <ns0:c r="U107" s="9">
        <ns0:f>S107-P107</ns0:f>
        <ns0:v>1792.0</ns0:v>
      </ns0:c>
      <ns0:c r="V107" s="9">
        <ns0:f>S107-Q107</ns0:f>
        <ns0:v>1757.0</ns0:v>
      </ns0:c>
      <ns0:c r="W107" s="4" t="str">
        <ns0:f>IF(R107=0,"Not Opened",IF(V107&gt;=0,"Recovered - All Scenarios",IF(U107&gt;=0,"Recovered - Low &amp; Base",IF(T107&gt;=0,"Recovered - Low Only","Not Recovered"))))</ns0:f>
        <ns0:v>Recovered - All Scenarios</ns0:v>
      </ns0:c>
      <ns0:c r="X107" s="9">
        <ns0:f>IF(R107=0,0,S107/R107)</ns0:f>
        <ns0:v>474.0</ns0:v>
      </ns0:c>
      <ns0:c r="Y107" s="4">
        <ns0:f>R107</ns0:f>
        <ns0:v>4</ns0:v>
      </ns0:c>
      <ns0:c r="Z107" s="9">
        <ns0:f>IF(R107=0,"",S107/R107)</ns0:f>
        <ns0:v>474.0</ns0:v>
      </ns0:c>
      <ns0:c r="AA107" s="4" t="str">
        <ns0:f>IF(R107=0,"Not Opened",IF(R107&gt;=Assumptions!$B$3,"High Frequency","Low Frequency")&amp;" / "&amp;IF(X107&gt;=Assumptions!$B$4,"High Contribution","Low Contribution"))</ns0:f>
        <ns0:v>High Frequency / Low Contribution</ns0:v>
      </ns0:c>
    </ns0:row>
    <ns0:row r="108">
      <ns0:c r="A108" s="4" t="inlineStr">
        <ns0:is>
          <ns0:t>SYN-107</ns0:t>
        </ns0:is>
      </ns0:c>
      <ns0:c r="B108" s="4" t="inlineStr">
        <ns0:is>
          <ns0:t>Synthetic Script 107</ns0:t>
        </ns0:is>
      </ns0:c>
      <ns0:c r="C108" s="4" t="inlineStr">
        <ns0:is>
          <ns0:t>机制</ns0:t>
        </ns0:is>
      </ns0:c>
      <ns0:c r="D108" s="4" t="n">
        <ns0:v>1</ns0:v>
      </ns0:c>
      <ns0:c r="E108" s="4" t="n">
        <ns0:v>6</ns0:v>
      </ns0:c>
      <ns0:c r="F108" s="9" t="n">
        <ns0:v>129</ns0:v>
      </ns0:c>
      <ns0:c r="G108" s="9">
        <ns0:f>E108*F108</ns0:f>
        <ns0:v>774</ns0:v>
      </ns0:c>
      <ns0:c r="H108" s="9" t="n">
        <ns0:v>203</ns0:v>
      </ns0:c>
      <ns0:c r="I108" s="4" t="inlineStr">
        <ns0:is>
          <ns0:t>城限</ns0:t>
        </ns0:is>
      </ns0:c>
      <ns0:c r="J108" s="9">
        <ns0:f>G108-H108</ns0:f>
        <ns0:v>571</ns0:v>
      </ns0:c>
      <ns0:c r="K108" s="4" t="n">
        <ns0:v>7.7</ns0:v>
      </ns0:c>
      <ns0:c r="L108" s="4" t="n">
        <ns0:v>1500</ns0:v>
      </ns0:c>
      <ns0:c r="M108" s="4" t="n">
        <ns0:v>2000</ns0:v>
      </ns0:c>
      <ns0:c r="N108" s="4" t="n">
        <ns0:v>2500</ns0:v>
      </ns0:c>
      <ns0:c r="O108" s="9">
        <ns0:f>ROUND(L108/Assumptions!$B$2,0)</ns0:f>
        <ns0:v>208</ns0:v>
      </ns0:c>
      <ns0:c r="P108" s="9">
        <ns0:f>ROUND(M108/Assumptions!$B$2,0)</ns0:f>
        <ns0:v>278</ns0:v>
      </ns0:c>
      <ns0:c r="Q108" s="9">
        <ns0:f>ROUND(N108/Assumptions!$B$2,0)</ns0:f>
        <ns0:v>347</ns0:v>
      </ns0:c>
      <ns0:c r="R108" s="4">
        <ns0:f>COUNTIF(RawData[Script ID],A108)</ns0:f>
        <ns0:v>0</ns0:v>
      </ns0:c>
      <ns0:c r="S108" s="9">
        <ns0:f>SUMIF(RawData[Script ID],A108,RawData[Estimated Contribution])</ns0:f>
        <ns0:v>0.0</ns0:v>
      </ns0:c>
      <ns0:c r="T108" s="9">
        <ns0:f>S108-O108</ns0:f>
        <ns0:v>-208.0</ns0:v>
      </ns0:c>
      <ns0:c r="U108" s="9">
        <ns0:f>S108-P108</ns0:f>
        <ns0:v>-278.0</ns0:v>
      </ns0:c>
      <ns0:c r="V108" s="9">
        <ns0:f>S108-Q108</ns0:f>
        <ns0:v>-347.0</ns0:v>
      </ns0:c>
      <ns0:c r="W108" s="4" t="str">
        <ns0:f>IF(R108=0,"Not Opened",IF(V108&gt;=0,"Recovered - All Scenarios",IF(U108&gt;=0,"Recovered - Low &amp; Base",IF(T108&gt;=0,"Recovered - Low Only","Not Recovered"))))</ns0:f>
        <ns0:v>Not Opened</ns0:v>
      </ns0:c>
      <ns0:c r="X108" s="9">
        <ns0:f>IF(R108=0,0,S108/R108)</ns0:f>
        <ns0:v>0</ns0:v>
      </ns0:c>
      <ns0:c r="Y108" s="4">
        <ns0:f>R108</ns0:f>
        <ns0:v>0</ns0:v>
      </ns0:c>
      <ns0:c r="Z108" s="9" t="str">
        <ns0:f>IF(R108=0,"",S108/R108)</ns0:f>
        <ns0:v/>
      </ns0:c>
      <ns0:c r="AA108" s="4" t="str">
        <ns0:f>IF(R108=0,"Not Opened",IF(R108&gt;=Assumptions!$B$3,"High Frequency","Low Frequency")&amp;" / "&amp;IF(X108&gt;=Assumptions!$B$4,"High Contribution","Low Contribution"))</ns0:f>
        <ns0:v>Not Opened</ns0:v>
      </ns0:c>
    </ns0:row>
    <ns0:row r="109">
      <ns0:c r="A109" s="4" t="inlineStr">
        <ns0:is>
          <ns0:t>SYN-108</ns0:t>
        </ns0:is>
      </ns0:c>
      <ns0:c r="B109" s="4" t="inlineStr">
        <ns0:is>
          <ns0:t>Synthetic Script 108</ns0:t>
        </ns0:is>
      </ns0:c>
      <ns0:c r="C109" s="4" t="inlineStr">
        <ns0:is>
          <ns0:t>推理</ns0:t>
        </ns0:is>
      </ns0:c>
      <ns0:c r="D109" s="4" t="n">
        <ns0:v>1</ns0:v>
      </ns0:c>
      <ns0:c r="E109" s="4" t="n">
        <ns0:v>6</ns0:v>
      </ns0:c>
      <ns0:c r="F109" s="9" t="n">
        <ns0:v>119</ns0:v>
      </ns0:c>
      <ns0:c r="G109" s="9">
        <ns0:f>E109*F109</ns0:f>
        <ns0:v>714</ns0:v>
      </ns0:c>
      <ns0:c r="H109" s="9" t="n">
        <ns0:v>187</ns0:v>
      </ns0:c>
      <ns0:c r="I109" s="4" t="inlineStr">
        <ns0:is>
          <ns0:t>盒装</ns0:t>
        </ns0:is>
      </ns0:c>
      <ns0:c r="J109" s="9">
        <ns0:f>G109-H109</ns0:f>
        <ns0:v>527</ns0:v>
      </ns0:c>
      <ns0:c r="K109" s="4" t="n">
        <ns0:v>8.4</ns0:v>
      </ns0:c>
      <ns0:c r="L109" s="4" t="n">
        <ns0:v>0</ns0:v>
      </ns0:c>
      <ns0:c r="M109" s="4" t="n">
        <ns0:v>750</ns0:v>
      </ns0:c>
      <ns0:c r="N109" s="4" t="n">
        <ns0:v>1000</ns0:v>
      </ns0:c>
      <ns0:c r="O109" s="9">
        <ns0:f>ROUND(L109/Assumptions!$B$2,0)</ns0:f>
        <ns0:v>0</ns0:v>
      </ns0:c>
      <ns0:c r="P109" s="9">
        <ns0:f>ROUND(M109/Assumptions!$B$2,0)</ns0:f>
        <ns0:v>104</ns0:v>
      </ns0:c>
      <ns0:c r="Q109" s="9">
        <ns0:f>ROUND(N109/Assumptions!$B$2,0)</ns0:f>
        <ns0:v>139</ns0:v>
      </ns0:c>
      <ns0:c r="R109" s="4">
        <ns0:f>COUNTIF(RawData[Script ID],A109)</ns0:f>
        <ns0:v>2</ns0:v>
      </ns0:c>
      <ns0:c r="S109" s="9">
        <ns0:f>SUMIF(RawData[Script ID],A109,RawData[Estimated Contribution])</ns0:f>
        <ns0:v>1054.0</ns0:v>
      </ns0:c>
      <ns0:c r="T109" s="9">
        <ns0:f>S109-O109</ns0:f>
        <ns0:v>1054.0</ns0:v>
      </ns0:c>
      <ns0:c r="U109" s="9">
        <ns0:f>S109-P109</ns0:f>
        <ns0:v>950.0</ns0:v>
      </ns0:c>
      <ns0:c r="V109" s="9">
        <ns0:f>S109-Q109</ns0:f>
        <ns0:v>915.0</ns0:v>
      </ns0:c>
      <ns0:c r="W109" s="4" t="str">
        <ns0:f>IF(R109=0,"Not Opened",IF(V109&gt;=0,"Recovered - All Scenarios",IF(U109&gt;=0,"Recovered - Low &amp; Base",IF(T109&gt;=0,"Recovered - Low Only","Not Recovered"))))</ns0:f>
        <ns0:v>Recovered - All Scenarios</ns0:v>
      </ns0:c>
      <ns0:c r="X109" s="9">
        <ns0:f>IF(R109=0,0,S109/R109)</ns0:f>
        <ns0:v>527.0</ns0:v>
      </ns0:c>
      <ns0:c r="Y109" s="4">
        <ns0:f>R109</ns0:f>
        <ns0:v>2</ns0:v>
      </ns0:c>
      <ns0:c r="Z109" s="9">
        <ns0:f>IF(R109=0,"",S109/R109)</ns0:f>
        <ns0:v>527.0</ns0:v>
      </ns0:c>
      <ns0:c r="AA109" s="4" t="str">
        <ns0:f>IF(R109=0,"Not Opened",IF(R109&gt;=Assumptions!$B$3,"High Frequency","Low Frequency")&amp;" / "&amp;IF(X109&gt;=Assumptions!$B$4,"High Contribution","Low Contribution"))</ns0:f>
        <ns0:v>High Frequency / High Contribution</ns0:v>
      </ns0:c>
    </ns0:row>
    <ns0:row r="110">
      <ns0:c r="A110" s="4" t="inlineStr">
        <ns0:is>
          <ns0:t>SYN-109</ns0:t>
        </ns0:is>
      </ns0:c>
      <ns0:c r="B110" s="4" t="inlineStr">
        <ns0:is>
          <ns0:t>Synthetic Script 109</ns0:t>
        </ns0:is>
      </ns0:c>
      <ns0:c r="C110" s="4" t="inlineStr">
        <ns0:is>
          <ns0:t>欢乐</ns0:t>
        </ns0:is>
      </ns0:c>
      <ns0:c r="D110" s="4" t="n">
        <ns0:v>3</ns0:v>
      </ns0:c>
      <ns0:c r="E110" s="4" t="n">
        <ns0:v>7</ns0:v>
      </ns0:c>
      <ns0:c r="F110" s="9" t="n">
        <ns0:v>95</ns0:v>
      </ns0:c>
      <ns0:c r="G110" s="9">
        <ns0:f>E110*F110</ns0:f>
        <ns0:v>665</ns0:v>
      </ns0:c>
      <ns0:c r="H110" s="9" t="n">
        <ns0:v>175</ns0:v>
      </ns0:c>
      <ns0:c r="I110" s="4" t="inlineStr">
        <ns0:is>
          <ns0:t>独家</ns0:t>
        </ns0:is>
      </ns0:c>
      <ns0:c r="J110" s="9">
        <ns0:f>G110-H110</ns0:f>
        <ns0:v>490</ns0:v>
      </ns0:c>
      <ns0:c r="K110" s="4" t="n">
        <ns0:v>7</ns0:v>
      </ns0:c>
      <ns0:c r="L110" s="4" t="n">
        <ns0:v>2500</ns0:v>
      </ns0:c>
      <ns0:c r="M110" s="4" t="n">
        <ns0:v>3000</ns0:v>
      </ns0:c>
      <ns0:c r="N110" s="4" t="n">
        <ns0:v>3500</ns0:v>
      </ns0:c>
      <ns0:c r="O110" s="9">
        <ns0:f>ROUND(L110/Assumptions!$B$2,0)</ns0:f>
        <ns0:v>347</ns0:v>
      </ns0:c>
      <ns0:c r="P110" s="9">
        <ns0:f>ROUND(M110/Assumptions!$B$2,0)</ns0:f>
        <ns0:v>417</ns0:v>
      </ns0:c>
      <ns0:c r="Q110" s="9">
        <ns0:f>ROUND(N110/Assumptions!$B$2,0)</ns0:f>
        <ns0:v>486</ns0:v>
      </ns0:c>
      <ns0:c r="R110" s="4">
        <ns0:f>COUNTIF(RawData[Script ID],A110)</ns0:f>
        <ns0:v>4</ns0:v>
      </ns0:c>
      <ns0:c r="S110" s="9">
        <ns0:f>SUMIF(RawData[Script ID],A110,RawData[Estimated Contribution])</ns0:f>
        <ns0:v>1960.0</ns0:v>
      </ns0:c>
      <ns0:c r="T110" s="9">
        <ns0:f>S110-O110</ns0:f>
        <ns0:v>1613.0</ns0:v>
      </ns0:c>
      <ns0:c r="U110" s="9">
        <ns0:f>S110-P110</ns0:f>
        <ns0:v>1543.0</ns0:v>
      </ns0:c>
      <ns0:c r="V110" s="9">
        <ns0:f>S110-Q110</ns0:f>
        <ns0:v>1474.0</ns0:v>
      </ns0:c>
      <ns0:c r="W110" s="4" t="str">
        <ns0:f>IF(R110=0,"Not Opened",IF(V110&gt;=0,"Recovered - All Scenarios",IF(U110&gt;=0,"Recovered - Low &amp; Base",IF(T110&gt;=0,"Recovered - Low Only","Not Recovered"))))</ns0:f>
        <ns0:v>Recovered - All Scenarios</ns0:v>
      </ns0:c>
      <ns0:c r="X110" s="9">
        <ns0:f>IF(R110=0,0,S110/R110)</ns0:f>
        <ns0:v>490.0</ns0:v>
      </ns0:c>
      <ns0:c r="Y110" s="4">
        <ns0:f>R110</ns0:f>
        <ns0:v>4</ns0:v>
      </ns0:c>
      <ns0:c r="Z110" s="9">
        <ns0:f>IF(R110=0,"",S110/R110)</ns0:f>
        <ns0:v>490.0</ns0:v>
      </ns0:c>
      <ns0:c r="AA110" s="4" t="str">
        <ns0:f>IF(R110=0,"Not Opened",IF(R110&gt;=Assumptions!$B$3,"High Frequency","Low Frequency")&amp;" / "&amp;IF(X110&gt;=Assumptions!$B$4,"High Contribution","Low Contribution"))</ns0:f>
        <ns0:v>High Frequency / High Contribution</ns0:v>
      </ns0:c>
    </ns0:row>
    <ns0:row r="111">
      <ns0:c r="A111" s="4" t="inlineStr">
        <ns0:is>
          <ns0:t>SYN-110</ns0:t>
        </ns0:is>
      </ns0:c>
      <ns0:c r="B111" s="4" t="inlineStr">
        <ns0:is>
          <ns0:t>Synthetic Script 110</ns0:t>
        </ns0:is>
      </ns0:c>
      <ns0:c r="C111" s="4" t="inlineStr">
        <ns0:is>
          <ns0:t>情感</ns0:t>
        </ns0:is>
      </ns0:c>
      <ns0:c r="D111" s="4" t="n">
        <ns0:v>6</ns0:v>
      </ns0:c>
      <ns0:c r="E111" s="4" t="n">
        <ns0:v>8</ns0:v>
      </ns0:c>
      <ns0:c r="F111" s="9" t="n">
        <ns0:v>109</ns0:v>
      </ns0:c>
      <ns0:c r="G111" s="9">
        <ns0:f>E111*F111</ns0:f>
        <ns0:v>872</ns0:v>
      </ns0:c>
      <ns0:c r="H111" s="9" t="n">
        <ns0:v>540</ns0:v>
      </ns0:c>
      <ns0:c r="I111" s="4" t="inlineStr">
        <ns0:is>
          <ns0:t>盒装</ns0:t>
        </ns0:is>
      </ns0:c>
      <ns0:c r="J111" s="9">
        <ns0:f>G111-H111</ns0:f>
        <ns0:v>332</ns0:v>
      </ns0:c>
      <ns0:c r="K111" s="4" t="n">
        <ns0:v>7.7</ns0:v>
      </ns0:c>
      <ns0:c r="L111" s="4" t="n">
        <ns0:v>0</ns0:v>
      </ns0:c>
      <ns0:c r="M111" s="4" t="n">
        <ns0:v>750</ns0:v>
      </ns0:c>
      <ns0:c r="N111" s="4" t="n">
        <ns0:v>1000</ns0:v>
      </ns0:c>
      <ns0:c r="O111" s="9">
        <ns0:f>ROUND(L111/Assumptions!$B$2,0)</ns0:f>
        <ns0:v>0</ns0:v>
      </ns0:c>
      <ns0:c r="P111" s="9">
        <ns0:f>ROUND(M111/Assumptions!$B$2,0)</ns0:f>
        <ns0:v>104</ns0:v>
      </ns0:c>
      <ns0:c r="Q111" s="9">
        <ns0:f>ROUND(N111/Assumptions!$B$2,0)</ns0:f>
        <ns0:v>139</ns0:v>
      </ns0:c>
      <ns0:c r="R111" s="4">
        <ns0:f>COUNTIF(RawData[Script ID],A111)</ns0:f>
        <ns0:v>1</ns0:v>
      </ns0:c>
      <ns0:c r="S111" s="9">
        <ns0:f>SUMIF(RawData[Script ID],A111,RawData[Estimated Contribution])</ns0:f>
        <ns0:v>332.0</ns0:v>
      </ns0:c>
      <ns0:c r="T111" s="9">
        <ns0:f>S111-O111</ns0:f>
        <ns0:v>332.0</ns0:v>
      </ns0:c>
      <ns0:c r="U111" s="9">
        <ns0:f>S111-P111</ns0:f>
        <ns0:v>228.0</ns0:v>
      </ns0:c>
      <ns0:c r="V111" s="9">
        <ns0:f>S111-Q111</ns0:f>
        <ns0:v>193.0</ns0:v>
      </ns0:c>
      <ns0:c r="W111" s="4" t="str">
        <ns0:f>IF(R111=0,"Not Opened",IF(V111&gt;=0,"Recovered - All Scenarios",IF(U111&gt;=0,"Recovered - Low &amp; Base",IF(T111&gt;=0,"Recovered - Low Only","Not Recovered"))))</ns0:f>
        <ns0:v>Recovered - All Scenarios</ns0:v>
      </ns0:c>
      <ns0:c r="X111" s="9">
        <ns0:f>IF(R111=0,0,S111/R111)</ns0:f>
        <ns0:v>332.0</ns0:v>
      </ns0:c>
      <ns0:c r="Y111" s="4">
        <ns0:f>R111</ns0:f>
        <ns0:v>1</ns0:v>
      </ns0:c>
      <ns0:c r="Z111" s="9">
        <ns0:f>IF(R111=0,"",S111/R111)</ns0:f>
        <ns0:v>332.0</ns0:v>
      </ns0:c>
      <ns0:c r="AA111" s="4" t="str">
        <ns0:f>IF(R111=0,"Not Opened",IF(R111&gt;=Assumptions!$B$3,"High Frequency","Low Frequency")&amp;" / "&amp;IF(X111&gt;=Assumptions!$B$4,"High Contribution","Low Contribution"))</ns0:f>
        <ns0:v>Low Frequency / Low Contribution</ns0:v>
      </ns0:c>
    </ns0:row>
    <ns0:row r="112">
      <ns0:c r="A112" s="4" t="inlineStr">
        <ns0:is>
          <ns0:t>SYN-111</ns0:t>
        </ns0:is>
      </ns0:c>
      <ns0:c r="B112" s="4" t="inlineStr">
        <ns0:is>
          <ns0:t>Synthetic Script 111</ns0:t>
        </ns0:is>
      </ns0:c>
      <ns0:c r="C112" s="4" t="inlineStr">
        <ns0:is>
          <ns0:t>情感</ns0:t>
        </ns0:is>
      </ns0:c>
      <ns0:c r="D112" s="4" t="n">
        <ns0:v>2</ns0:v>
      </ns0:c>
      <ns0:c r="E112" s="4" t="n">
        <ns0:v>6</ns0:v>
      </ns0:c>
      <ns0:c r="F112" s="9" t="n">
        <ns0:v>118</ns0:v>
      </ns0:c>
      <ns0:c r="G112" s="9">
        <ns0:f>E112*F112</ns0:f>
        <ns0:v>708</ns0:v>
      </ns0:c>
      <ns0:c r="H112" s="9" t="n">
        <ns0:v>180</ns0:v>
      </ns0:c>
      <ns0:c r="I112" s="4" t="inlineStr">
        <ns0:is>
          <ns0:t>盒装</ns0:t>
        </ns0:is>
      </ns0:c>
      <ns0:c r="J112" s="9">
        <ns0:f>G112-H112</ns0:f>
        <ns0:v>528</ns0:v>
      </ns0:c>
      <ns0:c r="K112" s="4" t="n">
        <ns0:v>8.4</ns0:v>
      </ns0:c>
      <ns0:c r="L112" s="4" t="n">
        <ns0:v>0</ns0:v>
      </ns0:c>
      <ns0:c r="M112" s="4" t="n">
        <ns0:v>750</ns0:v>
      </ns0:c>
      <ns0:c r="N112" s="4" t="n">
        <ns0:v>1000</ns0:v>
      </ns0:c>
      <ns0:c r="O112" s="9">
        <ns0:f>ROUND(L112/Assumptions!$B$2,0)</ns0:f>
        <ns0:v>0</ns0:v>
      </ns0:c>
      <ns0:c r="P112" s="9">
        <ns0:f>ROUND(M112/Assumptions!$B$2,0)</ns0:f>
        <ns0:v>104</ns0:v>
      </ns0:c>
      <ns0:c r="Q112" s="9">
        <ns0:f>ROUND(N112/Assumptions!$B$2,0)</ns0:f>
        <ns0:v>139</ns0:v>
      </ns0:c>
      <ns0:c r="R112" s="4">
        <ns0:f>COUNTIF(RawData[Script ID],A112)</ns0:f>
        <ns0:v>2</ns0:v>
      </ns0:c>
      <ns0:c r="S112" s="9">
        <ns0:f>SUMIF(RawData[Script ID],A112,RawData[Estimated Contribution])</ns0:f>
        <ns0:v>1056.0</ns0:v>
      </ns0:c>
      <ns0:c r="T112" s="9">
        <ns0:f>S112-O112</ns0:f>
        <ns0:v>1056.0</ns0:v>
      </ns0:c>
      <ns0:c r="U112" s="9">
        <ns0:f>S112-P112</ns0:f>
        <ns0:v>952.0</ns0:v>
      </ns0:c>
      <ns0:c r="V112" s="9">
        <ns0:f>S112-Q112</ns0:f>
        <ns0:v>917.0</ns0:v>
      </ns0:c>
      <ns0:c r="W112" s="4" t="str">
        <ns0:f>IF(R112=0,"Not Opened",IF(V112&gt;=0,"Recovered - All Scenarios",IF(U112&gt;=0,"Recovered - Low &amp; Base",IF(T112&gt;=0,"Recovered - Low Only","Not Recovered"))))</ns0:f>
        <ns0:v>Recovered - All Scenarios</ns0:v>
      </ns0:c>
      <ns0:c r="X112" s="9">
        <ns0:f>IF(R112=0,0,S112/R112)</ns0:f>
        <ns0:v>528.0</ns0:v>
      </ns0:c>
      <ns0:c r="Y112" s="4">
        <ns0:f>R112</ns0:f>
        <ns0:v>2</ns0:v>
      </ns0:c>
      <ns0:c r="Z112" s="9">
        <ns0:f>IF(R112=0,"",S112/R112)</ns0:f>
        <ns0:v>528.0</ns0:v>
      </ns0:c>
      <ns0:c r="AA112" s="4" t="str">
        <ns0:f>IF(R112=0,"Not Opened",IF(R112&gt;=Assumptions!$B$3,"High Frequency","Low Frequency")&amp;" / "&amp;IF(X112&gt;=Assumptions!$B$4,"High Contribution","Low Contribution"))</ns0:f>
        <ns0:v>High Frequency / High Contribution</ns0:v>
      </ns0:c>
    </ns0:row>
    <ns0:row r="113">
      <ns0:c r="A113" s="4" t="inlineStr">
        <ns0:is>
          <ns0:t>SYN-112</ns0:t>
        </ns0:is>
      </ns0:c>
      <ns0:c r="B113" s="4" t="inlineStr">
        <ns0:is>
          <ns0:t>Synthetic Script 112</ns0:t>
        </ns0:is>
      </ns0:c>
      <ns0:c r="C113" s="4" t="inlineStr">
        <ns0:is>
          <ns0:t>推理</ns0:t>
        </ns0:is>
      </ns0:c>
      <ns0:c r="D113" s="4" t="n">
        <ns0:v>1</ns0:v>
      </ns0:c>
      <ns0:c r="E113" s="4" t="n">
        <ns0:v>6</ns0:v>
      </ns0:c>
      <ns0:c r="F113" s="9" t="n">
        <ns0:v>119</ns0:v>
      </ns0:c>
      <ns0:c r="G113" s="9">
        <ns0:f>E113*F113</ns0:f>
        <ns0:v>714</ns0:v>
      </ns0:c>
      <ns0:c r="H113" s="9" t="n">
        <ns0:v>187</ns0:v>
      </ns0:c>
      <ns0:c r="I113" s="4" t="inlineStr">
        <ns0:is>
          <ns0:t>城限</ns0:t>
        </ns0:is>
      </ns0:c>
      <ns0:c r="J113" s="9">
        <ns0:f>G113-H113</ns0:f>
        <ns0:v>527</ns0:v>
      </ns0:c>
      <ns0:c r="K113" s="4" t="n">
        <ns0:v>7</ns0:v>
      </ns0:c>
      <ns0:c r="L113" s="4" t="n">
        <ns0:v>1500</ns0:v>
      </ns0:c>
      <ns0:c r="M113" s="4" t="n">
        <ns0:v>2000</ns0:v>
      </ns0:c>
      <ns0:c r="N113" s="4" t="n">
        <ns0:v>2500</ns0:v>
      </ns0:c>
      <ns0:c r="O113" s="9">
        <ns0:f>ROUND(L113/Assumptions!$B$2,0)</ns0:f>
        <ns0:v>208</ns0:v>
      </ns0:c>
      <ns0:c r="P113" s="9">
        <ns0:f>ROUND(M113/Assumptions!$B$2,0)</ns0:f>
        <ns0:v>278</ns0:v>
      </ns0:c>
      <ns0:c r="Q113" s="9">
        <ns0:f>ROUND(N113/Assumptions!$B$2,0)</ns0:f>
        <ns0:v>347</ns0:v>
      </ns0:c>
      <ns0:c r="R113" s="4">
        <ns0:f>COUNTIF(RawData[Script ID],A113)</ns0:f>
        <ns0:v>5</ns0:v>
      </ns0:c>
      <ns0:c r="S113" s="9">
        <ns0:f>SUMIF(RawData[Script ID],A113,RawData[Estimated Contribution])</ns0:f>
        <ns0:v>2635.0</ns0:v>
      </ns0:c>
      <ns0:c r="T113" s="9">
        <ns0:f>S113-O113</ns0:f>
        <ns0:v>2427.0</ns0:v>
      </ns0:c>
      <ns0:c r="U113" s="9">
        <ns0:f>S113-P113</ns0:f>
        <ns0:v>2357.0</ns0:v>
      </ns0:c>
      <ns0:c r="V113" s="9">
        <ns0:f>S113-Q113</ns0:f>
        <ns0:v>2288.0</ns0:v>
      </ns0:c>
      <ns0:c r="W113" s="4" t="str">
        <ns0:f>IF(R113=0,"Not Opened",IF(V113&gt;=0,"Recovered - All Scenarios",IF(U113&gt;=0,"Recovered - Low &amp; Base",IF(T113&gt;=0,"Recovered - Low Only","Not Recovered"))))</ns0:f>
        <ns0:v>Recovered - All Scenarios</ns0:v>
      </ns0:c>
      <ns0:c r="X113" s="9">
        <ns0:f>IF(R113=0,0,S113/R113)</ns0:f>
        <ns0:v>527.0</ns0:v>
      </ns0:c>
      <ns0:c r="Y113" s="4">
        <ns0:f>R113</ns0:f>
        <ns0:v>5</ns0:v>
      </ns0:c>
      <ns0:c r="Z113" s="9">
        <ns0:f>IF(R113=0,"",S113/R113)</ns0:f>
        <ns0:v>527.0</ns0:v>
      </ns0:c>
      <ns0:c r="AA113" s="4" t="str">
        <ns0:f>IF(R113=0,"Not Opened",IF(R113&gt;=Assumptions!$B$3,"High Frequency","Low Frequency")&amp;" / "&amp;IF(X113&gt;=Assumptions!$B$4,"High Contribution","Low Contribution"))</ns0:f>
        <ns0:v>High Frequency / High Contribution</ns0:v>
      </ns0:c>
    </ns0:row>
    <ns0:row r="114">
      <ns0:c r="A114" s="4" t="inlineStr">
        <ns0:is>
          <ns0:t>SYN-113</ns0:t>
        </ns0:is>
      </ns0:c>
      <ns0:c r="B114" s="4" t="inlineStr">
        <ns0:is>
          <ns0:t>Synthetic Script 113</ns0:t>
        </ns0:is>
      </ns0:c>
      <ns0:c r="C114" s="4" t="inlineStr">
        <ns0:is>
          <ns0:t>情感</ns0:t>
        </ns0:is>
      </ns0:c>
      <ns0:c r="D114" s="4" t="n">
        <ns0:v>3</ns0:v>
      </ns0:c>
      <ns0:c r="E114" s="4" t="n">
        <ns0:v>6</ns0:v>
      </ns0:c>
      <ns0:c r="F114" s="9" t="n">
        <ns0:v>99</ns0:v>
      </ns0:c>
      <ns0:c r="G114" s="9">
        <ns0:f>E114*F114</ns0:f>
        <ns0:v>594</ns0:v>
      </ns0:c>
      <ns0:c r="H114" s="9" t="n">
        <ns0:v>270</ns0:v>
      </ns0:c>
      <ns0:c r="I114" s="4" t="inlineStr">
        <ns0:is>
          <ns0:t>盒装</ns0:t>
        </ns0:is>
      </ns0:c>
      <ns0:c r="J114" s="9">
        <ns0:f>G114-H114</ns0:f>
        <ns0:v>324</ns0:v>
      </ns0:c>
      <ns0:c r="K114" s="4" t="n">
        <ns0:v>7.7</ns0:v>
      </ns0:c>
      <ns0:c r="L114" s="4" t="n">
        <ns0:v>0</ns0:v>
      </ns0:c>
      <ns0:c r="M114" s="4" t="n">
        <ns0:v>750</ns0:v>
      </ns0:c>
      <ns0:c r="N114" s="4" t="n">
        <ns0:v>1000</ns0:v>
      </ns0:c>
      <ns0:c r="O114" s="9">
        <ns0:f>ROUND(L114/Assumptions!$B$2,0)</ns0:f>
        <ns0:v>0</ns0:v>
      </ns0:c>
      <ns0:c r="P114" s="9">
        <ns0:f>ROUND(M114/Assumptions!$B$2,0)</ns0:f>
        <ns0:v>104</ns0:v>
      </ns0:c>
      <ns0:c r="Q114" s="9">
        <ns0:f>ROUND(N114/Assumptions!$B$2,0)</ns0:f>
        <ns0:v>139</ns0:v>
      </ns0:c>
      <ns0:c r="R114" s="4">
        <ns0:f>COUNTIF(RawData[Script ID],A114)</ns0:f>
        <ns0:v>1</ns0:v>
      </ns0:c>
      <ns0:c r="S114" s="9">
        <ns0:f>SUMIF(RawData[Script ID],A114,RawData[Estimated Contribution])</ns0:f>
        <ns0:v>324.0</ns0:v>
      </ns0:c>
      <ns0:c r="T114" s="9">
        <ns0:f>S114-O114</ns0:f>
        <ns0:v>324.0</ns0:v>
      </ns0:c>
      <ns0:c r="U114" s="9">
        <ns0:f>S114-P114</ns0:f>
        <ns0:v>220.0</ns0:v>
      </ns0:c>
      <ns0:c r="V114" s="9">
        <ns0:f>S114-Q114</ns0:f>
        <ns0:v>185.0</ns0:v>
      </ns0:c>
      <ns0:c r="W114" s="4" t="str">
        <ns0:f>IF(R114=0,"Not Opened",IF(V114&gt;=0,"Recovered - All Scenarios",IF(U114&gt;=0,"Recovered - Low &amp; Base",IF(T114&gt;=0,"Recovered - Low Only","Not Recovered"))))</ns0:f>
        <ns0:v>Recovered - All Scenarios</ns0:v>
      </ns0:c>
      <ns0:c r="X114" s="9">
        <ns0:f>IF(R114=0,0,S114/R114)</ns0:f>
        <ns0:v>324.0</ns0:v>
      </ns0:c>
      <ns0:c r="Y114" s="4">
        <ns0:f>R114</ns0:f>
        <ns0:v>1</ns0:v>
      </ns0:c>
      <ns0:c r="Z114" s="9">
        <ns0:f>IF(R114=0,"",S114/R114)</ns0:f>
        <ns0:v>324.0</ns0:v>
      </ns0:c>
      <ns0:c r="AA114" s="4" t="str">
        <ns0:f>IF(R114=0,"Not Opened",IF(R114&gt;=Assumptions!$B$3,"High Frequency","Low Frequency")&amp;" / "&amp;IF(X114&gt;=Assumptions!$B$4,"High Contribution","Low Contribution"))</ns0:f>
        <ns0:v>Low Frequency / Low Contribution</ns0:v>
      </ns0:c>
    </ns0:row>
    <ns0:row r="115">
      <ns0:c r="A115" s="4" t="inlineStr">
        <ns0:is>
          <ns0:t>SYN-114</ns0:t>
        </ns0:is>
      </ns0:c>
      <ns0:c r="B115" s="4" t="inlineStr">
        <ns0:is>
          <ns0:t>Synthetic Script 114</ns0:t>
        </ns0:is>
      </ns0:c>
      <ns0:c r="C115" s="4" t="inlineStr">
        <ns0:is>
          <ns0:t>欢乐</ns0:t>
        </ns0:is>
      </ns0:c>
      <ns0:c r="D115" s="4" t="n">
        <ns0:v>3</ns0:v>
      </ns0:c>
      <ns0:c r="E115" s="4" t="n">
        <ns0:v>7</ns0:v>
      </ns0:c>
      <ns0:c r="F115" s="9" t="n">
        <ns0:v>109</ns0:v>
      </ns0:c>
      <ns0:c r="G115" s="9">
        <ns0:f>E115*F115</ns0:f>
        <ns0:v>763</ns0:v>
      </ns0:c>
      <ns0:c r="H115" s="9" t="n">
        <ns0:v>200</ns0:v>
      </ns0:c>
      <ns0:c r="I115" s="4" t="inlineStr">
        <ns0:is>
          <ns0:t>独家</ns0:t>
        </ns0:is>
      </ns0:c>
      <ns0:c r="J115" s="9">
        <ns0:f>G115-H115</ns0:f>
        <ns0:v>563</ns0:v>
      </ns0:c>
      <ns0:c r="K115" s="4" t="n">
        <ns0:v>8.4</ns0:v>
      </ns0:c>
      <ns0:c r="L115" s="4" t="n">
        <ns0:v>2500</ns0:v>
      </ns0:c>
      <ns0:c r="M115" s="4" t="n">
        <ns0:v>3000</ns0:v>
      </ns0:c>
      <ns0:c r="N115" s="4" t="n">
        <ns0:v>3500</ns0:v>
      </ns0:c>
      <ns0:c r="O115" s="9">
        <ns0:f>ROUND(L115/Assumptions!$B$2,0)</ns0:f>
        <ns0:v>347</ns0:v>
      </ns0:c>
      <ns0:c r="P115" s="9">
        <ns0:f>ROUND(M115/Assumptions!$B$2,0)</ns0:f>
        <ns0:v>417</ns0:v>
      </ns0:c>
      <ns0:c r="Q115" s="9">
        <ns0:f>ROUND(N115/Assumptions!$B$2,0)</ns0:f>
        <ns0:v>486</ns0:v>
      </ns0:c>
      <ns0:c r="R115" s="4">
        <ns0:f>COUNTIF(RawData[Script ID],A115)</ns0:f>
        <ns0:v>2</ns0:v>
      </ns0:c>
      <ns0:c r="S115" s="9">
        <ns0:f>SUMIF(RawData[Script ID],A115,RawData[Estimated Contribution])</ns0:f>
        <ns0:v>1126.0</ns0:v>
      </ns0:c>
      <ns0:c r="T115" s="9">
        <ns0:f>S115-O115</ns0:f>
        <ns0:v>779.0</ns0:v>
      </ns0:c>
      <ns0:c r="U115" s="9">
        <ns0:f>S115-P115</ns0:f>
        <ns0:v>709.0</ns0:v>
      </ns0:c>
      <ns0:c r="V115" s="9">
        <ns0:f>S115-Q115</ns0:f>
        <ns0:v>640.0</ns0:v>
      </ns0:c>
      <ns0:c r="W115" s="4" t="str">
        <ns0:f>IF(R115=0,"Not Opened",IF(V115&gt;=0,"Recovered - All Scenarios",IF(U115&gt;=0,"Recovered - Low &amp; Base",IF(T115&gt;=0,"Recovered - Low Only","Not Recovered"))))</ns0:f>
        <ns0:v>Recovered - All Scenarios</ns0:v>
      </ns0:c>
      <ns0:c r="X115" s="9">
        <ns0:f>IF(R115=0,0,S115/R115)</ns0:f>
        <ns0:v>563.0</ns0:v>
      </ns0:c>
      <ns0:c r="Y115" s="4">
        <ns0:f>R115</ns0:f>
        <ns0:v>2</ns0:v>
      </ns0:c>
      <ns0:c r="Z115" s="9">
        <ns0:f>IF(R115=0,"",S115/R115)</ns0:f>
        <ns0:v>563.0</ns0:v>
      </ns0:c>
      <ns0:c r="AA115" s="4" t="str">
        <ns0:f>IF(R115=0,"Not Opened",IF(R115&gt;=Assumptions!$B$3,"High Frequency","Low Frequency")&amp;" / "&amp;IF(X115&gt;=Assumptions!$B$4,"High Contribution","Low Contribution"))</ns0:f>
        <ns0:v>High Frequency / High Contribution</ns0:v>
      </ns0:c>
    </ns0:row>
    <ns0:row r="116">
      <ns0:c r="A116" s="4" t="inlineStr">
        <ns0:is>
          <ns0:t>SYN-115</ns0:t>
        </ns0:is>
      </ns0:c>
      <ns0:c r="B116" s="4" t="inlineStr">
        <ns0:is>
          <ns0:t>Synthetic Script 115</ns0:t>
        </ns0:is>
      </ns0:c>
      <ns0:c r="C116" s="4" t="inlineStr">
        <ns0:is>
          <ns0:t>推理</ns0:t>
        </ns0:is>
      </ns0:c>
      <ns0:c r="D116" s="4" t="n">
        <ns0:v>2</ns0:v>
      </ns0:c>
      <ns0:c r="E116" s="4" t="n">
        <ns0:v>8</ns0:v>
      </ns0:c>
      <ns0:c r="F116" s="9" t="n">
        <ns0:v>95</ns0:v>
      </ns0:c>
      <ns0:c r="G116" s="9">
        <ns0:f>E116*F116</ns0:f>
        <ns0:v>760</ns0:v>
      </ns0:c>
      <ns0:c r="H116" s="9" t="n">
        <ns0:v>200</ns0:v>
      </ns0:c>
      <ns0:c r="I116" s="4" t="inlineStr">
        <ns0:is>
          <ns0:t>城限</ns0:t>
        </ns0:is>
      </ns0:c>
      <ns0:c r="J116" s="9">
        <ns0:f>G116-H116</ns0:f>
        <ns0:v>560</ns0:v>
      </ns0:c>
      <ns0:c r="K116" s="4" t="n">
        <ns0:v>7</ns0:v>
      </ns0:c>
      <ns0:c r="L116" s="4" t="n">
        <ns0:v>1500</ns0:v>
      </ns0:c>
      <ns0:c r="M116" s="4" t="n">
        <ns0:v>2000</ns0:v>
      </ns0:c>
      <ns0:c r="N116" s="4" t="n">
        <ns0:v>2500</ns0:v>
      </ns0:c>
      <ns0:c r="O116" s="9">
        <ns0:f>ROUND(L116/Assumptions!$B$2,0)</ns0:f>
        <ns0:v>208</ns0:v>
      </ns0:c>
      <ns0:c r="P116" s="9">
        <ns0:f>ROUND(M116/Assumptions!$B$2,0)</ns0:f>
        <ns0:v>278</ns0:v>
      </ns0:c>
      <ns0:c r="Q116" s="9">
        <ns0:f>ROUND(N116/Assumptions!$B$2,0)</ns0:f>
        <ns0:v>347</ns0:v>
      </ns0:c>
      <ns0:c r="R116" s="4">
        <ns0:f>COUNTIF(RawData[Script ID],A116)</ns0:f>
        <ns0:v>7</ns0:v>
      </ns0:c>
      <ns0:c r="S116" s="9">
        <ns0:f>SUMIF(RawData[Script ID],A116,RawData[Estimated Contribution])</ns0:f>
        <ns0:v>3920.0</ns0:v>
      </ns0:c>
      <ns0:c r="T116" s="9">
        <ns0:f>S116-O116</ns0:f>
        <ns0:v>3712.0</ns0:v>
      </ns0:c>
      <ns0:c r="U116" s="9">
        <ns0:f>S116-P116</ns0:f>
        <ns0:v>3642.0</ns0:v>
      </ns0:c>
      <ns0:c r="V116" s="9">
        <ns0:f>S116-Q116</ns0:f>
        <ns0:v>3573.0</ns0:v>
      </ns0:c>
      <ns0:c r="W116" s="4" t="str">
        <ns0:f>IF(R116=0,"Not Opened",IF(V116&gt;=0,"Recovered - All Scenarios",IF(U116&gt;=0,"Recovered - Low &amp; Base",IF(T116&gt;=0,"Recovered - Low Only","Not Recovered"))))</ns0:f>
        <ns0:v>Recovered - All Scenarios</ns0:v>
      </ns0:c>
      <ns0:c r="X116" s="9">
        <ns0:f>IF(R116=0,0,S116/R116)</ns0:f>
        <ns0:v>560.0</ns0:v>
      </ns0:c>
      <ns0:c r="Y116" s="4">
        <ns0:f>R116</ns0:f>
        <ns0:v>7</ns0:v>
      </ns0:c>
      <ns0:c r="Z116" s="9">
        <ns0:f>IF(R116=0,"",S116/R116)</ns0:f>
        <ns0:v>560.0</ns0:v>
      </ns0:c>
      <ns0:c r="AA116" s="4" t="str">
        <ns0:f>IF(R116=0,"Not Opened",IF(R116&gt;=Assumptions!$B$3,"High Frequency","Low Frequency")&amp;" / "&amp;IF(X116&gt;=Assumptions!$B$4,"High Contribution","Low Contribution"))</ns0:f>
        <ns0:v>High Frequency / High Contribution</ns0:v>
      </ns0:c>
    </ns0:row>
    <ns0:row r="117">
      <ns0:c r="A117" s="4" t="inlineStr">
        <ns0:is>
          <ns0:t>SYN-116</ns0:t>
        </ns0:is>
      </ns0:c>
      <ns0:c r="B117" s="4" t="inlineStr">
        <ns0:is>
          <ns0:t>Synthetic Script 116</ns0:t>
        </ns0:is>
      </ns0:c>
      <ns0:c r="C117" s="4" t="inlineStr">
        <ns0:is>
          <ns0:t>情感</ns0:t>
        </ns0:is>
      </ns0:c>
      <ns0:c r="D117" s="4" t="n">
        <ns0:v>2</ns0:v>
      </ns0:c>
      <ns0:c r="E117" s="4" t="n">
        <ns0:v>6</ns0:v>
      </ns0:c>
      <ns0:c r="F117" s="9" t="n">
        <ns0:v>138</ns0:v>
      </ns0:c>
      <ns0:c r="G117" s="9">
        <ns0:f>E117*F117</ns0:f>
        <ns0:v>828</ns0:v>
      </ns0:c>
      <ns0:c r="H117" s="9" t="n">
        <ns0:v>180</ns0:v>
      </ns0:c>
      <ns0:c r="I117" s="4" t="inlineStr">
        <ns0:is>
          <ns0:t>盒装</ns0:t>
        </ns0:is>
      </ns0:c>
      <ns0:c r="J117" s="9">
        <ns0:f>G117-H117</ns0:f>
        <ns0:v>648</ns0:v>
      </ns0:c>
      <ns0:c r="K117" s="4" t="n">
        <ns0:v>7.7</ns0:v>
      </ns0:c>
      <ns0:c r="L117" s="4" t="n">
        <ns0:v>0</ns0:v>
      </ns0:c>
      <ns0:c r="M117" s="4" t="n">
        <ns0:v>750</ns0:v>
      </ns0:c>
      <ns0:c r="N117" s="4" t="n">
        <ns0:v>1000</ns0:v>
      </ns0:c>
      <ns0:c r="O117" s="9">
        <ns0:f>ROUND(L117/Assumptions!$B$2,0)</ns0:f>
        <ns0:v>0</ns0:v>
      </ns0:c>
      <ns0:c r="P117" s="9">
        <ns0:f>ROUND(M117/Assumptions!$B$2,0)</ns0:f>
        <ns0:v>104</ns0:v>
      </ns0:c>
      <ns0:c r="Q117" s="9">
        <ns0:f>ROUND(N117/Assumptions!$B$2,0)</ns0:f>
        <ns0:v>139</ns0:v>
      </ns0:c>
      <ns0:c r="R117" s="4">
        <ns0:f>COUNTIF(RawData[Script ID],A117)</ns0:f>
        <ns0:v>1</ns0:v>
      </ns0:c>
      <ns0:c r="S117" s="9">
        <ns0:f>SUMIF(RawData[Script ID],A117,RawData[Estimated Contribution])</ns0:f>
        <ns0:v>648.0</ns0:v>
      </ns0:c>
      <ns0:c r="T117" s="9">
        <ns0:f>S117-O117</ns0:f>
        <ns0:v>648.0</ns0:v>
      </ns0:c>
      <ns0:c r="U117" s="9">
        <ns0:f>S117-P117</ns0:f>
        <ns0:v>544.0</ns0:v>
      </ns0:c>
      <ns0:c r="V117" s="9">
        <ns0:f>S117-Q117</ns0:f>
        <ns0:v>509.0</ns0:v>
      </ns0:c>
      <ns0:c r="W117" s="4" t="str">
        <ns0:f>IF(R117=0,"Not Opened",IF(V117&gt;=0,"Recovered - All Scenarios",IF(U117&gt;=0,"Recovered - Low &amp; Base",IF(T117&gt;=0,"Recovered - Low Only","Not Recovered"))))</ns0:f>
        <ns0:v>Recovered - All Scenarios</ns0:v>
      </ns0:c>
      <ns0:c r="X117" s="9">
        <ns0:f>IF(R117=0,0,S117/R117)</ns0:f>
        <ns0:v>648.0</ns0:v>
      </ns0:c>
      <ns0:c r="Y117" s="4">
        <ns0:f>R117</ns0:f>
        <ns0:v>1</ns0:v>
      </ns0:c>
      <ns0:c r="Z117" s="9">
        <ns0:f>IF(R117=0,"",S117/R117)</ns0:f>
        <ns0:v>648.0</ns0:v>
      </ns0:c>
      <ns0:c r="AA117" s="4" t="str">
        <ns0:f>IF(R117=0,"Not Opened",IF(R117&gt;=Assumptions!$B$3,"High Frequency","Low Frequency")&amp;" / "&amp;IF(X117&gt;=Assumptions!$B$4,"High Contribution","Low Contribution"))</ns0:f>
        <ns0:v>Low Frequency / High Contribution</ns0:v>
      </ns0:c>
    </ns0:row>
    <ns0:row r="118">
      <ns0:c r="A118" s="4" t="inlineStr">
        <ns0:is>
          <ns0:t>SYN-117</ns0:t>
        </ns0:is>
      </ns0:c>
      <ns0:c r="B118" s="4" t="inlineStr">
        <ns0:is>
          <ns0:t>Synthetic Script 117</ns0:t>
        </ns0:is>
      </ns0:c>
      <ns0:c r="C118" s="4" t="inlineStr">
        <ns0:is>
          <ns0:t>机制</ns0:t>
        </ns0:is>
      </ns0:c>
      <ns0:c r="D118" s="4" t="n">
        <ns0:v>1</ns0:v>
      </ns0:c>
      <ns0:c r="E118" s="4" t="n">
        <ns0:v>6</ns0:v>
      </ns0:c>
      <ns0:c r="F118" s="9" t="n">
        <ns0:v>109</ns0:v>
      </ns0:c>
      <ns0:c r="G118" s="9">
        <ns0:f>E118*F118</ns0:f>
        <ns0:v>654</ns0:v>
      </ns0:c>
      <ns0:c r="H118" s="9" t="n">
        <ns0:v>172</ns0:v>
      </ns0:c>
      <ns0:c r="I118" s="4" t="inlineStr">
        <ns0:is>
          <ns0:t>城限</ns0:t>
        </ns0:is>
      </ns0:c>
      <ns0:c r="J118" s="9">
        <ns0:f>G118-H118</ns0:f>
        <ns0:v>482</ns0:v>
      </ns0:c>
      <ns0:c r="K118" s="4" t="n">
        <ns0:v>8.4</ns0:v>
      </ns0:c>
      <ns0:c r="L118" s="4" t="n">
        <ns0:v>1500</ns0:v>
      </ns0:c>
      <ns0:c r="M118" s="4" t="n">
        <ns0:v>2000</ns0:v>
      </ns0:c>
      <ns0:c r="N118" s="4" t="n">
        <ns0:v>2500</ns0:v>
      </ns0:c>
      <ns0:c r="O118" s="9">
        <ns0:f>ROUND(L118/Assumptions!$B$2,0)</ns0:f>
        <ns0:v>208</ns0:v>
      </ns0:c>
      <ns0:c r="P118" s="9">
        <ns0:f>ROUND(M118/Assumptions!$B$2,0)</ns0:f>
        <ns0:v>278</ns0:v>
      </ns0:c>
      <ns0:c r="Q118" s="9">
        <ns0:f>ROUND(N118/Assumptions!$B$2,0)</ns0:f>
        <ns0:v>347</ns0:v>
      </ns0:c>
      <ns0:c r="R118" s="4">
        <ns0:f>COUNTIF(RawData[Script ID],A118)</ns0:f>
        <ns0:v>3</ns0:v>
      </ns0:c>
      <ns0:c r="S118" s="9">
        <ns0:f>SUMIF(RawData[Script ID],A118,RawData[Estimated Contribution])</ns0:f>
        <ns0:v>1446.0</ns0:v>
      </ns0:c>
      <ns0:c r="T118" s="9">
        <ns0:f>S118-O118</ns0:f>
        <ns0:v>1238.0</ns0:v>
      </ns0:c>
      <ns0:c r="U118" s="9">
        <ns0:f>S118-P118</ns0:f>
        <ns0:v>1168.0</ns0:v>
      </ns0:c>
      <ns0:c r="V118" s="9">
        <ns0:f>S118-Q118</ns0:f>
        <ns0:v>1099.0</ns0:v>
      </ns0:c>
      <ns0:c r="W118" s="4" t="str">
        <ns0:f>IF(R118=0,"Not Opened",IF(V118&gt;=0,"Recovered - All Scenarios",IF(U118&gt;=0,"Recovered - Low &amp; Base",IF(T118&gt;=0,"Recovered - Low Only","Not Recovered"))))</ns0:f>
        <ns0:v>Recovered - All Scenarios</ns0:v>
      </ns0:c>
      <ns0:c r="X118" s="9">
        <ns0:f>IF(R118=0,0,S118/R118)</ns0:f>
        <ns0:v>482.0</ns0:v>
      </ns0:c>
      <ns0:c r="Y118" s="4">
        <ns0:f>R118</ns0:f>
        <ns0:v>3</ns0:v>
      </ns0:c>
      <ns0:c r="Z118" s="9">
        <ns0:f>IF(R118=0,"",S118/R118)</ns0:f>
        <ns0:v>482.0</ns0:v>
      </ns0:c>
      <ns0:c r="AA118" s="4" t="str">
        <ns0:f>IF(R118=0,"Not Opened",IF(R118&gt;=Assumptions!$B$3,"High Frequency","Low Frequency")&amp;" / "&amp;IF(X118&gt;=Assumptions!$B$4,"High Contribution","Low Contribution"))</ns0:f>
        <ns0:v>High Frequency / Low Contribution</ns0:v>
      </ns0:c>
    </ns0:row>
    <ns0:row r="119">
      <ns0:c r="A119" s="4" t="inlineStr">
        <ns0:is>
          <ns0:t>SYN-118</ns0:t>
        </ns0:is>
      </ns0:c>
      <ns0:c r="B119" s="4" t="inlineStr">
        <ns0:is>
          <ns0:t>Synthetic Script 118</ns0:t>
        </ns0:is>
      </ns0:c>
      <ns0:c r="C119" s="4" t="inlineStr">
        <ns0:is>
          <ns0:t>推理</ns0:t>
        </ns0:is>
      </ns0:c>
      <ns0:c r="D119" s="4" t="n">
        <ns0:v>1</ns0:v>
      </ns0:c>
      <ns0:c r="E119" s="4" t="n">
        <ns0:v>6</ns0:v>
      </ns0:c>
      <ns0:c r="F119" s="9" t="n">
        <ns0:v>75</ns0:v>
      </ns0:c>
      <ns0:c r="G119" s="9">
        <ns0:f>E119*F119</ns0:f>
        <ns0:v>450</ns0:v>
      </ns0:c>
      <ns0:c r="H119" s="9" t="n">
        <ns0:v>118</ns0:v>
      </ns0:c>
      <ns0:c r="I119" s="4" t="inlineStr">
        <ns0:is>
          <ns0:t>盒装</ns0:t>
        </ns0:is>
      </ns0:c>
      <ns0:c r="J119" s="9">
        <ns0:f>G119-H119</ns0:f>
        <ns0:v>332</ns0:v>
      </ns0:c>
      <ns0:c r="K119" s="4" t="n">
        <ns0:v>7</ns0:v>
      </ns0:c>
      <ns0:c r="L119" s="4" t="n">
        <ns0:v>0</ns0:v>
      </ns0:c>
      <ns0:c r="M119" s="4" t="n">
        <ns0:v>750</ns0:v>
      </ns0:c>
      <ns0:c r="N119" s="4" t="n">
        <ns0:v>1000</ns0:v>
      </ns0:c>
      <ns0:c r="O119" s="9">
        <ns0:f>ROUND(L119/Assumptions!$B$2,0)</ns0:f>
        <ns0:v>0</ns0:v>
      </ns0:c>
      <ns0:c r="P119" s="9">
        <ns0:f>ROUND(M119/Assumptions!$B$2,0)</ns0:f>
        <ns0:v>104</ns0:v>
      </ns0:c>
      <ns0:c r="Q119" s="9">
        <ns0:f>ROUND(N119/Assumptions!$B$2,0)</ns0:f>
        <ns0:v>139</ns0:v>
      </ns0:c>
      <ns0:c r="R119" s="4">
        <ns0:f>COUNTIF(RawData[Script ID],A119)</ns0:f>
        <ns0:v>10</ns0:v>
      </ns0:c>
      <ns0:c r="S119" s="9">
        <ns0:f>SUMIF(RawData[Script ID],A119,RawData[Estimated Contribution])</ns0:f>
        <ns0:v>3320.0</ns0:v>
      </ns0:c>
      <ns0:c r="T119" s="9">
        <ns0:f>S119-O119</ns0:f>
        <ns0:v>3320.0</ns0:v>
      </ns0:c>
      <ns0:c r="U119" s="9">
        <ns0:f>S119-P119</ns0:f>
        <ns0:v>3216.0</ns0:v>
      </ns0:c>
      <ns0:c r="V119" s="9">
        <ns0:f>S119-Q119</ns0:f>
        <ns0:v>3181.0</ns0:v>
      </ns0:c>
      <ns0:c r="W119" s="4" t="str">
        <ns0:f>IF(R119=0,"Not Opened",IF(V119&gt;=0,"Recovered - All Scenarios",IF(U119&gt;=0,"Recovered - Low &amp; Base",IF(T119&gt;=0,"Recovered - Low Only","Not Recovered"))))</ns0:f>
        <ns0:v>Recovered - All Scenarios</ns0:v>
      </ns0:c>
      <ns0:c r="X119" s="9">
        <ns0:f>IF(R119=0,0,S119/R119)</ns0:f>
        <ns0:v>332.0</ns0:v>
      </ns0:c>
      <ns0:c r="Y119" s="4">
        <ns0:f>R119</ns0:f>
        <ns0:v>10</ns0:v>
      </ns0:c>
      <ns0:c r="Z119" s="9">
        <ns0:f>IF(R119=0,"",S119/R119)</ns0:f>
        <ns0:v>332.0</ns0:v>
      </ns0:c>
      <ns0:c r="AA119" s="4" t="str">
        <ns0:f>IF(R119=0,"Not Opened",IF(R119&gt;=Assumptions!$B$3,"High Frequency","Low Frequency")&amp;" / "&amp;IF(X119&gt;=Assumptions!$B$4,"High Contribution","Low Contribution"))</ns0:f>
        <ns0:v>High Frequency / Low Contribution</ns0:v>
      </ns0:c>
    </ns0:row>
    <ns0:row r="120">
      <ns0:c r="A120" s="4" t="inlineStr">
        <ns0:is>
          <ns0:t>SYN-119</ns0:t>
        </ns0:is>
      </ns0:c>
      <ns0:c r="B120" s="4" t="inlineStr">
        <ns0:is>
          <ns0:t>Synthetic Script 119</ns0:t>
        </ns0:is>
      </ns0:c>
      <ns0:c r="C120" s="4" t="inlineStr">
        <ns0:is>
          <ns0:t>欢乐</ns0:t>
        </ns0:is>
      </ns0:c>
      <ns0:c r="D120" s="4" t="n">
        <ns0:v>3</ns0:v>
      </ns0:c>
      <ns0:c r="E120" s="4" t="n">
        <ns0:v>7</ns0:v>
      </ns0:c>
      <ns0:c r="F120" s="9" t="n">
        <ns0:v>118</ns0:v>
      </ns0:c>
      <ns0:c r="G120" s="9">
        <ns0:f>E120*F120</ns0:f>
        <ns0:v>826</ns0:v>
      </ns0:c>
      <ns0:c r="H120" s="9" t="n">
        <ns0:v>217</ns0:v>
      </ns0:c>
      <ns0:c r="I120" s="4" t="inlineStr">
        <ns0:is>
          <ns0:t>独家</ns0:t>
        </ns0:is>
      </ns0:c>
      <ns0:c r="J120" s="9">
        <ns0:f>G120-H120</ns0:f>
        <ns0:v>609</ns0:v>
      </ns0:c>
      <ns0:c r="K120" s="4" t="n">
        <ns0:v>7.7</ns0:v>
      </ns0:c>
      <ns0:c r="L120" s="4" t="n">
        <ns0:v>2500</ns0:v>
      </ns0:c>
      <ns0:c r="M120" s="4" t="n">
        <ns0:v>3000</ns0:v>
      </ns0:c>
      <ns0:c r="N120" s="4" t="n">
        <ns0:v>3500</ns0:v>
      </ns0:c>
      <ns0:c r="O120" s="9">
        <ns0:f>ROUND(L120/Assumptions!$B$2,0)</ns0:f>
        <ns0:v>347</ns0:v>
      </ns0:c>
      <ns0:c r="P120" s="9">
        <ns0:f>ROUND(M120/Assumptions!$B$2,0)</ns0:f>
        <ns0:v>417</ns0:v>
      </ns0:c>
      <ns0:c r="Q120" s="9">
        <ns0:f>ROUND(N120/Assumptions!$B$2,0)</ns0:f>
        <ns0:v>486</ns0:v>
      </ns0:c>
      <ns0:c r="R120" s="4">
        <ns0:f>COUNTIF(RawData[Script ID],A120)</ns0:f>
        <ns0:v>1</ns0:v>
      </ns0:c>
      <ns0:c r="S120" s="9">
        <ns0:f>SUMIF(RawData[Script ID],A120,RawData[Estimated Contribution])</ns0:f>
        <ns0:v>609.0</ns0:v>
      </ns0:c>
      <ns0:c r="T120" s="9">
        <ns0:f>S120-O120</ns0:f>
        <ns0:v>262.0</ns0:v>
      </ns0:c>
      <ns0:c r="U120" s="9">
        <ns0:f>S120-P120</ns0:f>
        <ns0:v>192.0</ns0:v>
      </ns0:c>
      <ns0:c r="V120" s="9">
        <ns0:f>S120-Q120</ns0:f>
        <ns0:v>123.0</ns0:v>
      </ns0:c>
      <ns0:c r="W120" s="4" t="str">
        <ns0:f>IF(R120=0,"Not Opened",IF(V120&gt;=0,"Recovered - All Scenarios",IF(U120&gt;=0,"Recovered - Low &amp; Base",IF(T120&gt;=0,"Recovered - Low Only","Not Recovered"))))</ns0:f>
        <ns0:v>Recovered - All Scenarios</ns0:v>
      </ns0:c>
      <ns0:c r="X120" s="9">
        <ns0:f>IF(R120=0,0,S120/R120)</ns0:f>
        <ns0:v>609.0</ns0:v>
      </ns0:c>
      <ns0:c r="Y120" s="4">
        <ns0:f>R120</ns0:f>
        <ns0:v>1</ns0:v>
      </ns0:c>
      <ns0:c r="Z120" s="9">
        <ns0:f>IF(R120=0,"",S120/R120)</ns0:f>
        <ns0:v>609.0</ns0:v>
      </ns0:c>
      <ns0:c r="AA120" s="4" t="str">
        <ns0:f>IF(R120=0,"Not Opened",IF(R120&gt;=Assumptions!$B$3,"High Frequency","Low Frequency")&amp;" / "&amp;IF(X120&gt;=Assumptions!$B$4,"High Contribution","Low Contribution"))</ns0:f>
        <ns0:v>Low Frequency / High Contribution</ns0:v>
      </ns0:c>
    </ns0:row>
    <ns0:row r="121">
      <ns0:c r="A121" s="4" t="inlineStr">
        <ns0:is>
          <ns0:t>SYN-120</ns0:t>
        </ns0:is>
      </ns0:c>
      <ns0:c r="B121" s="4" t="inlineStr">
        <ns0:is>
          <ns0:t>Synthetic Script 120</ns0:t>
        </ns0:is>
      </ns0:c>
      <ns0:c r="C121" s="4" t="inlineStr">
        <ns0:is>
          <ns0:t>情感</ns0:t>
        </ns0:is>
      </ns0:c>
      <ns0:c r="D121" s="4" t="n">
        <ns0:v>6</ns0:v>
      </ns0:c>
      <ns0:c r="E121" s="4" t="n">
        <ns0:v>8</ns0:v>
      </ns0:c>
      <ns0:c r="F121" s="9" t="n">
        <ns0:v>138</ns0:v>
      </ns0:c>
      <ns0:c r="G121" s="9">
        <ns0:f>E121*F121</ns0:f>
        <ns0:v>1104</ns0:v>
      </ns0:c>
      <ns0:c r="H121" s="9" t="n">
        <ns0:v>540</ns0:v>
      </ns0:c>
      <ns0:c r="I121" s="4" t="inlineStr">
        <ns0:is>
          <ns0:t>盒装</ns0:t>
        </ns0:is>
      </ns0:c>
      <ns0:c r="J121" s="9">
        <ns0:f>G121-H121</ns0:f>
        <ns0:v>564</ns0:v>
      </ns0:c>
      <ns0:c r="K121" s="4" t="n">
        <ns0:v>8.4</ns0:v>
      </ns0:c>
      <ns0:c r="L121" s="4" t="n">
        <ns0:v>0</ns0:v>
      </ns0:c>
      <ns0:c r="M121" s="4" t="n">
        <ns0:v>750</ns0:v>
      </ns0:c>
      <ns0:c r="N121" s="4" t="n">
        <ns0:v>1000</ns0:v>
      </ns0:c>
      <ns0:c r="O121" s="9">
        <ns0:f>ROUND(L121/Assumptions!$B$2,0)</ns0:f>
        <ns0:v>0</ns0:v>
      </ns0:c>
      <ns0:c r="P121" s="9">
        <ns0:f>ROUND(M121/Assumptions!$B$2,0)</ns0:f>
        <ns0:v>104</ns0:v>
      </ns0:c>
      <ns0:c r="Q121" s="9">
        <ns0:f>ROUND(N121/Assumptions!$B$2,0)</ns0:f>
        <ns0:v>139</ns0:v>
      </ns0:c>
      <ns0:c r="R121" s="4">
        <ns0:f>COUNTIF(RawData[Script ID],A121)</ns0:f>
        <ns0:v>3</ns0:v>
      </ns0:c>
      <ns0:c r="S121" s="9">
        <ns0:f>SUMIF(RawData[Script ID],A121,RawData[Estimated Contribution])</ns0:f>
        <ns0:v>1692.0</ns0:v>
      </ns0:c>
      <ns0:c r="T121" s="9">
        <ns0:f>S121-O121</ns0:f>
        <ns0:v>1692.0</ns0:v>
      </ns0:c>
      <ns0:c r="U121" s="9">
        <ns0:f>S121-P121</ns0:f>
        <ns0:v>1588.0</ns0:v>
      </ns0:c>
      <ns0:c r="V121" s="9">
        <ns0:f>S121-Q121</ns0:f>
        <ns0:v>1553.0</ns0:v>
      </ns0:c>
      <ns0:c r="W121" s="4" t="str">
        <ns0:f>IF(R121=0,"Not Opened",IF(V121&gt;=0,"Recovered - All Scenarios",IF(U121&gt;=0,"Recovered - Low &amp; Base",IF(T121&gt;=0,"Recovered - Low Only","Not Recovered"))))</ns0:f>
        <ns0:v>Recovered - All Scenarios</ns0:v>
      </ns0:c>
      <ns0:c r="X121" s="9">
        <ns0:f>IF(R121=0,0,S121/R121)</ns0:f>
        <ns0:v>564.0</ns0:v>
      </ns0:c>
      <ns0:c r="Y121" s="4">
        <ns0:f>R121</ns0:f>
        <ns0:v>3</ns0:v>
      </ns0:c>
      <ns0:c r="Z121" s="9">
        <ns0:f>IF(R121=0,"",S121/R121)</ns0:f>
        <ns0:v>564.0</ns0:v>
      </ns0:c>
      <ns0:c r="AA121" s="4" t="str">
        <ns0:f>IF(R121=0,"Not Opened",IF(R121&gt;=Assumptions!$B$3,"High Frequency","Low Frequency")&amp;" / "&amp;IF(X121&gt;=Assumptions!$B$4,"High Contribution","Low Contribution"))</ns0:f>
        <ns0:v>High Frequency / High Contribution</ns0:v>
      </ns0:c>
    </ns0:row>
    <ns0:row r="122">
      <ns0:c r="A122" s="4" t="inlineStr">
        <ns0:is>
          <ns0:t>SYN-121</ns0:t>
        </ns0:is>
      </ns0:c>
      <ns0:c r="B122" s="4" t="inlineStr">
        <ns0:is>
          <ns0:t>Synthetic Script 121</ns0:t>
        </ns0:is>
      </ns0:c>
      <ns0:c r="C122" s="4" t="inlineStr">
        <ns0:is>
          <ns0:t>情感</ns0:t>
        </ns0:is>
      </ns0:c>
      <ns0:c r="D122" s="4" t="n">
        <ns0:v>2</ns0:v>
      </ns0:c>
      <ns0:c r="E122" s="4" t="n">
        <ns0:v>6</ns0:v>
      </ns0:c>
      <ns0:c r="F122" s="9" t="n">
        <ns0:v>99</ns0:v>
      </ns0:c>
      <ns0:c r="G122" s="9">
        <ns0:f>E122*F122</ns0:f>
        <ns0:v>594</ns0:v>
      </ns0:c>
      <ns0:c r="H122" s="9" t="n">
        <ns0:v>180</ns0:v>
      </ns0:c>
      <ns0:c r="I122" s="4" t="inlineStr">
        <ns0:is>
          <ns0:t>盒装</ns0:t>
        </ns0:is>
      </ns0:c>
      <ns0:c r="J122" s="9">
        <ns0:f>G122-H122</ns0:f>
        <ns0:v>414</ns0:v>
      </ns0:c>
      <ns0:c r="K122" s="4" t="n">
        <ns0:v>7</ns0:v>
      </ns0:c>
      <ns0:c r="L122" s="4" t="n">
        <ns0:v>0</ns0:v>
      </ns0:c>
      <ns0:c r="M122" s="4" t="n">
        <ns0:v>750</ns0:v>
      </ns0:c>
      <ns0:c r="N122" s="4" t="n">
        <ns0:v>1000</ns0:v>
      </ns0:c>
      <ns0:c r="O122" s="9">
        <ns0:f>ROUND(L122/Assumptions!$B$2,0)</ns0:f>
        <ns0:v>0</ns0:v>
      </ns0:c>
      <ns0:c r="P122" s="9">
        <ns0:f>ROUND(M122/Assumptions!$B$2,0)</ns0:f>
        <ns0:v>104</ns0:v>
      </ns0:c>
      <ns0:c r="Q122" s="9">
        <ns0:f>ROUND(N122/Assumptions!$B$2,0)</ns0:f>
        <ns0:v>139</ns0:v>
      </ns0:c>
      <ns0:c r="R122" s="4">
        <ns0:f>COUNTIF(RawData[Script ID],A122)</ns0:f>
        <ns0:v>0</ns0:v>
      </ns0:c>
      <ns0:c r="S122" s="9">
        <ns0:f>SUMIF(RawData[Script ID],A122,RawData[Estimated Contribution])</ns0:f>
        <ns0:v>0.0</ns0:v>
      </ns0:c>
      <ns0:c r="T122" s="9">
        <ns0:f>S122-O122</ns0:f>
        <ns0:v>0.0</ns0:v>
      </ns0:c>
      <ns0:c r="U122" s="9">
        <ns0:f>S122-P122</ns0:f>
        <ns0:v>-104.0</ns0:v>
      </ns0:c>
      <ns0:c r="V122" s="9">
        <ns0:f>S122-Q122</ns0:f>
        <ns0:v>-139.0</ns0:v>
      </ns0:c>
      <ns0:c r="W122" s="4" t="str">
        <ns0:f>IF(R122=0,"Not Opened",IF(V122&gt;=0,"Recovered - All Scenarios",IF(U122&gt;=0,"Recovered - Low &amp; Base",IF(T122&gt;=0,"Recovered - Low Only","Not Recovered"))))</ns0:f>
        <ns0:v>Not Opened</ns0:v>
      </ns0:c>
      <ns0:c r="X122" s="9">
        <ns0:f>IF(R122=0,0,S122/R122)</ns0:f>
        <ns0:v>0</ns0:v>
      </ns0:c>
      <ns0:c r="Y122" s="4">
        <ns0:f>R122</ns0:f>
        <ns0:v>0</ns0:v>
      </ns0:c>
      <ns0:c r="Z122" s="9" t="str">
        <ns0:f>IF(R122=0,"",S122/R122)</ns0:f>
        <ns0:v/>
      </ns0:c>
      <ns0:c r="AA122" s="4" t="str">
        <ns0:f>IF(R122=0,"Not Opened",IF(R122&gt;=Assumptions!$B$3,"High Frequency","Low Frequency")&amp;" / "&amp;IF(X122&gt;=Assumptions!$B$4,"High Contribution","Low Contribution"))</ns0:f>
        <ns0:v>Not Opened</ns0:v>
      </ns0:c>
    </ns0:row>
    <ns0:row r="123">
      <ns0:c r="A123" s="4" t="inlineStr">
        <ns0:is>
          <ns0:t>SYN-122</ns0:t>
        </ns0:is>
      </ns0:c>
      <ns0:c r="B123" s="4" t="inlineStr">
        <ns0:is>
          <ns0:t>Synthetic Script 122</ns0:t>
        </ns0:is>
      </ns0:c>
      <ns0:c r="C123" s="4" t="inlineStr">
        <ns0:is>
          <ns0:t>推理</ns0:t>
        </ns0:is>
      </ns0:c>
      <ns0:c r="D123" s="4" t="n">
        <ns0:v>1</ns0:v>
      </ns0:c>
      <ns0:c r="E123" s="4" t="n">
        <ns0:v>6</ns0:v>
      </ns0:c>
      <ns0:c r="F123" s="9" t="n">
        <ns0:v>75</ns0:v>
      </ns0:c>
      <ns0:c r="G123" s="9">
        <ns0:f>E123*F123</ns0:f>
        <ns0:v>450</ns0:v>
      </ns0:c>
      <ns0:c r="H123" s="9" t="n">
        <ns0:v>118</ns0:v>
      </ns0:c>
      <ns0:c r="I123" s="4" t="inlineStr">
        <ns0:is>
          <ns0:t>城限</ns0:t>
        </ns0:is>
      </ns0:c>
      <ns0:c r="J123" s="9">
        <ns0:f>G123-H123</ns0:f>
        <ns0:v>332</ns0:v>
      </ns0:c>
      <ns0:c r="K123" s="4" t="n">
        <ns0:v>7.7</ns0:v>
      </ns0:c>
      <ns0:c r="L123" s="4" t="n">
        <ns0:v>1500</ns0:v>
      </ns0:c>
      <ns0:c r="M123" s="4" t="n">
        <ns0:v>2000</ns0:v>
      </ns0:c>
      <ns0:c r="N123" s="4" t="n">
        <ns0:v>2500</ns0:v>
      </ns0:c>
      <ns0:c r="O123" s="9">
        <ns0:f>ROUND(L123/Assumptions!$B$2,0)</ns0:f>
        <ns0:v>208</ns0:v>
      </ns0:c>
      <ns0:c r="P123" s="9">
        <ns0:f>ROUND(M123/Assumptions!$B$2,0)</ns0:f>
        <ns0:v>278</ns0:v>
      </ns0:c>
      <ns0:c r="Q123" s="9">
        <ns0:f>ROUND(N123/Assumptions!$B$2,0)</ns0:f>
        <ns0:v>347</ns0:v>
      </ns0:c>
      <ns0:c r="R123" s="4">
        <ns0:f>COUNTIF(RawData[Script ID],A123)</ns0:f>
        <ns0:v>1</ns0:v>
      </ns0:c>
      <ns0:c r="S123" s="9">
        <ns0:f>SUMIF(RawData[Script ID],A123,RawData[Estimated Contribution])</ns0:f>
        <ns0:v>332.0</ns0:v>
      </ns0:c>
      <ns0:c r="T123" s="9">
        <ns0:f>S123-O123</ns0:f>
        <ns0:v>124.0</ns0:v>
      </ns0:c>
      <ns0:c r="U123" s="9">
        <ns0:f>S123-P123</ns0:f>
        <ns0:v>54.0</ns0:v>
      </ns0:c>
      <ns0:c r="V123" s="9">
        <ns0:f>S123-Q123</ns0:f>
        <ns0:v>-15.0</ns0:v>
      </ns0:c>
      <ns0:c r="W123" s="4" t="str">
        <ns0:f>IF(R123=0,"Not Opened",IF(V123&gt;=0,"Recovered - All Scenarios",IF(U123&gt;=0,"Recovered - Low &amp; Base",IF(T123&gt;=0,"Recovered - Low Only","Not Recovered"))))</ns0:f>
        <ns0:v>Recovered - Low &amp; Base</ns0:v>
      </ns0:c>
      <ns0:c r="X123" s="9">
        <ns0:f>IF(R123=0,0,S123/R123)</ns0:f>
        <ns0:v>332.0</ns0:v>
      </ns0:c>
      <ns0:c r="Y123" s="4">
        <ns0:f>R123</ns0:f>
        <ns0:v>1</ns0:v>
      </ns0:c>
      <ns0:c r="Z123" s="9">
        <ns0:f>IF(R123=0,"",S123/R123)</ns0:f>
        <ns0:v>332.0</ns0:v>
      </ns0:c>
      <ns0:c r="AA123" s="4" t="str">
        <ns0:f>IF(R123=0,"Not Opened",IF(R123&gt;=Assumptions!$B$3,"High Frequency","Low Frequency")&amp;" / "&amp;IF(X123&gt;=Assumptions!$B$4,"High Contribution","Low Contribution"))</ns0:f>
        <ns0:v>Low Frequency / Low Contribution</ns0:v>
      </ns0:c>
    </ns0:row>
    <ns0:row r="124">
      <ns0:c r="A124" s="4" t="inlineStr">
        <ns0:is>
          <ns0:t>SYN-123</ns0:t>
        </ns0:is>
      </ns0:c>
      <ns0:c r="B124" s="4" t="inlineStr">
        <ns0:is>
          <ns0:t>Synthetic Script 123</ns0:t>
        </ns0:is>
      </ns0:c>
      <ns0:c r="C124" s="4" t="inlineStr">
        <ns0:is>
          <ns0:t>情感</ns0:t>
        </ns0:is>
      </ns0:c>
      <ns0:c r="D124" s="4" t="n">
        <ns0:v>3</ns0:v>
      </ns0:c>
      <ns0:c r="E124" s="4" t="n">
        <ns0:v>6</ns0:v>
      </ns0:c>
      <ns0:c r="F124" s="9" t="n">
        <ns0:v>118</ns0:v>
      </ns0:c>
      <ns0:c r="G124" s="9">
        <ns0:f>E124*F124</ns0:f>
        <ns0:v>708</ns0:v>
      </ns0:c>
      <ns0:c r="H124" s="9" t="n">
        <ns0:v>270</ns0:v>
      </ns0:c>
      <ns0:c r="I124" s="4" t="inlineStr">
        <ns0:is>
          <ns0:t>盒装</ns0:t>
        </ns0:is>
      </ns0:c>
      <ns0:c r="J124" s="9">
        <ns0:f>G124-H124</ns0:f>
        <ns0:v>438</ns0:v>
      </ns0:c>
      <ns0:c r="K124" s="4" t="n">
        <ns0:v>8.4</ns0:v>
      </ns0:c>
      <ns0:c r="L124" s="4" t="n">
        <ns0:v>0</ns0:v>
      </ns0:c>
      <ns0:c r="M124" s="4" t="n">
        <ns0:v>750</ns0:v>
      </ns0:c>
      <ns0:c r="N124" s="4" t="n">
        <ns0:v>1000</ns0:v>
      </ns0:c>
      <ns0:c r="O124" s="9">
        <ns0:f>ROUND(L124/Assumptions!$B$2,0)</ns0:f>
        <ns0:v>0</ns0:v>
      </ns0:c>
      <ns0:c r="P124" s="9">
        <ns0:f>ROUND(M124/Assumptions!$B$2,0)</ns0:f>
        <ns0:v>104</ns0:v>
      </ns0:c>
      <ns0:c r="Q124" s="9">
        <ns0:f>ROUND(N124/Assumptions!$B$2,0)</ns0:f>
        <ns0:v>139</ns0:v>
      </ns0:c>
      <ns0:c r="R124" s="4">
        <ns0:f>COUNTIF(RawData[Script ID],A124)</ns0:f>
        <ns0:v>3</ns0:v>
      </ns0:c>
      <ns0:c r="S124" s="9">
        <ns0:f>SUMIF(RawData[Script ID],A124,RawData[Estimated Contribution])</ns0:f>
        <ns0:v>1314.0</ns0:v>
      </ns0:c>
      <ns0:c r="T124" s="9">
        <ns0:f>S124-O124</ns0:f>
        <ns0:v>1314.0</ns0:v>
      </ns0:c>
      <ns0:c r="U124" s="9">
        <ns0:f>S124-P124</ns0:f>
        <ns0:v>1210.0</ns0:v>
      </ns0:c>
      <ns0:c r="V124" s="9">
        <ns0:f>S124-Q124</ns0:f>
        <ns0:v>1175.0</ns0:v>
      </ns0:c>
      <ns0:c r="W124" s="4" t="str">
        <ns0:f>IF(R124=0,"Not Opened",IF(V124&gt;=0,"Recovered - All Scenarios",IF(U124&gt;=0,"Recovered - Low &amp; Base",IF(T124&gt;=0,"Recovered - Low Only","Not Recovered"))))</ns0:f>
        <ns0:v>Recovered - All Scenarios</ns0:v>
      </ns0:c>
      <ns0:c r="X124" s="9">
        <ns0:f>IF(R124=0,0,S124/R124)</ns0:f>
        <ns0:v>438.0</ns0:v>
      </ns0:c>
      <ns0:c r="Y124" s="4">
        <ns0:f>R124</ns0:f>
        <ns0:v>3</ns0:v>
      </ns0:c>
      <ns0:c r="Z124" s="9">
        <ns0:f>IF(R124=0,"",S124/R124)</ns0:f>
        <ns0:v>438.0</ns0:v>
      </ns0:c>
      <ns0:c r="AA124" s="4" t="str">
        <ns0:f>IF(R124=0,"Not Opened",IF(R124&gt;=Assumptions!$B$3,"High Frequency","Low Frequency")&amp;" / "&amp;IF(X124&gt;=Assumptions!$B$4,"High Contribution","Low Contribution"))</ns0:f>
        <ns0:v>High Frequency / Low Contribution</ns0:v>
      </ns0:c>
    </ns0:row>
    <ns0:row r="125">
      <ns0:c r="A125" s="4" t="inlineStr">
        <ns0:is>
          <ns0:t>SYN-124</ns0:t>
        </ns0:is>
      </ns0:c>
      <ns0:c r="B125" s="4" t="inlineStr">
        <ns0:is>
          <ns0:t>Synthetic Script 124</ns0:t>
        </ns0:is>
      </ns0:c>
      <ns0:c r="C125" s="4" t="inlineStr">
        <ns0:is>
          <ns0:t>欢乐</ns0:t>
        </ns0:is>
      </ns0:c>
      <ns0:c r="D125" s="4" t="n">
        <ns0:v>3</ns0:v>
      </ns0:c>
      <ns0:c r="E125" s="4" t="n">
        <ns0:v>7</ns0:v>
      </ns0:c>
      <ns0:c r="F125" s="9" t="n">
        <ns0:v>129</ns0:v>
      </ns0:c>
      <ns0:c r="G125" s="9">
        <ns0:f>E125*F125</ns0:f>
        <ns0:v>903</ns0:v>
      </ns0:c>
      <ns0:c r="H125" s="9" t="n">
        <ns0:v>237</ns0:v>
      </ns0:c>
      <ns0:c r="I125" s="4" t="inlineStr">
        <ns0:is>
          <ns0:t>独家</ns0:t>
        </ns0:is>
      </ns0:c>
      <ns0:c r="J125" s="9">
        <ns0:f>G125-H125</ns0:f>
        <ns0:v>666</ns0:v>
      </ns0:c>
      <ns0:c r="K125" s="4" t="n">
        <ns0:v>7</ns0:v>
      </ns0:c>
      <ns0:c r="L125" s="4" t="n">
        <ns0:v>2500</ns0:v>
      </ns0:c>
      <ns0:c r="M125" s="4" t="n">
        <ns0:v>3000</ns0:v>
      </ns0:c>
      <ns0:c r="N125" s="4" t="n">
        <ns0:v>3500</ns0:v>
      </ns0:c>
      <ns0:c r="O125" s="9">
        <ns0:f>ROUND(L125/Assumptions!$B$2,0)</ns0:f>
        <ns0:v>347</ns0:v>
      </ns0:c>
      <ns0:c r="P125" s="9">
        <ns0:f>ROUND(M125/Assumptions!$B$2,0)</ns0:f>
        <ns0:v>417</ns0:v>
      </ns0:c>
      <ns0:c r="Q125" s="9">
        <ns0:f>ROUND(N125/Assumptions!$B$2,0)</ns0:f>
        <ns0:v>486</ns0:v>
      </ns0:c>
      <ns0:c r="R125" s="4">
        <ns0:f>COUNTIF(RawData[Script ID],A125)</ns0:f>
        <ns0:v>0</ns0:v>
      </ns0:c>
      <ns0:c r="S125" s="9">
        <ns0:f>SUMIF(RawData[Script ID],A125,RawData[Estimated Contribution])</ns0:f>
        <ns0:v>0.0</ns0:v>
      </ns0:c>
      <ns0:c r="T125" s="9">
        <ns0:f>S125-O125</ns0:f>
        <ns0:v>-347.0</ns0:v>
      </ns0:c>
      <ns0:c r="U125" s="9">
        <ns0:f>S125-P125</ns0:f>
        <ns0:v>-417.0</ns0:v>
      </ns0:c>
      <ns0:c r="V125" s="9">
        <ns0:f>S125-Q125</ns0:f>
        <ns0:v>-486.0</ns0:v>
      </ns0:c>
      <ns0:c r="W125" s="4" t="str">
        <ns0:f>IF(R125=0,"Not Opened",IF(V125&gt;=0,"Recovered - All Scenarios",IF(U125&gt;=0,"Recovered - Low &amp; Base",IF(T125&gt;=0,"Recovered - Low Only","Not Recovered"))))</ns0:f>
        <ns0:v>Not Opened</ns0:v>
      </ns0:c>
      <ns0:c r="X125" s="9">
        <ns0:f>IF(R125=0,0,S125/R125)</ns0:f>
        <ns0:v>0</ns0:v>
      </ns0:c>
      <ns0:c r="Y125" s="4">
        <ns0:f>R125</ns0:f>
        <ns0:v>0</ns0:v>
      </ns0:c>
      <ns0:c r="Z125" s="9" t="str">
        <ns0:f>IF(R125=0,"",S125/R125)</ns0:f>
        <ns0:v/>
      </ns0:c>
      <ns0:c r="AA125" s="4" t="str">
        <ns0:f>IF(R125=0,"Not Opened",IF(R125&gt;=Assumptions!$B$3,"High Frequency","Low Frequency")&amp;" / "&amp;IF(X125&gt;=Assumptions!$B$4,"High Contribution","Low Contribution"))</ns0:f>
        <ns0:v>Not Opened</ns0:v>
      </ns0:c>
    </ns0:row>
    <ns0:row r="126">
      <ns0:c r="A126" s="4" t="inlineStr">
        <ns0:is>
          <ns0:t>SYN-125</ns0:t>
        </ns0:is>
      </ns0:c>
      <ns0:c r="B126" s="4" t="inlineStr">
        <ns0:is>
          <ns0:t>Synthetic Script 125</ns0:t>
        </ns0:is>
      </ns0:c>
      <ns0:c r="C126" s="4" t="inlineStr">
        <ns0:is>
          <ns0:t>推理</ns0:t>
        </ns0:is>
      </ns0:c>
      <ns0:c r="D126" s="4" t="n">
        <ns0:v>2</ns0:v>
      </ns0:c>
      <ns0:c r="E126" s="4" t="n">
        <ns0:v>8</ns0:v>
      </ns0:c>
      <ns0:c r="F126" s="9" t="n">
        <ns0:v>65</ns0:v>
      </ns0:c>
      <ns0:c r="G126" s="9">
        <ns0:f>E126*F126</ns0:f>
        <ns0:v>520</ns0:v>
      </ns0:c>
      <ns0:c r="H126" s="9" t="n">
        <ns0:v>137</ns0:v>
      </ns0:c>
      <ns0:c r="I126" s="4" t="inlineStr">
        <ns0:is>
          <ns0:t>城限</ns0:t>
        </ns0:is>
      </ns0:c>
      <ns0:c r="J126" s="9">
        <ns0:f>G126-H126</ns0:f>
        <ns0:v>383</ns0:v>
      </ns0:c>
      <ns0:c r="K126" s="4" t="n">
        <ns0:v>7.7</ns0:v>
      </ns0:c>
      <ns0:c r="L126" s="4" t="n">
        <ns0:v>1500</ns0:v>
      </ns0:c>
      <ns0:c r="M126" s="4" t="n">
        <ns0:v>2000</ns0:v>
      </ns0:c>
      <ns0:c r="N126" s="4" t="n">
        <ns0:v>2500</ns0:v>
      </ns0:c>
      <ns0:c r="O126" s="9">
        <ns0:f>ROUND(L126/Assumptions!$B$2,0)</ns0:f>
        <ns0:v>208</ns0:v>
      </ns0:c>
      <ns0:c r="P126" s="9">
        <ns0:f>ROUND(M126/Assumptions!$B$2,0)</ns0:f>
        <ns0:v>278</ns0:v>
      </ns0:c>
      <ns0:c r="Q126" s="9">
        <ns0:f>ROUND(N126/Assumptions!$B$2,0)</ns0:f>
        <ns0:v>347</ns0:v>
      </ns0:c>
      <ns0:c r="R126" s="4">
        <ns0:f>COUNTIF(RawData[Script ID],A126)</ns0:f>
        <ns0:v>2</ns0:v>
      </ns0:c>
      <ns0:c r="S126" s="9">
        <ns0:f>SUMIF(RawData[Script ID],A126,RawData[Estimated Contribution])</ns0:f>
        <ns0:v>766.0</ns0:v>
      </ns0:c>
      <ns0:c r="T126" s="9">
        <ns0:f>S126-O126</ns0:f>
        <ns0:v>558.0</ns0:v>
      </ns0:c>
      <ns0:c r="U126" s="9">
        <ns0:f>S126-P126</ns0:f>
        <ns0:v>488.0</ns0:v>
      </ns0:c>
      <ns0:c r="V126" s="9">
        <ns0:f>S126-Q126</ns0:f>
        <ns0:v>419.0</ns0:v>
      </ns0:c>
      <ns0:c r="W126" s="4" t="str">
        <ns0:f>IF(R126=0,"Not Opened",IF(V126&gt;=0,"Recovered - All Scenarios",IF(U126&gt;=0,"Recovered - Low &amp; Base",IF(T126&gt;=0,"Recovered - Low Only","Not Recovered"))))</ns0:f>
        <ns0:v>Recovered - All Scenarios</ns0:v>
      </ns0:c>
      <ns0:c r="X126" s="9">
        <ns0:f>IF(R126=0,0,S126/R126)</ns0:f>
        <ns0:v>383.0</ns0:v>
      </ns0:c>
      <ns0:c r="Y126" s="4">
        <ns0:f>R126</ns0:f>
        <ns0:v>2</ns0:v>
      </ns0:c>
      <ns0:c r="Z126" s="9">
        <ns0:f>IF(R126=0,"",S126/R126)</ns0:f>
        <ns0:v>383.0</ns0:v>
      </ns0:c>
      <ns0:c r="AA126" s="4" t="str">
        <ns0:f>IF(R126=0,"Not Opened",IF(R126&gt;=Assumptions!$B$3,"High Frequency","Low Frequency")&amp;" / "&amp;IF(X126&gt;=Assumptions!$B$4,"High Contribution","Low Contribution"))</ns0:f>
        <ns0:v>High Frequency / Low Contribution</ns0:v>
      </ns0:c>
    </ns0:row>
    <ns0:row r="127">
      <ns0:c r="A127" s="4" t="inlineStr">
        <ns0:is>
          <ns0:t>SYN-126</ns0:t>
        </ns0:is>
      </ns0:c>
      <ns0:c r="B127" s="4" t="inlineStr">
        <ns0:is>
          <ns0:t>Synthetic Script 126</ns0:t>
        </ns0:is>
      </ns0:c>
      <ns0:c r="C127" s="4" t="inlineStr">
        <ns0:is>
          <ns0:t>情感</ns0:t>
        </ns0:is>
      </ns0:c>
      <ns0:c r="D127" s="4" t="n">
        <ns0:v>2</ns0:v>
      </ns0:c>
      <ns0:c r="E127" s="4" t="n">
        <ns0:v>6</ns0:v>
      </ns0:c>
      <ns0:c r="F127" s="9" t="n">
        <ns0:v>109</ns0:v>
      </ns0:c>
      <ns0:c r="G127" s="9">
        <ns0:f>E127*F127</ns0:f>
        <ns0:v>654</ns0:v>
      </ns0:c>
      <ns0:c r="H127" s="9" t="n">
        <ns0:v>180</ns0:v>
      </ns0:c>
      <ns0:c r="I127" s="4" t="inlineStr">
        <ns0:is>
          <ns0:t>盒装</ns0:t>
        </ns0:is>
      </ns0:c>
      <ns0:c r="J127" s="9">
        <ns0:f>G127-H127</ns0:f>
        <ns0:v>474</ns0:v>
      </ns0:c>
      <ns0:c r="K127" s="4" t="n">
        <ns0:v>8.4</ns0:v>
      </ns0:c>
      <ns0:c r="L127" s="4" t="n">
        <ns0:v>0</ns0:v>
      </ns0:c>
      <ns0:c r="M127" s="4" t="n">
        <ns0:v>750</ns0:v>
      </ns0:c>
      <ns0:c r="N127" s="4" t="n">
        <ns0:v>1000</ns0:v>
      </ns0:c>
      <ns0:c r="O127" s="9">
        <ns0:f>ROUND(L127/Assumptions!$B$2,0)</ns0:f>
        <ns0:v>0</ns0:v>
      </ns0:c>
      <ns0:c r="P127" s="9">
        <ns0:f>ROUND(M127/Assumptions!$B$2,0)</ns0:f>
        <ns0:v>104</ns0:v>
      </ns0:c>
      <ns0:c r="Q127" s="9">
        <ns0:f>ROUND(N127/Assumptions!$B$2,0)</ns0:f>
        <ns0:v>139</ns0:v>
      </ns0:c>
      <ns0:c r="R127" s="4">
        <ns0:f>COUNTIF(RawData[Script ID],A127)</ns0:f>
        <ns0:v>4</ns0:v>
      </ns0:c>
      <ns0:c r="S127" s="9">
        <ns0:f>SUMIF(RawData[Script ID],A127,RawData[Estimated Contribution])</ns0:f>
        <ns0:v>1896.0</ns0:v>
      </ns0:c>
      <ns0:c r="T127" s="9">
        <ns0:f>S127-O127</ns0:f>
        <ns0:v>1896.0</ns0:v>
      </ns0:c>
      <ns0:c r="U127" s="9">
        <ns0:f>S127-P127</ns0:f>
        <ns0:v>1792.0</ns0:v>
      </ns0:c>
      <ns0:c r="V127" s="9">
        <ns0:f>S127-Q127</ns0:f>
        <ns0:v>1757.0</ns0:v>
      </ns0:c>
      <ns0:c r="W127" s="4" t="str">
        <ns0:f>IF(R127=0,"Not Opened",IF(V127&gt;=0,"Recovered - All Scenarios",IF(U127&gt;=0,"Recovered - Low &amp; Base",IF(T127&gt;=0,"Recovered - Low Only","Not Recovered"))))</ns0:f>
        <ns0:v>Recovered - All Scenarios</ns0:v>
      </ns0:c>
      <ns0:c r="X127" s="9">
        <ns0:f>IF(R127=0,0,S127/R127)</ns0:f>
        <ns0:v>474.0</ns0:v>
      </ns0:c>
      <ns0:c r="Y127" s="4">
        <ns0:f>R127</ns0:f>
        <ns0:v>4</ns0:v>
      </ns0:c>
      <ns0:c r="Z127" s="9">
        <ns0:f>IF(R127=0,"",S127/R127)</ns0:f>
        <ns0:v>474.0</ns0:v>
      </ns0:c>
      <ns0:c r="AA127" s="4" t="str">
        <ns0:f>IF(R127=0,"Not Opened",IF(R127&gt;=Assumptions!$B$3,"High Frequency","Low Frequency")&amp;" / "&amp;IF(X127&gt;=Assumptions!$B$4,"High Contribution","Low Contribution"))</ns0:f>
        <ns0:v>High Frequency / Low Contribution</ns0:v>
      </ns0:c>
    </ns0:row>
    <ns0:row r="128">
      <ns0:c r="A128" s="4" t="inlineStr">
        <ns0:is>
          <ns0:t>SYN-127</ns0:t>
        </ns0:is>
      </ns0:c>
      <ns0:c r="B128" s="4" t="inlineStr">
        <ns0:is>
          <ns0:t>Synthetic Script 127</ns0:t>
        </ns0:is>
      </ns0:c>
      <ns0:c r="C128" s="4" t="inlineStr">
        <ns0:is>
          <ns0:t>机制</ns0:t>
        </ns0:is>
      </ns0:c>
      <ns0:c r="D128" s="4" t="n">
        <ns0:v>1</ns0:v>
      </ns0:c>
      <ns0:c r="E128" s="4" t="n">
        <ns0:v>6</ns0:v>
      </ns0:c>
      <ns0:c r="F128" s="9" t="n">
        <ns0:v>129</ns0:v>
      </ns0:c>
      <ns0:c r="G128" s="9">
        <ns0:f>E128*F128</ns0:f>
        <ns0:v>774</ns0:v>
      </ns0:c>
      <ns0:c r="H128" s="9" t="n">
        <ns0:v>203</ns0:v>
      </ns0:c>
      <ns0:c r="I128" s="4" t="inlineStr">
        <ns0:is>
          <ns0:t>城限</ns0:t>
        </ns0:is>
      </ns0:c>
      <ns0:c r="J128" s="9">
        <ns0:f>G128-H128</ns0:f>
        <ns0:v>571</ns0:v>
      </ns0:c>
      <ns0:c r="K128" s="4" t="n">
        <ns0:v>7</ns0:v>
      </ns0:c>
      <ns0:c r="L128" s="4" t="n">
        <ns0:v>1500</ns0:v>
      </ns0:c>
      <ns0:c r="M128" s="4" t="n">
        <ns0:v>2000</ns0:v>
      </ns0:c>
      <ns0:c r="N128" s="4" t="n">
        <ns0:v>2500</ns0:v>
      </ns0:c>
      <ns0:c r="O128" s="9">
        <ns0:f>ROUND(L128/Assumptions!$B$2,0)</ns0:f>
        <ns0:v>208</ns0:v>
      </ns0:c>
      <ns0:c r="P128" s="9">
        <ns0:f>ROUND(M128/Assumptions!$B$2,0)</ns0:f>
        <ns0:v>278</ns0:v>
      </ns0:c>
      <ns0:c r="Q128" s="9">
        <ns0:f>ROUND(N128/Assumptions!$B$2,0)</ns0:f>
        <ns0:v>347</ns0:v>
      </ns0:c>
      <ns0:c r="R128" s="4">
        <ns0:f>COUNTIF(RawData[Script ID],A128)</ns0:f>
        <ns0:v>0</ns0:v>
      </ns0:c>
      <ns0:c r="S128" s="9">
        <ns0:f>SUMIF(RawData[Script ID],A128,RawData[Estimated Contribution])</ns0:f>
        <ns0:v>0.0</ns0:v>
      </ns0:c>
      <ns0:c r="T128" s="9">
        <ns0:f>S128-O128</ns0:f>
        <ns0:v>-208.0</ns0:v>
      </ns0:c>
      <ns0:c r="U128" s="9">
        <ns0:f>S128-P128</ns0:f>
        <ns0:v>-278.0</ns0:v>
      </ns0:c>
      <ns0:c r="V128" s="9">
        <ns0:f>S128-Q128</ns0:f>
        <ns0:v>-347.0</ns0:v>
      </ns0:c>
      <ns0:c r="W128" s="4" t="str">
        <ns0:f>IF(R128=0,"Not Opened",IF(V128&gt;=0,"Recovered - All Scenarios",IF(U128&gt;=0,"Recovered - Low &amp; Base",IF(T128&gt;=0,"Recovered - Low Only","Not Recovered"))))</ns0:f>
        <ns0:v>Not Opened</ns0:v>
      </ns0:c>
      <ns0:c r="X128" s="9">
        <ns0:f>IF(R128=0,0,S128/R128)</ns0:f>
        <ns0:v>0</ns0:v>
      </ns0:c>
      <ns0:c r="Y128" s="4">
        <ns0:f>R128</ns0:f>
        <ns0:v>0</ns0:v>
      </ns0:c>
      <ns0:c r="Z128" s="9" t="str">
        <ns0:f>IF(R128=0,"",S128/R128)</ns0:f>
        <ns0:v/>
      </ns0:c>
      <ns0:c r="AA128" s="4" t="str">
        <ns0:f>IF(R128=0,"Not Opened",IF(R128&gt;=Assumptions!$B$3,"High Frequency","Low Frequency")&amp;" / "&amp;IF(X128&gt;=Assumptions!$B$4,"High Contribution","Low Contribution"))</ns0:f>
        <ns0:v>Not Opened</ns0:v>
      </ns0:c>
    </ns0:row>
    <ns0:row r="129">
      <ns0:c r="A129" s="4" t="inlineStr">
        <ns0:is>
          <ns0:t>SYN-128</ns0:t>
        </ns0:is>
      </ns0:c>
      <ns0:c r="B129" s="4" t="inlineStr">
        <ns0:is>
          <ns0:t>Synthetic Script 128</ns0:t>
        </ns0:is>
      </ns0:c>
      <ns0:c r="C129" s="4" t="inlineStr">
        <ns0:is>
          <ns0:t>推理</ns0:t>
        </ns0:is>
      </ns0:c>
      <ns0:c r="D129" s="4" t="n">
        <ns0:v>1</ns0:v>
      </ns0:c>
      <ns0:c r="E129" s="4" t="n">
        <ns0:v>6</ns0:v>
      </ns0:c>
      <ns0:c r="F129" s="9" t="n">
        <ns0:v>119</ns0:v>
      </ns0:c>
      <ns0:c r="G129" s="9">
        <ns0:f>E129*F129</ns0:f>
        <ns0:v>714</ns0:v>
      </ns0:c>
      <ns0:c r="H129" s="9" t="n">
        <ns0:v>187</ns0:v>
      </ns0:c>
      <ns0:c r="I129" s="4" t="inlineStr">
        <ns0:is>
          <ns0:t>盒装</ns0:t>
        </ns0:is>
      </ns0:c>
      <ns0:c r="J129" s="9">
        <ns0:f>G129-H129</ns0:f>
        <ns0:v>527</ns0:v>
      </ns0:c>
      <ns0:c r="K129" s="4" t="n">
        <ns0:v>7.7</ns0:v>
      </ns0:c>
      <ns0:c r="L129" s="4" t="n">
        <ns0:v>0</ns0:v>
      </ns0:c>
      <ns0:c r="M129" s="4" t="n">
        <ns0:v>750</ns0:v>
      </ns0:c>
      <ns0:c r="N129" s="4" t="n">
        <ns0:v>1000</ns0:v>
      </ns0:c>
      <ns0:c r="O129" s="9">
        <ns0:f>ROUND(L129/Assumptions!$B$2,0)</ns0:f>
        <ns0:v>0</ns0:v>
      </ns0:c>
      <ns0:c r="P129" s="9">
        <ns0:f>ROUND(M129/Assumptions!$B$2,0)</ns0:f>
        <ns0:v>104</ns0:v>
      </ns0:c>
      <ns0:c r="Q129" s="9">
        <ns0:f>ROUND(N129/Assumptions!$B$2,0)</ns0:f>
        <ns0:v>139</ns0:v>
      </ns0:c>
      <ns0:c r="R129" s="4">
        <ns0:f>COUNTIF(RawData[Script ID],A129)</ns0:f>
        <ns0:v>2</ns0:v>
      </ns0:c>
      <ns0:c r="S129" s="9">
        <ns0:f>SUMIF(RawData[Script ID],A129,RawData[Estimated Contribution])</ns0:f>
        <ns0:v>1054.0</ns0:v>
      </ns0:c>
      <ns0:c r="T129" s="9">
        <ns0:f>S129-O129</ns0:f>
        <ns0:v>1054.0</ns0:v>
      </ns0:c>
      <ns0:c r="U129" s="9">
        <ns0:f>S129-P129</ns0:f>
        <ns0:v>950.0</ns0:v>
      </ns0:c>
      <ns0:c r="V129" s="9">
        <ns0:f>S129-Q129</ns0:f>
        <ns0:v>915.0</ns0:v>
      </ns0:c>
      <ns0:c r="W129" s="4" t="str">
        <ns0:f>IF(R129=0,"Not Opened",IF(V129&gt;=0,"Recovered - All Scenarios",IF(U129&gt;=0,"Recovered - Low &amp; Base",IF(T129&gt;=0,"Recovered - Low Only","Not Recovered"))))</ns0:f>
        <ns0:v>Recovered - All Scenarios</ns0:v>
      </ns0:c>
      <ns0:c r="X129" s="9">
        <ns0:f>IF(R129=0,0,S129/R129)</ns0:f>
        <ns0:v>527.0</ns0:v>
      </ns0:c>
      <ns0:c r="Y129" s="4">
        <ns0:f>R129</ns0:f>
        <ns0:v>2</ns0:v>
      </ns0:c>
      <ns0:c r="Z129" s="9">
        <ns0:f>IF(R129=0,"",S129/R129)</ns0:f>
        <ns0:v>527.0</ns0:v>
      </ns0:c>
      <ns0:c r="AA129" s="4" t="str">
        <ns0:f>IF(R129=0,"Not Opened",IF(R129&gt;=Assumptions!$B$3,"High Frequency","Low Frequency")&amp;" / "&amp;IF(X129&gt;=Assumptions!$B$4,"High Contribution","Low Contribution"))</ns0:f>
        <ns0:v>High Frequency / High Contribution</ns0:v>
      </ns0:c>
    </ns0:row>
    <ns0:row r="130">
      <ns0:c r="A130" s="4" t="inlineStr">
        <ns0:is>
          <ns0:t>SYN-129</ns0:t>
        </ns0:is>
      </ns0:c>
      <ns0:c r="B130" s="4" t="inlineStr">
        <ns0:is>
          <ns0:t>Synthetic Script 129</ns0:t>
        </ns0:is>
      </ns0:c>
      <ns0:c r="C130" s="4" t="inlineStr">
        <ns0:is>
          <ns0:t>欢乐</ns0:t>
        </ns0:is>
      </ns0:c>
      <ns0:c r="D130" s="4" t="n">
        <ns0:v>3</ns0:v>
      </ns0:c>
      <ns0:c r="E130" s="4" t="n">
        <ns0:v>7</ns0:v>
      </ns0:c>
      <ns0:c r="F130" s="9" t="n">
        <ns0:v>95</ns0:v>
      </ns0:c>
      <ns0:c r="G130" s="9">
        <ns0:f>E130*F130</ns0:f>
        <ns0:v>665</ns0:v>
      </ns0:c>
      <ns0:c r="H130" s="9" t="n">
        <ns0:v>175</ns0:v>
      </ns0:c>
      <ns0:c r="I130" s="4" t="inlineStr">
        <ns0:is>
          <ns0:t>独家</ns0:t>
        </ns0:is>
      </ns0:c>
      <ns0:c r="J130" s="9">
        <ns0:f>G130-H130</ns0:f>
        <ns0:v>490</ns0:v>
      </ns0:c>
      <ns0:c r="K130" s="4" t="n">
        <ns0:v>8.4</ns0:v>
      </ns0:c>
      <ns0:c r="L130" s="4" t="n">
        <ns0:v>2500</ns0:v>
      </ns0:c>
      <ns0:c r="M130" s="4" t="n">
        <ns0:v>3000</ns0:v>
      </ns0:c>
      <ns0:c r="N130" s="4" t="n">
        <ns0:v>3500</ns0:v>
      </ns0:c>
      <ns0:c r="O130" s="9">
        <ns0:f>ROUND(L130/Assumptions!$B$2,0)</ns0:f>
        <ns0:v>347</ns0:v>
      </ns0:c>
      <ns0:c r="P130" s="9">
        <ns0:f>ROUND(M130/Assumptions!$B$2,0)</ns0:f>
        <ns0:v>417</ns0:v>
      </ns0:c>
      <ns0:c r="Q130" s="9">
        <ns0:f>ROUND(N130/Assumptions!$B$2,0)</ns0:f>
        <ns0:v>486</ns0:v>
      </ns0:c>
      <ns0:c r="R130" s="4">
        <ns0:f>COUNTIF(RawData[Script ID],A130)</ns0:f>
        <ns0:v>4</ns0:v>
      </ns0:c>
      <ns0:c r="S130" s="9">
        <ns0:f>SUMIF(RawData[Script ID],A130,RawData[Estimated Contribution])</ns0:f>
        <ns0:v>1960.0</ns0:v>
      </ns0:c>
      <ns0:c r="T130" s="9">
        <ns0:f>S130-O130</ns0:f>
        <ns0:v>1613.0</ns0:v>
      </ns0:c>
      <ns0:c r="U130" s="9">
        <ns0:f>S130-P130</ns0:f>
        <ns0:v>1543.0</ns0:v>
      </ns0:c>
      <ns0:c r="V130" s="9">
        <ns0:f>S130-Q130</ns0:f>
        <ns0:v>1474.0</ns0:v>
      </ns0:c>
      <ns0:c r="W130" s="4" t="str">
        <ns0:f>IF(R130=0,"Not Opened",IF(V130&gt;=0,"Recovered - All Scenarios",IF(U130&gt;=0,"Recovered - Low &amp; Base",IF(T130&gt;=0,"Recovered - Low Only","Not Recovered"))))</ns0:f>
        <ns0:v>Recovered - All Scenarios</ns0:v>
      </ns0:c>
      <ns0:c r="X130" s="9">
        <ns0:f>IF(R130=0,0,S130/R130)</ns0:f>
        <ns0:v>490.0</ns0:v>
      </ns0:c>
      <ns0:c r="Y130" s="4">
        <ns0:f>R130</ns0:f>
        <ns0:v>4</ns0:v>
      </ns0:c>
      <ns0:c r="Z130" s="9">
        <ns0:f>IF(R130=0,"",S130/R130)</ns0:f>
        <ns0:v>490.0</ns0:v>
      </ns0:c>
      <ns0:c r="AA130" s="4" t="str">
        <ns0:f>IF(R130=0,"Not Opened",IF(R130&gt;=Assumptions!$B$3,"High Frequency","Low Frequency")&amp;" / "&amp;IF(X130&gt;=Assumptions!$B$4,"High Contribution","Low Contribution"))</ns0:f>
        <ns0:v>High Frequency / High Contribution</ns0:v>
      </ns0:c>
    </ns0:row>
    <ns0:row r="131">
      <ns0:c r="A131" s="4" t="inlineStr">
        <ns0:is>
          <ns0:t>SYN-130</ns0:t>
        </ns0:is>
      </ns0:c>
      <ns0:c r="B131" s="4" t="inlineStr">
        <ns0:is>
          <ns0:t>Synthetic Script 130</ns0:t>
        </ns0:is>
      </ns0:c>
      <ns0:c r="C131" s="4" t="inlineStr">
        <ns0:is>
          <ns0:t>情感</ns0:t>
        </ns0:is>
      </ns0:c>
      <ns0:c r="D131" s="4" t="n">
        <ns0:v>6</ns0:v>
      </ns0:c>
      <ns0:c r="E131" s="4" t="n">
        <ns0:v>8</ns0:v>
      </ns0:c>
      <ns0:c r="F131" s="9" t="n">
        <ns0:v>109</ns0:v>
      </ns0:c>
      <ns0:c r="G131" s="9">
        <ns0:f>E131*F131</ns0:f>
        <ns0:v>872</ns0:v>
      </ns0:c>
      <ns0:c r="H131" s="9" t="n">
        <ns0:v>540</ns0:v>
      </ns0:c>
      <ns0:c r="I131" s="4" t="inlineStr">
        <ns0:is>
          <ns0:t>盒装</ns0:t>
        </ns0:is>
      </ns0:c>
      <ns0:c r="J131" s="9">
        <ns0:f>G131-H131</ns0:f>
        <ns0:v>332</ns0:v>
      </ns0:c>
      <ns0:c r="K131" s="4" t="n">
        <ns0:v>7</ns0:v>
      </ns0:c>
      <ns0:c r="L131" s="4" t="n">
        <ns0:v>0</ns0:v>
      </ns0:c>
      <ns0:c r="M131" s="4" t="n">
        <ns0:v>750</ns0:v>
      </ns0:c>
      <ns0:c r="N131" s="4" t="n">
        <ns0:v>1000</ns0:v>
      </ns0:c>
      <ns0:c r="O131" s="9">
        <ns0:f>ROUND(L131/Assumptions!$B$2,0)</ns0:f>
        <ns0:v>0</ns0:v>
      </ns0:c>
      <ns0:c r="P131" s="9">
        <ns0:f>ROUND(M131/Assumptions!$B$2,0)</ns0:f>
        <ns0:v>104</ns0:v>
      </ns0:c>
      <ns0:c r="Q131" s="9">
        <ns0:f>ROUND(N131/Assumptions!$B$2,0)</ns0:f>
        <ns0:v>139</ns0:v>
      </ns0:c>
      <ns0:c r="R131" s="4">
        <ns0:f>COUNTIF(RawData[Script ID],A131)</ns0:f>
        <ns0:v>1</ns0:v>
      </ns0:c>
      <ns0:c r="S131" s="9">
        <ns0:f>SUMIF(RawData[Script ID],A131,RawData[Estimated Contribution])</ns0:f>
        <ns0:v>332.0</ns0:v>
      </ns0:c>
      <ns0:c r="T131" s="9">
        <ns0:f>S131-O131</ns0:f>
        <ns0:v>332.0</ns0:v>
      </ns0:c>
      <ns0:c r="U131" s="9">
        <ns0:f>S131-P131</ns0:f>
        <ns0:v>228.0</ns0:v>
      </ns0:c>
      <ns0:c r="V131" s="9">
        <ns0:f>S131-Q131</ns0:f>
        <ns0:v>193.0</ns0:v>
      </ns0:c>
      <ns0:c r="W131" s="4" t="str">
        <ns0:f>IF(R131=0,"Not Opened",IF(V131&gt;=0,"Recovered - All Scenarios",IF(U131&gt;=0,"Recovered - Low &amp; Base",IF(T131&gt;=0,"Recovered - Low Only","Not Recovered"))))</ns0:f>
        <ns0:v>Recovered - All Scenarios</ns0:v>
      </ns0:c>
      <ns0:c r="X131" s="9">
        <ns0:f>IF(R131=0,0,S131/R131)</ns0:f>
        <ns0:v>332.0</ns0:v>
      </ns0:c>
      <ns0:c r="Y131" s="4">
        <ns0:f>R131</ns0:f>
        <ns0:v>1</ns0:v>
      </ns0:c>
      <ns0:c r="Z131" s="9">
        <ns0:f>IF(R131=0,"",S131/R131)</ns0:f>
        <ns0:v>332.0</ns0:v>
      </ns0:c>
      <ns0:c r="AA131" s="4" t="str">
        <ns0:f>IF(R131=0,"Not Opened",IF(R131&gt;=Assumptions!$B$3,"High Frequency","Low Frequency")&amp;" / "&amp;IF(X131&gt;=Assumptions!$B$4,"High Contribution","Low Contribution"))</ns0:f>
        <ns0:v>Low Frequency / Low Contribution</ns0:v>
      </ns0:c>
    </ns0:row>
    <ns0:row r="132">
      <ns0:c r="A132" s="4" t="inlineStr">
        <ns0:is>
          <ns0:t>SYN-131</ns0:t>
        </ns0:is>
      </ns0:c>
      <ns0:c r="B132" s="4" t="inlineStr">
        <ns0:is>
          <ns0:t>Synthetic Script 131</ns0:t>
        </ns0:is>
      </ns0:c>
      <ns0:c r="C132" s="4" t="inlineStr">
        <ns0:is>
          <ns0:t>情感</ns0:t>
        </ns0:is>
      </ns0:c>
      <ns0:c r="D132" s="4" t="n">
        <ns0:v>2</ns0:v>
      </ns0:c>
      <ns0:c r="E132" s="4" t="n">
        <ns0:v>6</ns0:v>
      </ns0:c>
      <ns0:c r="F132" s="9" t="n">
        <ns0:v>118</ns0:v>
      </ns0:c>
      <ns0:c r="G132" s="9">
        <ns0:f>E132*F132</ns0:f>
        <ns0:v>708</ns0:v>
      </ns0:c>
      <ns0:c r="H132" s="9" t="n">
        <ns0:v>180</ns0:v>
      </ns0:c>
      <ns0:c r="I132" s="4" t="inlineStr">
        <ns0:is>
          <ns0:t>盒装</ns0:t>
        </ns0:is>
      </ns0:c>
      <ns0:c r="J132" s="9">
        <ns0:f>G132-H132</ns0:f>
        <ns0:v>528</ns0:v>
      </ns0:c>
      <ns0:c r="K132" s="4" t="n">
        <ns0:v>7.7</ns0:v>
      </ns0:c>
      <ns0:c r="L132" s="4" t="n">
        <ns0:v>0</ns0:v>
      </ns0:c>
      <ns0:c r="M132" s="4" t="n">
        <ns0:v>750</ns0:v>
      </ns0:c>
      <ns0:c r="N132" s="4" t="n">
        <ns0:v>1000</ns0:v>
      </ns0:c>
      <ns0:c r="O132" s="9">
        <ns0:f>ROUND(L132/Assumptions!$B$2,0)</ns0:f>
        <ns0:v>0</ns0:v>
      </ns0:c>
      <ns0:c r="P132" s="9">
        <ns0:f>ROUND(M132/Assumptions!$B$2,0)</ns0:f>
        <ns0:v>104</ns0:v>
      </ns0:c>
      <ns0:c r="Q132" s="9">
        <ns0:f>ROUND(N132/Assumptions!$B$2,0)</ns0:f>
        <ns0:v>139</ns0:v>
      </ns0:c>
      <ns0:c r="R132" s="4">
        <ns0:f>COUNTIF(RawData[Script ID],A132)</ns0:f>
        <ns0:v>2</ns0:v>
      </ns0:c>
      <ns0:c r="S132" s="9">
        <ns0:f>SUMIF(RawData[Script ID],A132,RawData[Estimated Contribution])</ns0:f>
        <ns0:v>1056.0</ns0:v>
      </ns0:c>
      <ns0:c r="T132" s="9">
        <ns0:f>S132-O132</ns0:f>
        <ns0:v>1056.0</ns0:v>
      </ns0:c>
      <ns0:c r="U132" s="9">
        <ns0:f>S132-P132</ns0:f>
        <ns0:v>952.0</ns0:v>
      </ns0:c>
      <ns0:c r="V132" s="9">
        <ns0:f>S132-Q132</ns0:f>
        <ns0:v>917.0</ns0:v>
      </ns0:c>
      <ns0:c r="W132" s="4" t="str">
        <ns0:f>IF(R132=0,"Not Opened",IF(V132&gt;=0,"Recovered - All Scenarios",IF(U132&gt;=0,"Recovered - Low &amp; Base",IF(T132&gt;=0,"Recovered - Low Only","Not Recovered"))))</ns0:f>
        <ns0:v>Recovered - All Scenarios</ns0:v>
      </ns0:c>
      <ns0:c r="X132" s="9">
        <ns0:f>IF(R132=0,0,S132/R132)</ns0:f>
        <ns0:v>528.0</ns0:v>
      </ns0:c>
      <ns0:c r="Y132" s="4">
        <ns0:f>R132</ns0:f>
        <ns0:v>2</ns0:v>
      </ns0:c>
      <ns0:c r="Z132" s="9">
        <ns0:f>IF(R132=0,"",S132/R132)</ns0:f>
        <ns0:v>528.0</ns0:v>
      </ns0:c>
      <ns0:c r="AA132" s="4" t="str">
        <ns0:f>IF(R132=0,"Not Opened",IF(R132&gt;=Assumptions!$B$3,"High Frequency","Low Frequency")&amp;" / "&amp;IF(X132&gt;=Assumptions!$B$4,"High Contribution","Low Contribution"))</ns0:f>
        <ns0:v>High Frequency / High Contribution</ns0:v>
      </ns0:c>
    </ns0:row>
    <ns0:row r="133">
      <ns0:c r="A133" s="4" t="inlineStr">
        <ns0:is>
          <ns0:t>SYN-132</ns0:t>
        </ns0:is>
      </ns0:c>
      <ns0:c r="B133" s="4" t="inlineStr">
        <ns0:is>
          <ns0:t>Synthetic Script 132</ns0:t>
        </ns0:is>
      </ns0:c>
      <ns0:c r="C133" s="4" t="inlineStr">
        <ns0:is>
          <ns0:t>推理</ns0:t>
        </ns0:is>
      </ns0:c>
      <ns0:c r="D133" s="4" t="n">
        <ns0:v>1</ns0:v>
      </ns0:c>
      <ns0:c r="E133" s="4" t="n">
        <ns0:v>6</ns0:v>
      </ns0:c>
      <ns0:c r="F133" s="9" t="n">
        <ns0:v>119</ns0:v>
      </ns0:c>
      <ns0:c r="G133" s="9">
        <ns0:f>E133*F133</ns0:f>
        <ns0:v>714</ns0:v>
      </ns0:c>
      <ns0:c r="H133" s="9" t="n">
        <ns0:v>187</ns0:v>
      </ns0:c>
      <ns0:c r="I133" s="4" t="inlineStr">
        <ns0:is>
          <ns0:t>城限</ns0:t>
        </ns0:is>
      </ns0:c>
      <ns0:c r="J133" s="9">
        <ns0:f>G133-H133</ns0:f>
        <ns0:v>527</ns0:v>
      </ns0:c>
      <ns0:c r="K133" s="4" t="n">
        <ns0:v>8.4</ns0:v>
      </ns0:c>
      <ns0:c r="L133" s="4" t="n">
        <ns0:v>1500</ns0:v>
      </ns0:c>
      <ns0:c r="M133" s="4" t="n">
        <ns0:v>2000</ns0:v>
      </ns0:c>
      <ns0:c r="N133" s="4" t="n">
        <ns0:v>2500</ns0:v>
      </ns0:c>
      <ns0:c r="O133" s="9">
        <ns0:f>ROUND(L133/Assumptions!$B$2,0)</ns0:f>
        <ns0:v>208</ns0:v>
      </ns0:c>
      <ns0:c r="P133" s="9">
        <ns0:f>ROUND(M133/Assumptions!$B$2,0)</ns0:f>
        <ns0:v>278</ns0:v>
      </ns0:c>
      <ns0:c r="Q133" s="9">
        <ns0:f>ROUND(N133/Assumptions!$B$2,0)</ns0:f>
        <ns0:v>347</ns0:v>
      </ns0:c>
      <ns0:c r="R133" s="4">
        <ns0:f>COUNTIF(RawData[Script ID],A133)</ns0:f>
        <ns0:v>5</ns0:v>
      </ns0:c>
      <ns0:c r="S133" s="9">
        <ns0:f>SUMIF(RawData[Script ID],A133,RawData[Estimated Contribution])</ns0:f>
        <ns0:v>2635.0</ns0:v>
      </ns0:c>
      <ns0:c r="T133" s="9">
        <ns0:f>S133-O133</ns0:f>
        <ns0:v>2427.0</ns0:v>
      </ns0:c>
      <ns0:c r="U133" s="9">
        <ns0:f>S133-P133</ns0:f>
        <ns0:v>2357.0</ns0:v>
      </ns0:c>
      <ns0:c r="V133" s="9">
        <ns0:f>S133-Q133</ns0:f>
        <ns0:v>2288.0</ns0:v>
      </ns0:c>
      <ns0:c r="W133" s="4" t="str">
        <ns0:f>IF(R133=0,"Not Opened",IF(V133&gt;=0,"Recovered - All Scenarios",IF(U133&gt;=0,"Recovered - Low &amp; Base",IF(T133&gt;=0,"Recovered - Low Only","Not Recovered"))))</ns0:f>
        <ns0:v>Recovered - All Scenarios</ns0:v>
      </ns0:c>
      <ns0:c r="X133" s="9">
        <ns0:f>IF(R133=0,0,S133/R133)</ns0:f>
        <ns0:v>527.0</ns0:v>
      </ns0:c>
      <ns0:c r="Y133" s="4">
        <ns0:f>R133</ns0:f>
        <ns0:v>5</ns0:v>
      </ns0:c>
      <ns0:c r="Z133" s="9">
        <ns0:f>IF(R133=0,"",S133/R133)</ns0:f>
        <ns0:v>527.0</ns0:v>
      </ns0:c>
      <ns0:c r="AA133" s="4" t="str">
        <ns0:f>IF(R133=0,"Not Opened",IF(R133&gt;=Assumptions!$B$3,"High Frequency","Low Frequency")&amp;" / "&amp;IF(X133&gt;=Assumptions!$B$4,"High Contribution","Low Contribution"))</ns0:f>
        <ns0:v>High Frequency / High Contribution</ns0:v>
      </ns0:c>
    </ns0:row>
    <ns0:row r="134">
      <ns0:c r="A134" s="4" t="inlineStr">
        <ns0:is>
          <ns0:t>SYN-133</ns0:t>
        </ns0:is>
      </ns0:c>
      <ns0:c r="B134" s="4" t="inlineStr">
        <ns0:is>
          <ns0:t>Synthetic Script 133</ns0:t>
        </ns0:is>
      </ns0:c>
      <ns0:c r="C134" s="4" t="inlineStr">
        <ns0:is>
          <ns0:t>情感</ns0:t>
        </ns0:is>
      </ns0:c>
      <ns0:c r="D134" s="4" t="n">
        <ns0:v>3</ns0:v>
      </ns0:c>
      <ns0:c r="E134" s="4" t="n">
        <ns0:v>6</ns0:v>
      </ns0:c>
      <ns0:c r="F134" s="9" t="n">
        <ns0:v>99</ns0:v>
      </ns0:c>
      <ns0:c r="G134" s="9">
        <ns0:f>E134*F134</ns0:f>
        <ns0:v>594</ns0:v>
      </ns0:c>
      <ns0:c r="H134" s="9" t="n">
        <ns0:v>270</ns0:v>
      </ns0:c>
      <ns0:c r="I134" s="4" t="inlineStr">
        <ns0:is>
          <ns0:t>盒装</ns0:t>
        </ns0:is>
      </ns0:c>
      <ns0:c r="J134" s="9">
        <ns0:f>G134-H134</ns0:f>
        <ns0:v>324</ns0:v>
      </ns0:c>
      <ns0:c r="K134" s="4" t="n">
        <ns0:v>7</ns0:v>
      </ns0:c>
      <ns0:c r="L134" s="4" t="n">
        <ns0:v>0</ns0:v>
      </ns0:c>
      <ns0:c r="M134" s="4" t="n">
        <ns0:v>750</ns0:v>
      </ns0:c>
      <ns0:c r="N134" s="4" t="n">
        <ns0:v>1000</ns0:v>
      </ns0:c>
      <ns0:c r="O134" s="9">
        <ns0:f>ROUND(L134/Assumptions!$B$2,0)</ns0:f>
        <ns0:v>0</ns0:v>
      </ns0:c>
      <ns0:c r="P134" s="9">
        <ns0:f>ROUND(M134/Assumptions!$B$2,0)</ns0:f>
        <ns0:v>104</ns0:v>
      </ns0:c>
      <ns0:c r="Q134" s="9">
        <ns0:f>ROUND(N134/Assumptions!$B$2,0)</ns0:f>
        <ns0:v>139</ns0:v>
      </ns0:c>
      <ns0:c r="R134" s="4">
        <ns0:f>COUNTIF(RawData[Script ID],A134)</ns0:f>
        <ns0:v>1</ns0:v>
      </ns0:c>
      <ns0:c r="S134" s="9">
        <ns0:f>SUMIF(RawData[Script ID],A134,RawData[Estimated Contribution])</ns0:f>
        <ns0:v>324.0</ns0:v>
      </ns0:c>
      <ns0:c r="T134" s="9">
        <ns0:f>S134-O134</ns0:f>
        <ns0:v>324.0</ns0:v>
      </ns0:c>
      <ns0:c r="U134" s="9">
        <ns0:f>S134-P134</ns0:f>
        <ns0:v>220.0</ns0:v>
      </ns0:c>
      <ns0:c r="V134" s="9">
        <ns0:f>S134-Q134</ns0:f>
        <ns0:v>185.0</ns0:v>
      </ns0:c>
      <ns0:c r="W134" s="4" t="str">
        <ns0:f>IF(R134=0,"Not Opened",IF(V134&gt;=0,"Recovered - All Scenarios",IF(U134&gt;=0,"Recovered - Low &amp; Base",IF(T134&gt;=0,"Recovered - Low Only","Not Recovered"))))</ns0:f>
        <ns0:v>Recovered - All Scenarios</ns0:v>
      </ns0:c>
      <ns0:c r="X134" s="9">
        <ns0:f>IF(R134=0,0,S134/R134)</ns0:f>
        <ns0:v>324.0</ns0:v>
      </ns0:c>
      <ns0:c r="Y134" s="4">
        <ns0:f>R134</ns0:f>
        <ns0:v>1</ns0:v>
      </ns0:c>
      <ns0:c r="Z134" s="9">
        <ns0:f>IF(R134=0,"",S134/R134)</ns0:f>
        <ns0:v>324.0</ns0:v>
      </ns0:c>
      <ns0:c r="AA134" s="4" t="str">
        <ns0:f>IF(R134=0,"Not Opened",IF(R134&gt;=Assumptions!$B$3,"High Frequency","Low Frequency")&amp;" / "&amp;IF(X134&gt;=Assumptions!$B$4,"High Contribution","Low Contribution"))</ns0:f>
        <ns0:v>Low Frequency / Low Contribution</ns0:v>
      </ns0:c>
    </ns0:row>
    <ns0:row r="135">
      <ns0:c r="A135" s="4" t="inlineStr">
        <ns0:is>
          <ns0:t>SYN-134</ns0:t>
        </ns0:is>
      </ns0:c>
      <ns0:c r="B135" s="4" t="inlineStr">
        <ns0:is>
          <ns0:t>Synthetic Script 134</ns0:t>
        </ns0:is>
      </ns0:c>
      <ns0:c r="C135" s="4" t="inlineStr">
        <ns0:is>
          <ns0:t>欢乐</ns0:t>
        </ns0:is>
      </ns0:c>
      <ns0:c r="D135" s="4" t="n">
        <ns0:v>3</ns0:v>
      </ns0:c>
      <ns0:c r="E135" s="4" t="n">
        <ns0:v>7</ns0:v>
      </ns0:c>
      <ns0:c r="F135" s="9" t="n">
        <ns0:v>109</ns0:v>
      </ns0:c>
      <ns0:c r="G135" s="9">
        <ns0:f>E135*F135</ns0:f>
        <ns0:v>763</ns0:v>
      </ns0:c>
      <ns0:c r="H135" s="9" t="n">
        <ns0:v>200</ns0:v>
      </ns0:c>
      <ns0:c r="I135" s="4" t="inlineStr">
        <ns0:is>
          <ns0:t>独家</ns0:t>
        </ns0:is>
      </ns0:c>
      <ns0:c r="J135" s="9">
        <ns0:f>G135-H135</ns0:f>
        <ns0:v>563</ns0:v>
      </ns0:c>
      <ns0:c r="K135" s="4" t="n">
        <ns0:v>7.7</ns0:v>
      </ns0:c>
      <ns0:c r="L135" s="4" t="n">
        <ns0:v>2500</ns0:v>
      </ns0:c>
      <ns0:c r="M135" s="4" t="n">
        <ns0:v>3000</ns0:v>
      </ns0:c>
      <ns0:c r="N135" s="4" t="n">
        <ns0:v>3500</ns0:v>
      </ns0:c>
      <ns0:c r="O135" s="9">
        <ns0:f>ROUND(L135/Assumptions!$B$2,0)</ns0:f>
        <ns0:v>347</ns0:v>
      </ns0:c>
      <ns0:c r="P135" s="9">
        <ns0:f>ROUND(M135/Assumptions!$B$2,0)</ns0:f>
        <ns0:v>417</ns0:v>
      </ns0:c>
      <ns0:c r="Q135" s="9">
        <ns0:f>ROUND(N135/Assumptions!$B$2,0)</ns0:f>
        <ns0:v>486</ns0:v>
      </ns0:c>
      <ns0:c r="R135" s="4">
        <ns0:f>COUNTIF(RawData[Script ID],A135)</ns0:f>
        <ns0:v>2</ns0:v>
      </ns0:c>
      <ns0:c r="S135" s="9">
        <ns0:f>SUMIF(RawData[Script ID],A135,RawData[Estimated Contribution])</ns0:f>
        <ns0:v>1126.0</ns0:v>
      </ns0:c>
      <ns0:c r="T135" s="9">
        <ns0:f>S135-O135</ns0:f>
        <ns0:v>779.0</ns0:v>
      </ns0:c>
      <ns0:c r="U135" s="9">
        <ns0:f>S135-P135</ns0:f>
        <ns0:v>709.0</ns0:v>
      </ns0:c>
      <ns0:c r="V135" s="9">
        <ns0:f>S135-Q135</ns0:f>
        <ns0:v>640.0</ns0:v>
      </ns0:c>
      <ns0:c r="W135" s="4" t="str">
        <ns0:f>IF(R135=0,"Not Opened",IF(V135&gt;=0,"Recovered - All Scenarios",IF(U135&gt;=0,"Recovered - Low &amp; Base",IF(T135&gt;=0,"Recovered - Low Only","Not Recovered"))))</ns0:f>
        <ns0:v>Recovered - All Scenarios</ns0:v>
      </ns0:c>
      <ns0:c r="X135" s="9">
        <ns0:f>IF(R135=0,0,S135/R135)</ns0:f>
        <ns0:v>563.0</ns0:v>
      </ns0:c>
      <ns0:c r="Y135" s="4">
        <ns0:f>R135</ns0:f>
        <ns0:v>2</ns0:v>
      </ns0:c>
      <ns0:c r="Z135" s="9">
        <ns0:f>IF(R135=0,"",S135/R135)</ns0:f>
        <ns0:v>563.0</ns0:v>
      </ns0:c>
      <ns0:c r="AA135" s="4" t="str">
        <ns0:f>IF(R135=0,"Not Opened",IF(R135&gt;=Assumptions!$B$3,"High Frequency","Low Frequency")&amp;" / "&amp;IF(X135&gt;=Assumptions!$B$4,"High Contribution","Low Contribution"))</ns0:f>
        <ns0:v>High Frequency / High Contribution</ns0:v>
      </ns0:c>
    </ns0:row>
    <ns0:row r="136">
      <ns0:c r="A136" s="4" t="inlineStr">
        <ns0:is>
          <ns0:t>SYN-135</ns0:t>
        </ns0:is>
      </ns0:c>
      <ns0:c r="B136" s="4" t="inlineStr">
        <ns0:is>
          <ns0:t>Synthetic Script 135</ns0:t>
        </ns0:is>
      </ns0:c>
      <ns0:c r="C136" s="4" t="inlineStr">
        <ns0:is>
          <ns0:t>推理</ns0:t>
        </ns0:is>
      </ns0:c>
      <ns0:c r="D136" s="4" t="n">
        <ns0:v>2</ns0:v>
      </ns0:c>
      <ns0:c r="E136" s="4" t="n">
        <ns0:v>8</ns0:v>
      </ns0:c>
      <ns0:c r="F136" s="9" t="n">
        <ns0:v>95</ns0:v>
      </ns0:c>
      <ns0:c r="G136" s="9">
        <ns0:f>E136*F136</ns0:f>
        <ns0:v>760</ns0:v>
      </ns0:c>
      <ns0:c r="H136" s="9" t="n">
        <ns0:v>200</ns0:v>
      </ns0:c>
      <ns0:c r="I136" s="4" t="inlineStr">
        <ns0:is>
          <ns0:t>城限</ns0:t>
        </ns0:is>
      </ns0:c>
      <ns0:c r="J136" s="9">
        <ns0:f>G136-H136</ns0:f>
        <ns0:v>560</ns0:v>
      </ns0:c>
      <ns0:c r="K136" s="4" t="n">
        <ns0:v>8.4</ns0:v>
      </ns0:c>
      <ns0:c r="L136" s="4" t="n">
        <ns0:v>1500</ns0:v>
      </ns0:c>
      <ns0:c r="M136" s="4" t="n">
        <ns0:v>2000</ns0:v>
      </ns0:c>
      <ns0:c r="N136" s="4" t="n">
        <ns0:v>2500</ns0:v>
      </ns0:c>
      <ns0:c r="O136" s="9">
        <ns0:f>ROUND(L136/Assumptions!$B$2,0)</ns0:f>
        <ns0:v>208</ns0:v>
      </ns0:c>
      <ns0:c r="P136" s="9">
        <ns0:f>ROUND(M136/Assumptions!$B$2,0)</ns0:f>
        <ns0:v>278</ns0:v>
      </ns0:c>
      <ns0:c r="Q136" s="9">
        <ns0:f>ROUND(N136/Assumptions!$B$2,0)</ns0:f>
        <ns0:v>347</ns0:v>
      </ns0:c>
      <ns0:c r="R136" s="4">
        <ns0:f>COUNTIF(RawData[Script ID],A136)</ns0:f>
        <ns0:v>7</ns0:v>
      </ns0:c>
      <ns0:c r="S136" s="9">
        <ns0:f>SUMIF(RawData[Script ID],A136,RawData[Estimated Contribution])</ns0:f>
        <ns0:v>3920.0</ns0:v>
      </ns0:c>
      <ns0:c r="T136" s="9">
        <ns0:f>S136-O136</ns0:f>
        <ns0:v>3712.0</ns0:v>
      </ns0:c>
      <ns0:c r="U136" s="9">
        <ns0:f>S136-P136</ns0:f>
        <ns0:v>3642.0</ns0:v>
      </ns0:c>
      <ns0:c r="V136" s="9">
        <ns0:f>S136-Q136</ns0:f>
        <ns0:v>3573.0</ns0:v>
      </ns0:c>
      <ns0:c r="W136" s="4" t="str">
        <ns0:f>IF(R136=0,"Not Opened",IF(V136&gt;=0,"Recovered - All Scenarios",IF(U136&gt;=0,"Recovered - Low &amp; Base",IF(T136&gt;=0,"Recovered - Low Only","Not Recovered"))))</ns0:f>
        <ns0:v>Recovered - All Scenarios</ns0:v>
      </ns0:c>
      <ns0:c r="X136" s="9">
        <ns0:f>IF(R136=0,0,S136/R136)</ns0:f>
        <ns0:v>560.0</ns0:v>
      </ns0:c>
      <ns0:c r="Y136" s="4">
        <ns0:f>R136</ns0:f>
        <ns0:v>7</ns0:v>
      </ns0:c>
      <ns0:c r="Z136" s="9">
        <ns0:f>IF(R136=0,"",S136/R136)</ns0:f>
        <ns0:v>560.0</ns0:v>
      </ns0:c>
      <ns0:c r="AA136" s="4" t="str">
        <ns0:f>IF(R136=0,"Not Opened",IF(R136&gt;=Assumptions!$B$3,"High Frequency","Low Frequency")&amp;" / "&amp;IF(X136&gt;=Assumptions!$B$4,"High Contribution","Low Contribution"))</ns0:f>
        <ns0:v>High Frequency / High Contribution</ns0:v>
      </ns0:c>
    </ns0:row>
    <ns0:row r="137">
      <ns0:c r="A137" s="4" t="inlineStr">
        <ns0:is>
          <ns0:t>SYN-136</ns0:t>
        </ns0:is>
      </ns0:c>
      <ns0:c r="B137" s="4" t="inlineStr">
        <ns0:is>
          <ns0:t>Synthetic Script 136</ns0:t>
        </ns0:is>
      </ns0:c>
      <ns0:c r="C137" s="4" t="inlineStr">
        <ns0:is>
          <ns0:t>情感</ns0:t>
        </ns0:is>
      </ns0:c>
      <ns0:c r="D137" s="4" t="n">
        <ns0:v>2</ns0:v>
      </ns0:c>
      <ns0:c r="E137" s="4" t="n">
        <ns0:v>6</ns0:v>
      </ns0:c>
      <ns0:c r="F137" s="9" t="n">
        <ns0:v>138</ns0:v>
      </ns0:c>
      <ns0:c r="G137" s="9">
        <ns0:f>E137*F137</ns0:f>
        <ns0:v>828</ns0:v>
      </ns0:c>
      <ns0:c r="H137" s="9" t="n">
        <ns0:v>180</ns0:v>
      </ns0:c>
      <ns0:c r="I137" s="4" t="inlineStr">
        <ns0:is>
          <ns0:t>盒装</ns0:t>
        </ns0:is>
      </ns0:c>
      <ns0:c r="J137" s="9">
        <ns0:f>G137-H137</ns0:f>
        <ns0:v>648</ns0:v>
      </ns0:c>
      <ns0:c r="K137" s="4" t="n">
        <ns0:v>7</ns0:v>
      </ns0:c>
      <ns0:c r="L137" s="4" t="n">
        <ns0:v>0</ns0:v>
      </ns0:c>
      <ns0:c r="M137" s="4" t="n">
        <ns0:v>750</ns0:v>
      </ns0:c>
      <ns0:c r="N137" s="4" t="n">
        <ns0:v>1000</ns0:v>
      </ns0:c>
      <ns0:c r="O137" s="9">
        <ns0:f>ROUND(L137/Assumptions!$B$2,0)</ns0:f>
        <ns0:v>0</ns0:v>
      </ns0:c>
      <ns0:c r="P137" s="9">
        <ns0:f>ROUND(M137/Assumptions!$B$2,0)</ns0:f>
        <ns0:v>104</ns0:v>
      </ns0:c>
      <ns0:c r="Q137" s="9">
        <ns0:f>ROUND(N137/Assumptions!$B$2,0)</ns0:f>
        <ns0:v>139</ns0:v>
      </ns0:c>
      <ns0:c r="R137" s="4">
        <ns0:f>COUNTIF(RawData[Script ID],A137)</ns0:f>
        <ns0:v>1</ns0:v>
      </ns0:c>
      <ns0:c r="S137" s="9">
        <ns0:f>SUMIF(RawData[Script ID],A137,RawData[Estimated Contribution])</ns0:f>
        <ns0:v>648.0</ns0:v>
      </ns0:c>
      <ns0:c r="T137" s="9">
        <ns0:f>S137-O137</ns0:f>
        <ns0:v>648.0</ns0:v>
      </ns0:c>
      <ns0:c r="U137" s="9">
        <ns0:f>S137-P137</ns0:f>
        <ns0:v>544.0</ns0:v>
      </ns0:c>
      <ns0:c r="V137" s="9">
        <ns0:f>S137-Q137</ns0:f>
        <ns0:v>509.0</ns0:v>
      </ns0:c>
      <ns0:c r="W137" s="4" t="str">
        <ns0:f>IF(R137=0,"Not Opened",IF(V137&gt;=0,"Recovered - All Scenarios",IF(U137&gt;=0,"Recovered - Low &amp; Base",IF(T137&gt;=0,"Recovered - Low Only","Not Recovered"))))</ns0:f>
        <ns0:v>Recovered - All Scenarios</ns0:v>
      </ns0:c>
      <ns0:c r="X137" s="9">
        <ns0:f>IF(R137=0,0,S137/R137)</ns0:f>
        <ns0:v>648.0</ns0:v>
      </ns0:c>
      <ns0:c r="Y137" s="4">
        <ns0:f>R137</ns0:f>
        <ns0:v>1</ns0:v>
      </ns0:c>
      <ns0:c r="Z137" s="9">
        <ns0:f>IF(R137=0,"",S137/R137)</ns0:f>
        <ns0:v>648.0</ns0:v>
      </ns0:c>
      <ns0:c r="AA137" s="4" t="str">
        <ns0:f>IF(R137=0,"Not Opened",IF(R137&gt;=Assumptions!$B$3,"High Frequency","Low Frequency")&amp;" / "&amp;IF(X137&gt;=Assumptions!$B$4,"High Contribution","Low Contribution"))</ns0:f>
        <ns0:v>Low Frequency / High Contribution</ns0:v>
      </ns0:c>
    </ns0:row>
    <ns0:row r="138">
      <ns0:c r="A138" s="4" t="inlineStr">
        <ns0:is>
          <ns0:t>SYN-137</ns0:t>
        </ns0:is>
      </ns0:c>
      <ns0:c r="B138" s="4" t="inlineStr">
        <ns0:is>
          <ns0:t>Synthetic Script 137</ns0:t>
        </ns0:is>
      </ns0:c>
      <ns0:c r="C138" s="4" t="inlineStr">
        <ns0:is>
          <ns0:t>机制</ns0:t>
        </ns0:is>
      </ns0:c>
      <ns0:c r="D138" s="4" t="n">
        <ns0:v>1</ns0:v>
      </ns0:c>
      <ns0:c r="E138" s="4" t="n">
        <ns0:v>6</ns0:v>
      </ns0:c>
      <ns0:c r="F138" s="9" t="n">
        <ns0:v>109</ns0:v>
      </ns0:c>
      <ns0:c r="G138" s="9">
        <ns0:f>E138*F138</ns0:f>
        <ns0:v>654</ns0:v>
      </ns0:c>
      <ns0:c r="H138" s="9" t="n">
        <ns0:v>172</ns0:v>
      </ns0:c>
      <ns0:c r="I138" s="4" t="inlineStr">
        <ns0:is>
          <ns0:t>城限</ns0:t>
        </ns0:is>
      </ns0:c>
      <ns0:c r="J138" s="9">
        <ns0:f>G138-H138</ns0:f>
        <ns0:v>482</ns0:v>
      </ns0:c>
      <ns0:c r="K138" s="4" t="n">
        <ns0:v>7.7</ns0:v>
      </ns0:c>
      <ns0:c r="L138" s="4" t="n">
        <ns0:v>1500</ns0:v>
      </ns0:c>
      <ns0:c r="M138" s="4" t="n">
        <ns0:v>2000</ns0:v>
      </ns0:c>
      <ns0:c r="N138" s="4" t="n">
        <ns0:v>2500</ns0:v>
      </ns0:c>
      <ns0:c r="O138" s="9">
        <ns0:f>ROUND(L138/Assumptions!$B$2,0)</ns0:f>
        <ns0:v>208</ns0:v>
      </ns0:c>
      <ns0:c r="P138" s="9">
        <ns0:f>ROUND(M138/Assumptions!$B$2,0)</ns0:f>
        <ns0:v>278</ns0:v>
      </ns0:c>
      <ns0:c r="Q138" s="9">
        <ns0:f>ROUND(N138/Assumptions!$B$2,0)</ns0:f>
        <ns0:v>347</ns0:v>
      </ns0:c>
      <ns0:c r="R138" s="4">
        <ns0:f>COUNTIF(RawData[Script ID],A138)</ns0:f>
        <ns0:v>3</ns0:v>
      </ns0:c>
      <ns0:c r="S138" s="9">
        <ns0:f>SUMIF(RawData[Script ID],A138,RawData[Estimated Contribution])</ns0:f>
        <ns0:v>1446.0</ns0:v>
      </ns0:c>
      <ns0:c r="T138" s="9">
        <ns0:f>S138-O138</ns0:f>
        <ns0:v>1238.0</ns0:v>
      </ns0:c>
      <ns0:c r="U138" s="9">
        <ns0:f>S138-P138</ns0:f>
        <ns0:v>1168.0</ns0:v>
      </ns0:c>
      <ns0:c r="V138" s="9">
        <ns0:f>S138-Q138</ns0:f>
        <ns0:v>1099.0</ns0:v>
      </ns0:c>
      <ns0:c r="W138" s="4" t="str">
        <ns0:f>IF(R138=0,"Not Opened",IF(V138&gt;=0,"Recovered - All Scenarios",IF(U138&gt;=0,"Recovered - Low &amp; Base",IF(T138&gt;=0,"Recovered - Low Only","Not Recovered"))))</ns0:f>
        <ns0:v>Recovered - All Scenarios</ns0:v>
      </ns0:c>
      <ns0:c r="X138" s="9">
        <ns0:f>IF(R138=0,0,S138/R138)</ns0:f>
        <ns0:v>482.0</ns0:v>
      </ns0:c>
      <ns0:c r="Y138" s="4">
        <ns0:f>R138</ns0:f>
        <ns0:v>3</ns0:v>
      </ns0:c>
      <ns0:c r="Z138" s="9">
        <ns0:f>IF(R138=0,"",S138/R138)</ns0:f>
        <ns0:v>482.0</ns0:v>
      </ns0:c>
      <ns0:c r="AA138" s="4" t="str">
        <ns0:f>IF(R138=0,"Not Opened",IF(R138&gt;=Assumptions!$B$3,"High Frequency","Low Frequency")&amp;" / "&amp;IF(X138&gt;=Assumptions!$B$4,"High Contribution","Low Contribution"))</ns0:f>
        <ns0:v>High Frequency / Low Contribution</ns0:v>
      </ns0:c>
    </ns0:row>
    <ns0:row r="139">
      <ns0:c r="A139" s="4" t="inlineStr">
        <ns0:is>
          <ns0:t>SYN-138</ns0:t>
        </ns0:is>
      </ns0:c>
      <ns0:c r="B139" s="4" t="inlineStr">
        <ns0:is>
          <ns0:t>Synthetic Script 138</ns0:t>
        </ns0:is>
      </ns0:c>
      <ns0:c r="C139" s="4" t="inlineStr">
        <ns0:is>
          <ns0:t>推理</ns0:t>
        </ns0:is>
      </ns0:c>
      <ns0:c r="D139" s="4" t="n">
        <ns0:v>1</ns0:v>
      </ns0:c>
      <ns0:c r="E139" s="4" t="n">
        <ns0:v>6</ns0:v>
      </ns0:c>
      <ns0:c r="F139" s="9" t="n">
        <ns0:v>75</ns0:v>
      </ns0:c>
      <ns0:c r="G139" s="9">
        <ns0:f>E139*F139</ns0:f>
        <ns0:v>450</ns0:v>
      </ns0:c>
      <ns0:c r="H139" s="9" t="n">
        <ns0:v>118</ns0:v>
      </ns0:c>
      <ns0:c r="I139" s="4" t="inlineStr">
        <ns0:is>
          <ns0:t>盒装</ns0:t>
        </ns0:is>
      </ns0:c>
      <ns0:c r="J139" s="9">
        <ns0:f>G139-H139</ns0:f>
        <ns0:v>332</ns0:v>
      </ns0:c>
      <ns0:c r="K139" s="4" t="n">
        <ns0:v>8.4</ns0:v>
      </ns0:c>
      <ns0:c r="L139" s="4" t="n">
        <ns0:v>0</ns0:v>
      </ns0:c>
      <ns0:c r="M139" s="4" t="n">
        <ns0:v>750</ns0:v>
      </ns0:c>
      <ns0:c r="N139" s="4" t="n">
        <ns0:v>1000</ns0:v>
      </ns0:c>
      <ns0:c r="O139" s="9">
        <ns0:f>ROUND(L139/Assumptions!$B$2,0)</ns0:f>
        <ns0:v>0</ns0:v>
      </ns0:c>
      <ns0:c r="P139" s="9">
        <ns0:f>ROUND(M139/Assumptions!$B$2,0)</ns0:f>
        <ns0:v>104</ns0:v>
      </ns0:c>
      <ns0:c r="Q139" s="9">
        <ns0:f>ROUND(N139/Assumptions!$B$2,0)</ns0:f>
        <ns0:v>139</ns0:v>
      </ns0:c>
      <ns0:c r="R139" s="4">
        <ns0:f>COUNTIF(RawData[Script ID],A139)</ns0:f>
        <ns0:v>10</ns0:v>
      </ns0:c>
      <ns0:c r="S139" s="9">
        <ns0:f>SUMIF(RawData[Script ID],A139,RawData[Estimated Contribution])</ns0:f>
        <ns0:v>3320.0</ns0:v>
      </ns0:c>
      <ns0:c r="T139" s="9">
        <ns0:f>S139-O139</ns0:f>
        <ns0:v>3320.0</ns0:v>
      </ns0:c>
      <ns0:c r="U139" s="9">
        <ns0:f>S139-P139</ns0:f>
        <ns0:v>3216.0</ns0:v>
      </ns0:c>
      <ns0:c r="V139" s="9">
        <ns0:f>S139-Q139</ns0:f>
        <ns0:v>3181.0</ns0:v>
      </ns0:c>
      <ns0:c r="W139" s="4" t="str">
        <ns0:f>IF(R139=0,"Not Opened",IF(V139&gt;=0,"Recovered - All Scenarios",IF(U139&gt;=0,"Recovered - Low &amp; Base",IF(T139&gt;=0,"Recovered - Low Only","Not Recovered"))))</ns0:f>
        <ns0:v>Recovered - All Scenarios</ns0:v>
      </ns0:c>
      <ns0:c r="X139" s="9">
        <ns0:f>IF(R139=0,0,S139/R139)</ns0:f>
        <ns0:v>332.0</ns0:v>
      </ns0:c>
      <ns0:c r="Y139" s="4">
        <ns0:f>R139</ns0:f>
        <ns0:v>10</ns0:v>
      </ns0:c>
      <ns0:c r="Z139" s="9">
        <ns0:f>IF(R139=0,"",S139/R139)</ns0:f>
        <ns0:v>332.0</ns0:v>
      </ns0:c>
      <ns0:c r="AA139" s="4" t="str">
        <ns0:f>IF(R139=0,"Not Opened",IF(R139&gt;=Assumptions!$B$3,"High Frequency","Low Frequency")&amp;" / "&amp;IF(X139&gt;=Assumptions!$B$4,"High Contribution","Low Contribution"))</ns0:f>
        <ns0:v>High Frequency / Low Contribution</ns0:v>
      </ns0:c>
    </ns0:row>
    <ns0:row r="140">
      <ns0:c r="A140" s="4" t="inlineStr">
        <ns0:is>
          <ns0:t>SYN-139</ns0:t>
        </ns0:is>
      </ns0:c>
      <ns0:c r="B140" s="4" t="inlineStr">
        <ns0:is>
          <ns0:t>Synthetic Script 139</ns0:t>
        </ns0:is>
      </ns0:c>
      <ns0:c r="C140" s="4" t="inlineStr">
        <ns0:is>
          <ns0:t>欢乐</ns0:t>
        </ns0:is>
      </ns0:c>
      <ns0:c r="D140" s="4" t="n">
        <ns0:v>3</ns0:v>
      </ns0:c>
      <ns0:c r="E140" s="4" t="n">
        <ns0:v>7</ns0:v>
      </ns0:c>
      <ns0:c r="F140" s="9" t="n">
        <ns0:v>118</ns0:v>
      </ns0:c>
      <ns0:c r="G140" s="9">
        <ns0:f>E140*F140</ns0:f>
        <ns0:v>826</ns0:v>
      </ns0:c>
      <ns0:c r="H140" s="9" t="n">
        <ns0:v>217</ns0:v>
      </ns0:c>
      <ns0:c r="I140" s="4" t="inlineStr">
        <ns0:is>
          <ns0:t>独家</ns0:t>
        </ns0:is>
      </ns0:c>
      <ns0:c r="J140" s="9">
        <ns0:f>G140-H140</ns0:f>
        <ns0:v>609</ns0:v>
      </ns0:c>
      <ns0:c r="K140" s="4" t="n">
        <ns0:v>7</ns0:v>
      </ns0:c>
      <ns0:c r="L140" s="4" t="n">
        <ns0:v>2500</ns0:v>
      </ns0:c>
      <ns0:c r="M140" s="4" t="n">
        <ns0:v>3000</ns0:v>
      </ns0:c>
      <ns0:c r="N140" s="4" t="n">
        <ns0:v>3500</ns0:v>
      </ns0:c>
      <ns0:c r="O140" s="9">
        <ns0:f>ROUND(L140/Assumptions!$B$2,0)</ns0:f>
        <ns0:v>347</ns0:v>
      </ns0:c>
      <ns0:c r="P140" s="9">
        <ns0:f>ROUND(M140/Assumptions!$B$2,0)</ns0:f>
        <ns0:v>417</ns0:v>
      </ns0:c>
      <ns0:c r="Q140" s="9">
        <ns0:f>ROUND(N140/Assumptions!$B$2,0)</ns0:f>
        <ns0:v>486</ns0:v>
      </ns0:c>
      <ns0:c r="R140" s="4">
        <ns0:f>COUNTIF(RawData[Script ID],A140)</ns0:f>
        <ns0:v>1</ns0:v>
      </ns0:c>
      <ns0:c r="S140" s="9">
        <ns0:f>SUMIF(RawData[Script ID],A140,RawData[Estimated Contribution])</ns0:f>
        <ns0:v>609.0</ns0:v>
      </ns0:c>
      <ns0:c r="T140" s="9">
        <ns0:f>S140-O140</ns0:f>
        <ns0:v>262.0</ns0:v>
      </ns0:c>
      <ns0:c r="U140" s="9">
        <ns0:f>S140-P140</ns0:f>
        <ns0:v>192.0</ns0:v>
      </ns0:c>
      <ns0:c r="V140" s="9">
        <ns0:f>S140-Q140</ns0:f>
        <ns0:v>123.0</ns0:v>
      </ns0:c>
      <ns0:c r="W140" s="4" t="str">
        <ns0:f>IF(R140=0,"Not Opened",IF(V140&gt;=0,"Recovered - All Scenarios",IF(U140&gt;=0,"Recovered - Low &amp; Base",IF(T140&gt;=0,"Recovered - Low Only","Not Recovered"))))</ns0:f>
        <ns0:v>Recovered - All Scenarios</ns0:v>
      </ns0:c>
      <ns0:c r="X140" s="9">
        <ns0:f>IF(R140=0,0,S140/R140)</ns0:f>
        <ns0:v>609.0</ns0:v>
      </ns0:c>
      <ns0:c r="Y140" s="4">
        <ns0:f>R140</ns0:f>
        <ns0:v>1</ns0:v>
      </ns0:c>
      <ns0:c r="Z140" s="9">
        <ns0:f>IF(R140=0,"",S140/R140)</ns0:f>
        <ns0:v>609.0</ns0:v>
      </ns0:c>
      <ns0:c r="AA140" s="4" t="str">
        <ns0:f>IF(R140=0,"Not Opened",IF(R140&gt;=Assumptions!$B$3,"High Frequency","Low Frequency")&amp;" / "&amp;IF(X140&gt;=Assumptions!$B$4,"High Contribution","Low Contribution"))</ns0:f>
        <ns0:v>Low Frequency / High Contribution</ns0:v>
      </ns0:c>
    </ns0:row>
    <ns0:row r="141">
      <ns0:c r="A141" s="4" t="inlineStr">
        <ns0:is>
          <ns0:t>SYN-140</ns0:t>
        </ns0:is>
      </ns0:c>
      <ns0:c r="B141" s="4" t="inlineStr">
        <ns0:is>
          <ns0:t>Synthetic Script 140</ns0:t>
        </ns0:is>
      </ns0:c>
      <ns0:c r="C141" s="4" t="inlineStr">
        <ns0:is>
          <ns0:t>情感</ns0:t>
        </ns0:is>
      </ns0:c>
      <ns0:c r="D141" s="4" t="n">
        <ns0:v>6</ns0:v>
      </ns0:c>
      <ns0:c r="E141" s="4" t="n">
        <ns0:v>8</ns0:v>
      </ns0:c>
      <ns0:c r="F141" s="9" t="n">
        <ns0:v>138</ns0:v>
      </ns0:c>
      <ns0:c r="G141" s="9">
        <ns0:f>E141*F141</ns0:f>
        <ns0:v>1104</ns0:v>
      </ns0:c>
      <ns0:c r="H141" s="9" t="n">
        <ns0:v>540</ns0:v>
      </ns0:c>
      <ns0:c r="I141" s="4" t="inlineStr">
        <ns0:is>
          <ns0:t>盒装</ns0:t>
        </ns0:is>
      </ns0:c>
      <ns0:c r="J141" s="9">
        <ns0:f>G141-H141</ns0:f>
        <ns0:v>564</ns0:v>
      </ns0:c>
      <ns0:c r="K141" s="4" t="n">
        <ns0:v>7.7</ns0:v>
      </ns0:c>
      <ns0:c r="L141" s="4" t="n">
        <ns0:v>0</ns0:v>
      </ns0:c>
      <ns0:c r="M141" s="4" t="n">
        <ns0:v>750</ns0:v>
      </ns0:c>
      <ns0:c r="N141" s="4" t="n">
        <ns0:v>1000</ns0:v>
      </ns0:c>
      <ns0:c r="O141" s="9">
        <ns0:f>ROUND(L141/Assumptions!$B$2,0)</ns0:f>
        <ns0:v>0</ns0:v>
      </ns0:c>
      <ns0:c r="P141" s="9">
        <ns0:f>ROUND(M141/Assumptions!$B$2,0)</ns0:f>
        <ns0:v>104</ns0:v>
      </ns0:c>
      <ns0:c r="Q141" s="9">
        <ns0:f>ROUND(N141/Assumptions!$B$2,0)</ns0:f>
        <ns0:v>139</ns0:v>
      </ns0:c>
      <ns0:c r="R141" s="4">
        <ns0:f>COUNTIF(RawData[Script ID],A141)</ns0:f>
        <ns0:v>3</ns0:v>
      </ns0:c>
      <ns0:c r="S141" s="9">
        <ns0:f>SUMIF(RawData[Script ID],A141,RawData[Estimated Contribution])</ns0:f>
        <ns0:v>1692.0</ns0:v>
      </ns0:c>
      <ns0:c r="T141" s="9">
        <ns0:f>S141-O141</ns0:f>
        <ns0:v>1692.0</ns0:v>
      </ns0:c>
      <ns0:c r="U141" s="9">
        <ns0:f>S141-P141</ns0:f>
        <ns0:v>1588.0</ns0:v>
      </ns0:c>
      <ns0:c r="V141" s="9">
        <ns0:f>S141-Q141</ns0:f>
        <ns0:v>1553.0</ns0:v>
      </ns0:c>
      <ns0:c r="W141" s="4" t="str">
        <ns0:f>IF(R141=0,"Not Opened",IF(V141&gt;=0,"Recovered - All Scenarios",IF(U141&gt;=0,"Recovered - Low &amp; Base",IF(T141&gt;=0,"Recovered - Low Only","Not Recovered"))))</ns0:f>
        <ns0:v>Recovered - All Scenarios</ns0:v>
      </ns0:c>
      <ns0:c r="X141" s="9">
        <ns0:f>IF(R141=0,0,S141/R141)</ns0:f>
        <ns0:v>564.0</ns0:v>
      </ns0:c>
      <ns0:c r="Y141" s="4">
        <ns0:f>R141</ns0:f>
        <ns0:v>3</ns0:v>
      </ns0:c>
      <ns0:c r="Z141" s="9">
        <ns0:f>IF(R141=0,"",S141/R141)</ns0:f>
        <ns0:v>564.0</ns0:v>
      </ns0:c>
      <ns0:c r="AA141" s="4" t="str">
        <ns0:f>IF(R141=0,"Not Opened",IF(R141&gt;=Assumptions!$B$3,"High Frequency","Low Frequency")&amp;" / "&amp;IF(X141&gt;=Assumptions!$B$4,"High Contribution","Low Contribution"))</ns0:f>
        <ns0:v>High Frequency / High Contribution</ns0:v>
      </ns0:c>
    </ns0:row>
    <ns0:row r="142">
      <ns0:c r="A142" s="4" t="inlineStr">
        <ns0:is>
          <ns0:t>SYN-141</ns0:t>
        </ns0:is>
      </ns0:c>
      <ns0:c r="B142" s="4" t="inlineStr">
        <ns0:is>
          <ns0:t>Synthetic Script 141</ns0:t>
        </ns0:is>
      </ns0:c>
      <ns0:c r="C142" s="4" t="inlineStr">
        <ns0:is>
          <ns0:t>情感</ns0:t>
        </ns0:is>
      </ns0:c>
      <ns0:c r="D142" s="4" t="n">
        <ns0:v>2</ns0:v>
      </ns0:c>
      <ns0:c r="E142" s="4" t="n">
        <ns0:v>6</ns0:v>
      </ns0:c>
      <ns0:c r="F142" s="9" t="n">
        <ns0:v>99</ns0:v>
      </ns0:c>
      <ns0:c r="G142" s="9">
        <ns0:f>E142*F142</ns0:f>
        <ns0:v>594</ns0:v>
      </ns0:c>
      <ns0:c r="H142" s="9" t="n">
        <ns0:v>180</ns0:v>
      </ns0:c>
      <ns0:c r="I142" s="4" t="inlineStr">
        <ns0:is>
          <ns0:t>盒装</ns0:t>
        </ns0:is>
      </ns0:c>
      <ns0:c r="J142" s="9">
        <ns0:f>G142-H142</ns0:f>
        <ns0:v>414</ns0:v>
      </ns0:c>
      <ns0:c r="K142" s="4" t="n">
        <ns0:v>8.4</ns0:v>
      </ns0:c>
      <ns0:c r="L142" s="4" t="n">
        <ns0:v>0</ns0:v>
      </ns0:c>
      <ns0:c r="M142" s="4" t="n">
        <ns0:v>750</ns0:v>
      </ns0:c>
      <ns0:c r="N142" s="4" t="n">
        <ns0:v>1000</ns0:v>
      </ns0:c>
      <ns0:c r="O142" s="9">
        <ns0:f>ROUND(L142/Assumptions!$B$2,0)</ns0:f>
        <ns0:v>0</ns0:v>
      </ns0:c>
      <ns0:c r="P142" s="9">
        <ns0:f>ROUND(M142/Assumptions!$B$2,0)</ns0:f>
        <ns0:v>104</ns0:v>
      </ns0:c>
      <ns0:c r="Q142" s="9">
        <ns0:f>ROUND(N142/Assumptions!$B$2,0)</ns0:f>
        <ns0:v>139</ns0:v>
      </ns0:c>
      <ns0:c r="R142" s="4">
        <ns0:f>COUNTIF(RawData[Script ID],A142)</ns0:f>
        <ns0:v>0</ns0:v>
      </ns0:c>
      <ns0:c r="S142" s="9">
        <ns0:f>SUMIF(RawData[Script ID],A142,RawData[Estimated Contribution])</ns0:f>
        <ns0:v>0.0</ns0:v>
      </ns0:c>
      <ns0:c r="T142" s="9">
        <ns0:f>S142-O142</ns0:f>
        <ns0:v>0.0</ns0:v>
      </ns0:c>
      <ns0:c r="U142" s="9">
        <ns0:f>S142-P142</ns0:f>
        <ns0:v>-104.0</ns0:v>
      </ns0:c>
      <ns0:c r="V142" s="9">
        <ns0:f>S142-Q142</ns0:f>
        <ns0:v>-139.0</ns0:v>
      </ns0:c>
      <ns0:c r="W142" s="4" t="str">
        <ns0:f>IF(R142=0,"Not Opened",IF(V142&gt;=0,"Recovered - All Scenarios",IF(U142&gt;=0,"Recovered - Low &amp; Base",IF(T142&gt;=0,"Recovered - Low Only","Not Recovered"))))</ns0:f>
        <ns0:v>Not Opened</ns0:v>
      </ns0:c>
      <ns0:c r="X142" s="9">
        <ns0:f>IF(R142=0,0,S142/R142)</ns0:f>
        <ns0:v>0</ns0:v>
      </ns0:c>
      <ns0:c r="Y142" s="4">
        <ns0:f>R142</ns0:f>
        <ns0:v>0</ns0:v>
      </ns0:c>
      <ns0:c r="Z142" s="9" t="str">
        <ns0:f>IF(R142=0,"",S142/R142)</ns0:f>
        <ns0:v/>
      </ns0:c>
      <ns0:c r="AA142" s="4" t="str">
        <ns0:f>IF(R142=0,"Not Opened",IF(R142&gt;=Assumptions!$B$3,"High Frequency","Low Frequency")&amp;" / "&amp;IF(X142&gt;=Assumptions!$B$4,"High Contribution","Low Contribution"))</ns0:f>
        <ns0:v>Not Opened</ns0:v>
      </ns0:c>
    </ns0:row>
    <ns0:row r="143">
      <ns0:c r="A143" s="4" t="inlineStr">
        <ns0:is>
          <ns0:t>SYN-142</ns0:t>
        </ns0:is>
      </ns0:c>
      <ns0:c r="B143" s="4" t="inlineStr">
        <ns0:is>
          <ns0:t>Synthetic Script 142</ns0:t>
        </ns0:is>
      </ns0:c>
      <ns0:c r="C143" s="4" t="inlineStr">
        <ns0:is>
          <ns0:t>推理</ns0:t>
        </ns0:is>
      </ns0:c>
      <ns0:c r="D143" s="4" t="n">
        <ns0:v>1</ns0:v>
      </ns0:c>
      <ns0:c r="E143" s="4" t="n">
        <ns0:v>6</ns0:v>
      </ns0:c>
      <ns0:c r="F143" s="9" t="n">
        <ns0:v>75</ns0:v>
      </ns0:c>
      <ns0:c r="G143" s="9">
        <ns0:f>E143*F143</ns0:f>
        <ns0:v>450</ns0:v>
      </ns0:c>
      <ns0:c r="H143" s="9" t="n">
        <ns0:v>118</ns0:v>
      </ns0:c>
      <ns0:c r="I143" s="4" t="inlineStr">
        <ns0:is>
          <ns0:t>城限</ns0:t>
        </ns0:is>
      </ns0:c>
      <ns0:c r="J143" s="9">
        <ns0:f>G143-H143</ns0:f>
        <ns0:v>332</ns0:v>
      </ns0:c>
      <ns0:c r="K143" s="4" t="n">
        <ns0:v>7</ns0:v>
      </ns0:c>
      <ns0:c r="L143" s="4" t="n">
        <ns0:v>1500</ns0:v>
      </ns0:c>
      <ns0:c r="M143" s="4" t="n">
        <ns0:v>2000</ns0:v>
      </ns0:c>
      <ns0:c r="N143" s="4" t="n">
        <ns0:v>2500</ns0:v>
      </ns0:c>
      <ns0:c r="O143" s="9">
        <ns0:f>ROUND(L143/Assumptions!$B$2,0)</ns0:f>
        <ns0:v>208</ns0:v>
      </ns0:c>
      <ns0:c r="P143" s="9">
        <ns0:f>ROUND(M143/Assumptions!$B$2,0)</ns0:f>
        <ns0:v>278</ns0:v>
      </ns0:c>
      <ns0:c r="Q143" s="9">
        <ns0:f>ROUND(N143/Assumptions!$B$2,0)</ns0:f>
        <ns0:v>347</ns0:v>
      </ns0:c>
      <ns0:c r="R143" s="4">
        <ns0:f>COUNTIF(RawData[Script ID],A143)</ns0:f>
        <ns0:v>1</ns0:v>
      </ns0:c>
      <ns0:c r="S143" s="9">
        <ns0:f>SUMIF(RawData[Script ID],A143,RawData[Estimated Contribution])</ns0:f>
        <ns0:v>332.0</ns0:v>
      </ns0:c>
      <ns0:c r="T143" s="9">
        <ns0:f>S143-O143</ns0:f>
        <ns0:v>124.0</ns0:v>
      </ns0:c>
      <ns0:c r="U143" s="9">
        <ns0:f>S143-P143</ns0:f>
        <ns0:v>54.0</ns0:v>
      </ns0:c>
      <ns0:c r="V143" s="9">
        <ns0:f>S143-Q143</ns0:f>
        <ns0:v>-15.0</ns0:v>
      </ns0:c>
      <ns0:c r="W143" s="4" t="str">
        <ns0:f>IF(R143=0,"Not Opened",IF(V143&gt;=0,"Recovered - All Scenarios",IF(U143&gt;=0,"Recovered - Low &amp; Base",IF(T143&gt;=0,"Recovered - Low Only","Not Recovered"))))</ns0:f>
        <ns0:v>Recovered - Low &amp; Base</ns0:v>
      </ns0:c>
      <ns0:c r="X143" s="9">
        <ns0:f>IF(R143=0,0,S143/R143)</ns0:f>
        <ns0:v>332.0</ns0:v>
      </ns0:c>
      <ns0:c r="Y143" s="4">
        <ns0:f>R143</ns0:f>
        <ns0:v>1</ns0:v>
      </ns0:c>
      <ns0:c r="Z143" s="9">
        <ns0:f>IF(R143=0,"",S143/R143)</ns0:f>
        <ns0:v>332.0</ns0:v>
      </ns0:c>
      <ns0:c r="AA143" s="4" t="str">
        <ns0:f>IF(R143=0,"Not Opened",IF(R143&gt;=Assumptions!$B$3,"High Frequency","Low Frequency")&amp;" / "&amp;IF(X143&gt;=Assumptions!$B$4,"High Contribution","Low Contribution"))</ns0:f>
        <ns0:v>Low Frequency / Low Contribution</ns0:v>
      </ns0:c>
    </ns0:row>
    <ns0:row r="144">
      <ns0:c r="A144" s="4" t="inlineStr">
        <ns0:is>
          <ns0:t>SYN-143</ns0:t>
        </ns0:is>
      </ns0:c>
      <ns0:c r="B144" s="4" t="inlineStr">
        <ns0:is>
          <ns0:t>Synthetic Script 143</ns0:t>
        </ns0:is>
      </ns0:c>
      <ns0:c r="C144" s="4" t="inlineStr">
        <ns0:is>
          <ns0:t>情感</ns0:t>
        </ns0:is>
      </ns0:c>
      <ns0:c r="D144" s="4" t="n">
        <ns0:v>3</ns0:v>
      </ns0:c>
      <ns0:c r="E144" s="4" t="n">
        <ns0:v>6</ns0:v>
      </ns0:c>
      <ns0:c r="F144" s="9" t="n">
        <ns0:v>118</ns0:v>
      </ns0:c>
      <ns0:c r="G144" s="9">
        <ns0:f>E144*F144</ns0:f>
        <ns0:v>708</ns0:v>
      </ns0:c>
      <ns0:c r="H144" s="9" t="n">
        <ns0:v>270</ns0:v>
      </ns0:c>
      <ns0:c r="I144" s="4" t="inlineStr">
        <ns0:is>
          <ns0:t>盒装</ns0:t>
        </ns0:is>
      </ns0:c>
      <ns0:c r="J144" s="9">
        <ns0:f>G144-H144</ns0:f>
        <ns0:v>438</ns0:v>
      </ns0:c>
      <ns0:c r="K144" s="4" t="n">
        <ns0:v>7.7</ns0:v>
      </ns0:c>
      <ns0:c r="L144" s="4" t="n">
        <ns0:v>0</ns0:v>
      </ns0:c>
      <ns0:c r="M144" s="4" t="n">
        <ns0:v>750</ns0:v>
      </ns0:c>
      <ns0:c r="N144" s="4" t="n">
        <ns0:v>1000</ns0:v>
      </ns0:c>
      <ns0:c r="O144" s="9">
        <ns0:f>ROUND(L144/Assumptions!$B$2,0)</ns0:f>
        <ns0:v>0</ns0:v>
      </ns0:c>
      <ns0:c r="P144" s="9">
        <ns0:f>ROUND(M144/Assumptions!$B$2,0)</ns0:f>
        <ns0:v>104</ns0:v>
      </ns0:c>
      <ns0:c r="Q144" s="9">
        <ns0:f>ROUND(N144/Assumptions!$B$2,0)</ns0:f>
        <ns0:v>139</ns0:v>
      </ns0:c>
      <ns0:c r="R144" s="4">
        <ns0:f>COUNTIF(RawData[Script ID],A144)</ns0:f>
        <ns0:v>3</ns0:v>
      </ns0:c>
      <ns0:c r="S144" s="9">
        <ns0:f>SUMIF(RawData[Script ID],A144,RawData[Estimated Contribution])</ns0:f>
        <ns0:v>1314.0</ns0:v>
      </ns0:c>
      <ns0:c r="T144" s="9">
        <ns0:f>S144-O144</ns0:f>
        <ns0:v>1314.0</ns0:v>
      </ns0:c>
      <ns0:c r="U144" s="9">
        <ns0:f>S144-P144</ns0:f>
        <ns0:v>1210.0</ns0:v>
      </ns0:c>
      <ns0:c r="V144" s="9">
        <ns0:f>S144-Q144</ns0:f>
        <ns0:v>1175.0</ns0:v>
      </ns0:c>
      <ns0:c r="W144" s="4" t="str">
        <ns0:f>IF(R144=0,"Not Opened",IF(V144&gt;=0,"Recovered - All Scenarios",IF(U144&gt;=0,"Recovered - Low &amp; Base",IF(T144&gt;=0,"Recovered - Low Only","Not Recovered"))))</ns0:f>
        <ns0:v>Recovered - All Scenarios</ns0:v>
      </ns0:c>
      <ns0:c r="X144" s="9">
        <ns0:f>IF(R144=0,0,S144/R144)</ns0:f>
        <ns0:v>438.0</ns0:v>
      </ns0:c>
      <ns0:c r="Y144" s="4">
        <ns0:f>R144</ns0:f>
        <ns0:v>3</ns0:v>
      </ns0:c>
      <ns0:c r="Z144" s="9">
        <ns0:f>IF(R144=0,"",S144/R144)</ns0:f>
        <ns0:v>438.0</ns0:v>
      </ns0:c>
      <ns0:c r="AA144" s="4" t="str">
        <ns0:f>IF(R144=0,"Not Opened",IF(R144&gt;=Assumptions!$B$3,"High Frequency","Low Frequency")&amp;" / "&amp;IF(X144&gt;=Assumptions!$B$4,"High Contribution","Low Contribution"))</ns0:f>
        <ns0:v>High Frequency / Low Contribution</ns0:v>
      </ns0:c>
    </ns0:row>
    <ns0:row r="145">
      <ns0:c r="A145" s="4" t="inlineStr">
        <ns0:is>
          <ns0:t>SYN-144</ns0:t>
        </ns0:is>
      </ns0:c>
      <ns0:c r="B145" s="4" t="inlineStr">
        <ns0:is>
          <ns0:t>Synthetic Script 144</ns0:t>
        </ns0:is>
      </ns0:c>
      <ns0:c r="C145" s="4" t="inlineStr">
        <ns0:is>
          <ns0:t>欢乐</ns0:t>
        </ns0:is>
      </ns0:c>
      <ns0:c r="D145" s="4" t="n">
        <ns0:v>3</ns0:v>
      </ns0:c>
      <ns0:c r="E145" s="4" t="n">
        <ns0:v>7</ns0:v>
      </ns0:c>
      <ns0:c r="F145" s="9" t="n">
        <ns0:v>129</ns0:v>
      </ns0:c>
      <ns0:c r="G145" s="9">
        <ns0:f>E145*F145</ns0:f>
        <ns0:v>903</ns0:v>
      </ns0:c>
      <ns0:c r="H145" s="9" t="n">
        <ns0:v>237</ns0:v>
      </ns0:c>
      <ns0:c r="I145" s="4" t="inlineStr">
        <ns0:is>
          <ns0:t>独家</ns0:t>
        </ns0:is>
      </ns0:c>
      <ns0:c r="J145" s="9">
        <ns0:f>G145-H145</ns0:f>
        <ns0:v>666</ns0:v>
      </ns0:c>
      <ns0:c r="K145" s="4" t="n">
        <ns0:v>8.4</ns0:v>
      </ns0:c>
      <ns0:c r="L145" s="4" t="n">
        <ns0:v>2500</ns0:v>
      </ns0:c>
      <ns0:c r="M145" s="4" t="n">
        <ns0:v>3000</ns0:v>
      </ns0:c>
      <ns0:c r="N145" s="4" t="n">
        <ns0:v>3500</ns0:v>
      </ns0:c>
      <ns0:c r="O145" s="9">
        <ns0:f>ROUND(L145/Assumptions!$B$2,0)</ns0:f>
        <ns0:v>347</ns0:v>
      </ns0:c>
      <ns0:c r="P145" s="9">
        <ns0:f>ROUND(M145/Assumptions!$B$2,0)</ns0:f>
        <ns0:v>417</ns0:v>
      </ns0:c>
      <ns0:c r="Q145" s="9">
        <ns0:f>ROUND(N145/Assumptions!$B$2,0)</ns0:f>
        <ns0:v>486</ns0:v>
      </ns0:c>
      <ns0:c r="R145" s="4">
        <ns0:f>COUNTIF(RawData[Script ID],A145)</ns0:f>
        <ns0:v>0</ns0:v>
      </ns0:c>
      <ns0:c r="S145" s="9">
        <ns0:f>SUMIF(RawData[Script ID],A145,RawData[Estimated Contribution])</ns0:f>
        <ns0:v>0.0</ns0:v>
      </ns0:c>
      <ns0:c r="T145" s="9">
        <ns0:f>S145-O145</ns0:f>
        <ns0:v>-347.0</ns0:v>
      </ns0:c>
      <ns0:c r="U145" s="9">
        <ns0:f>S145-P145</ns0:f>
        <ns0:v>-417.0</ns0:v>
      </ns0:c>
      <ns0:c r="V145" s="9">
        <ns0:f>S145-Q145</ns0:f>
        <ns0:v>-486.0</ns0:v>
      </ns0:c>
      <ns0:c r="W145" s="4" t="str">
        <ns0:f>IF(R145=0,"Not Opened",IF(V145&gt;=0,"Recovered - All Scenarios",IF(U145&gt;=0,"Recovered - Low &amp; Base",IF(T145&gt;=0,"Recovered - Low Only","Not Recovered"))))</ns0:f>
        <ns0:v>Not Opened</ns0:v>
      </ns0:c>
      <ns0:c r="X145" s="9">
        <ns0:f>IF(R145=0,0,S145/R145)</ns0:f>
        <ns0:v>0</ns0:v>
      </ns0:c>
      <ns0:c r="Y145" s="4">
        <ns0:f>R145</ns0:f>
        <ns0:v>0</ns0:v>
      </ns0:c>
      <ns0:c r="Z145" s="9" t="str">
        <ns0:f>IF(R145=0,"",S145/R145)</ns0:f>
        <ns0:v/>
      </ns0:c>
      <ns0:c r="AA145" s="4" t="str">
        <ns0:f>IF(R145=0,"Not Opened",IF(R145&gt;=Assumptions!$B$3,"High Frequency","Low Frequency")&amp;" / "&amp;IF(X145&gt;=Assumptions!$B$4,"High Contribution","Low Contribution"))</ns0:f>
        <ns0:v>Not Opened</ns0:v>
      </ns0:c>
    </ns0:row>
    <ns0:row r="146">
      <ns0:c r="A146" s="4" t="inlineStr">
        <ns0:is>
          <ns0:t>SYN-145</ns0:t>
        </ns0:is>
      </ns0:c>
      <ns0:c r="B146" s="4" t="inlineStr">
        <ns0:is>
          <ns0:t>Synthetic Script 145</ns0:t>
        </ns0:is>
      </ns0:c>
      <ns0:c r="C146" s="4" t="inlineStr">
        <ns0:is>
          <ns0:t>推理</ns0:t>
        </ns0:is>
      </ns0:c>
      <ns0:c r="D146" s="4" t="n">
        <ns0:v>2</ns0:v>
      </ns0:c>
      <ns0:c r="E146" s="4" t="n">
        <ns0:v>8</ns0:v>
      </ns0:c>
      <ns0:c r="F146" s="9" t="n">
        <ns0:v>65</ns0:v>
      </ns0:c>
      <ns0:c r="G146" s="9">
        <ns0:f>E146*F146</ns0:f>
        <ns0:v>520</ns0:v>
      </ns0:c>
      <ns0:c r="H146" s="9" t="n">
        <ns0:v>137</ns0:v>
      </ns0:c>
      <ns0:c r="I146" s="4" t="inlineStr">
        <ns0:is>
          <ns0:t>城限</ns0:t>
        </ns0:is>
      </ns0:c>
      <ns0:c r="J146" s="9">
        <ns0:f>G146-H146</ns0:f>
        <ns0:v>383</ns0:v>
      </ns0:c>
      <ns0:c r="K146" s="4" t="n">
        <ns0:v>7</ns0:v>
      </ns0:c>
      <ns0:c r="L146" s="4" t="n">
        <ns0:v>1500</ns0:v>
      </ns0:c>
      <ns0:c r="M146" s="4" t="n">
        <ns0:v>2000</ns0:v>
      </ns0:c>
      <ns0:c r="N146" s="4" t="n">
        <ns0:v>2500</ns0:v>
      </ns0:c>
      <ns0:c r="O146" s="9">
        <ns0:f>ROUND(L146/Assumptions!$B$2,0)</ns0:f>
        <ns0:v>208</ns0:v>
      </ns0:c>
      <ns0:c r="P146" s="9">
        <ns0:f>ROUND(M146/Assumptions!$B$2,0)</ns0:f>
        <ns0:v>278</ns0:v>
      </ns0:c>
      <ns0:c r="Q146" s="9">
        <ns0:f>ROUND(N146/Assumptions!$B$2,0)</ns0:f>
        <ns0:v>347</ns0:v>
      </ns0:c>
      <ns0:c r="R146" s="4">
        <ns0:f>COUNTIF(RawData[Script ID],A146)</ns0:f>
        <ns0:v>2</ns0:v>
      </ns0:c>
      <ns0:c r="S146" s="9">
        <ns0:f>SUMIF(RawData[Script ID],A146,RawData[Estimated Contribution])</ns0:f>
        <ns0:v>766.0</ns0:v>
      </ns0:c>
      <ns0:c r="T146" s="9">
        <ns0:f>S146-O146</ns0:f>
        <ns0:v>558.0</ns0:v>
      </ns0:c>
      <ns0:c r="U146" s="9">
        <ns0:f>S146-P146</ns0:f>
        <ns0:v>488.0</ns0:v>
      </ns0:c>
      <ns0:c r="V146" s="9">
        <ns0:f>S146-Q146</ns0:f>
        <ns0:v>419.0</ns0:v>
      </ns0:c>
      <ns0:c r="W146" s="4" t="str">
        <ns0:f>IF(R146=0,"Not Opened",IF(V146&gt;=0,"Recovered - All Scenarios",IF(U146&gt;=0,"Recovered - Low &amp; Base",IF(T146&gt;=0,"Recovered - Low Only","Not Recovered"))))</ns0:f>
        <ns0:v>Recovered - All Scenarios</ns0:v>
      </ns0:c>
      <ns0:c r="X146" s="9">
        <ns0:f>IF(R146=0,0,S146/R146)</ns0:f>
        <ns0:v>383.0</ns0:v>
      </ns0:c>
      <ns0:c r="Y146" s="4">
        <ns0:f>R146</ns0:f>
        <ns0:v>2</ns0:v>
      </ns0:c>
      <ns0:c r="Z146" s="9">
        <ns0:f>IF(R146=0,"",S146/R146)</ns0:f>
        <ns0:v>383.0</ns0:v>
      </ns0:c>
      <ns0:c r="AA146" s="4" t="str">
        <ns0:f>IF(R146=0,"Not Opened",IF(R146&gt;=Assumptions!$B$3,"High Frequency","Low Frequency")&amp;" / "&amp;IF(X146&gt;=Assumptions!$B$4,"High Contribution","Low Contribution"))</ns0:f>
        <ns0:v>High Frequency / Low Contribution</ns0:v>
      </ns0:c>
    </ns0:row>
    <ns0:row r="147">
      <ns0:c r="A147" s="4" t="inlineStr">
        <ns0:is>
          <ns0:t>SYN-146</ns0:t>
        </ns0:is>
      </ns0:c>
      <ns0:c r="B147" s="4" t="inlineStr">
        <ns0:is>
          <ns0:t>Synthetic Script 146</ns0:t>
        </ns0:is>
      </ns0:c>
      <ns0:c r="C147" s="4" t="inlineStr">
        <ns0:is>
          <ns0:t>情感</ns0:t>
        </ns0:is>
      </ns0:c>
      <ns0:c r="D147" s="4" t="n">
        <ns0:v>2</ns0:v>
      </ns0:c>
      <ns0:c r="E147" s="4" t="n">
        <ns0:v>6</ns0:v>
      </ns0:c>
      <ns0:c r="F147" s="9" t="n">
        <ns0:v>109</ns0:v>
      </ns0:c>
      <ns0:c r="G147" s="9">
        <ns0:f>E147*F147</ns0:f>
        <ns0:v>654</ns0:v>
      </ns0:c>
      <ns0:c r="H147" s="9" t="n">
        <ns0:v>180</ns0:v>
      </ns0:c>
      <ns0:c r="I147" s="4" t="inlineStr">
        <ns0:is>
          <ns0:t>盒装</ns0:t>
        </ns0:is>
      </ns0:c>
      <ns0:c r="J147" s="9">
        <ns0:f>G147-H147</ns0:f>
        <ns0:v>474</ns0:v>
      </ns0:c>
      <ns0:c r="K147" s="4" t="n">
        <ns0:v>7.7</ns0:v>
      </ns0:c>
      <ns0:c r="L147" s="4" t="n">
        <ns0:v>0</ns0:v>
      </ns0:c>
      <ns0:c r="M147" s="4" t="n">
        <ns0:v>750</ns0:v>
      </ns0:c>
      <ns0:c r="N147" s="4" t="n">
        <ns0:v>1000</ns0:v>
      </ns0:c>
      <ns0:c r="O147" s="9">
        <ns0:f>ROUND(L147/Assumptions!$B$2,0)</ns0:f>
        <ns0:v>0</ns0:v>
      </ns0:c>
      <ns0:c r="P147" s="9">
        <ns0:f>ROUND(M147/Assumptions!$B$2,0)</ns0:f>
        <ns0:v>104</ns0:v>
      </ns0:c>
      <ns0:c r="Q147" s="9">
        <ns0:f>ROUND(N147/Assumptions!$B$2,0)</ns0:f>
        <ns0:v>139</ns0:v>
      </ns0:c>
      <ns0:c r="R147" s="4">
        <ns0:f>COUNTIF(RawData[Script ID],A147)</ns0:f>
        <ns0:v>4</ns0:v>
      </ns0:c>
      <ns0:c r="S147" s="9">
        <ns0:f>SUMIF(RawData[Script ID],A147,RawData[Estimated Contribution])</ns0:f>
        <ns0:v>1896.0</ns0:v>
      </ns0:c>
      <ns0:c r="T147" s="9">
        <ns0:f>S147-O147</ns0:f>
        <ns0:v>1896.0</ns0:v>
      </ns0:c>
      <ns0:c r="U147" s="9">
        <ns0:f>S147-P147</ns0:f>
        <ns0:v>1792.0</ns0:v>
      </ns0:c>
      <ns0:c r="V147" s="9">
        <ns0:f>S147-Q147</ns0:f>
        <ns0:v>1757.0</ns0:v>
      </ns0:c>
      <ns0:c r="W147" s="4" t="str">
        <ns0:f>IF(R147=0,"Not Opened",IF(V147&gt;=0,"Recovered - All Scenarios",IF(U147&gt;=0,"Recovered - Low &amp; Base",IF(T147&gt;=0,"Recovered - Low Only","Not Recovered"))))</ns0:f>
        <ns0:v>Recovered - All Scenarios</ns0:v>
      </ns0:c>
      <ns0:c r="X147" s="9">
        <ns0:f>IF(R147=0,0,S147/R147)</ns0:f>
        <ns0:v>474.0</ns0:v>
      </ns0:c>
      <ns0:c r="Y147" s="4">
        <ns0:f>R147</ns0:f>
        <ns0:v>4</ns0:v>
      </ns0:c>
      <ns0:c r="Z147" s="9">
        <ns0:f>IF(R147=0,"",S147/R147)</ns0:f>
        <ns0:v>474.0</ns0:v>
      </ns0:c>
      <ns0:c r="AA147" s="4" t="str">
        <ns0:f>IF(R147=0,"Not Opened",IF(R147&gt;=Assumptions!$B$3,"High Frequency","Low Frequency")&amp;" / "&amp;IF(X147&gt;=Assumptions!$B$4,"High Contribution","Low Contribution"))</ns0:f>
        <ns0:v>High Frequency / Low Contribution</ns0:v>
      </ns0:c>
    </ns0:row>
    <ns0:row r="148">
      <ns0:c r="A148" s="4" t="inlineStr">
        <ns0:is>
          <ns0:t>SYN-147</ns0:t>
        </ns0:is>
      </ns0:c>
      <ns0:c r="B148" s="4" t="inlineStr">
        <ns0:is>
          <ns0:t>Synthetic Script 147</ns0:t>
        </ns0:is>
      </ns0:c>
      <ns0:c r="C148" s="4" t="inlineStr">
        <ns0:is>
          <ns0:t>机制</ns0:t>
        </ns0:is>
      </ns0:c>
      <ns0:c r="D148" s="4" t="n">
        <ns0:v>1</ns0:v>
      </ns0:c>
      <ns0:c r="E148" s="4" t="n">
        <ns0:v>6</ns0:v>
      </ns0:c>
      <ns0:c r="F148" s="9" t="n">
        <ns0:v>129</ns0:v>
      </ns0:c>
      <ns0:c r="G148" s="9">
        <ns0:f>E148*F148</ns0:f>
        <ns0:v>774</ns0:v>
      </ns0:c>
      <ns0:c r="H148" s="9" t="n">
        <ns0:v>203</ns0:v>
      </ns0:c>
      <ns0:c r="I148" s="4" t="inlineStr">
        <ns0:is>
          <ns0:t>城限</ns0:t>
        </ns0:is>
      </ns0:c>
      <ns0:c r="J148" s="9">
        <ns0:f>G148-H148</ns0:f>
        <ns0:v>571</ns0:v>
      </ns0:c>
      <ns0:c r="K148" s="4" t="n">
        <ns0:v>8.4</ns0:v>
      </ns0:c>
      <ns0:c r="L148" s="4" t="n">
        <ns0:v>1500</ns0:v>
      </ns0:c>
      <ns0:c r="M148" s="4" t="n">
        <ns0:v>2000</ns0:v>
      </ns0:c>
      <ns0:c r="N148" s="4" t="n">
        <ns0:v>2500</ns0:v>
      </ns0:c>
      <ns0:c r="O148" s="9">
        <ns0:f>ROUND(L148/Assumptions!$B$2,0)</ns0:f>
        <ns0:v>208</ns0:v>
      </ns0:c>
      <ns0:c r="P148" s="9">
        <ns0:f>ROUND(M148/Assumptions!$B$2,0)</ns0:f>
        <ns0:v>278</ns0:v>
      </ns0:c>
      <ns0:c r="Q148" s="9">
        <ns0:f>ROUND(N148/Assumptions!$B$2,0)</ns0:f>
        <ns0:v>347</ns0:v>
      </ns0:c>
      <ns0:c r="R148" s="4">
        <ns0:f>COUNTIF(RawData[Script ID],A148)</ns0:f>
        <ns0:v>0</ns0:v>
      </ns0:c>
      <ns0:c r="S148" s="9">
        <ns0:f>SUMIF(RawData[Script ID],A148,RawData[Estimated Contribution])</ns0:f>
        <ns0:v>0.0</ns0:v>
      </ns0:c>
      <ns0:c r="T148" s="9">
        <ns0:f>S148-O148</ns0:f>
        <ns0:v>-208.0</ns0:v>
      </ns0:c>
      <ns0:c r="U148" s="9">
        <ns0:f>S148-P148</ns0:f>
        <ns0:v>-278.0</ns0:v>
      </ns0:c>
      <ns0:c r="V148" s="9">
        <ns0:f>S148-Q148</ns0:f>
        <ns0:v>-347.0</ns0:v>
      </ns0:c>
      <ns0:c r="W148" s="4" t="str">
        <ns0:f>IF(R148=0,"Not Opened",IF(V148&gt;=0,"Recovered - All Scenarios",IF(U148&gt;=0,"Recovered - Low &amp; Base",IF(T148&gt;=0,"Recovered - Low Only","Not Recovered"))))</ns0:f>
        <ns0:v>Not Opened</ns0:v>
      </ns0:c>
      <ns0:c r="X148" s="9">
        <ns0:f>IF(R148=0,0,S148/R148)</ns0:f>
        <ns0:v>0</ns0:v>
      </ns0:c>
      <ns0:c r="Y148" s="4">
        <ns0:f>R148</ns0:f>
        <ns0:v>0</ns0:v>
      </ns0:c>
      <ns0:c r="Z148" s="9" t="str">
        <ns0:f>IF(R148=0,"",S148/R148)</ns0:f>
        <ns0:v/>
      </ns0:c>
      <ns0:c r="AA148" s="4" t="str">
        <ns0:f>IF(R148=0,"Not Opened",IF(R148&gt;=Assumptions!$B$3,"High Frequency","Low Frequency")&amp;" / "&amp;IF(X148&gt;=Assumptions!$B$4,"High Contribution","Low Contribution"))</ns0:f>
        <ns0:v>Not Opened</ns0:v>
      </ns0:c>
    </ns0:row>
    <ns0:row r="149">
      <ns0:c r="A149" s="4" t="inlineStr">
        <ns0:is>
          <ns0:t>SYN-148</ns0:t>
        </ns0:is>
      </ns0:c>
      <ns0:c r="B149" s="4" t="inlineStr">
        <ns0:is>
          <ns0:t>Synthetic Script 148</ns0:t>
        </ns0:is>
      </ns0:c>
      <ns0:c r="C149" s="4" t="inlineStr">
        <ns0:is>
          <ns0:t>推理</ns0:t>
        </ns0:is>
      </ns0:c>
      <ns0:c r="D149" s="4" t="n">
        <ns0:v>1</ns0:v>
      </ns0:c>
      <ns0:c r="E149" s="4" t="n">
        <ns0:v>6</ns0:v>
      </ns0:c>
      <ns0:c r="F149" s="9" t="n">
        <ns0:v>119</ns0:v>
      </ns0:c>
      <ns0:c r="G149" s="9">
        <ns0:f>E149*F149</ns0:f>
        <ns0:v>714</ns0:v>
      </ns0:c>
      <ns0:c r="H149" s="9" t="n">
        <ns0:v>187</ns0:v>
      </ns0:c>
      <ns0:c r="I149" s="4" t="inlineStr">
        <ns0:is>
          <ns0:t>盒装</ns0:t>
        </ns0:is>
      </ns0:c>
      <ns0:c r="J149" s="9">
        <ns0:f>G149-H149</ns0:f>
        <ns0:v>527</ns0:v>
      </ns0:c>
      <ns0:c r="K149" s="4" t="n">
        <ns0:v>7</ns0:v>
      </ns0:c>
      <ns0:c r="L149" s="4" t="n">
        <ns0:v>0</ns0:v>
      </ns0:c>
      <ns0:c r="M149" s="4" t="n">
        <ns0:v>750</ns0:v>
      </ns0:c>
      <ns0:c r="N149" s="4" t="n">
        <ns0:v>1000</ns0:v>
      </ns0:c>
      <ns0:c r="O149" s="9">
        <ns0:f>ROUND(L149/Assumptions!$B$2,0)</ns0:f>
        <ns0:v>0</ns0:v>
      </ns0:c>
      <ns0:c r="P149" s="9">
        <ns0:f>ROUND(M149/Assumptions!$B$2,0)</ns0:f>
        <ns0:v>104</ns0:v>
      </ns0:c>
      <ns0:c r="Q149" s="9">
        <ns0:f>ROUND(N149/Assumptions!$B$2,0)</ns0:f>
        <ns0:v>139</ns0:v>
      </ns0:c>
      <ns0:c r="R149" s="4">
        <ns0:f>COUNTIF(RawData[Script ID],A149)</ns0:f>
        <ns0:v>2</ns0:v>
      </ns0:c>
      <ns0:c r="S149" s="9">
        <ns0:f>SUMIF(RawData[Script ID],A149,RawData[Estimated Contribution])</ns0:f>
        <ns0:v>1054.0</ns0:v>
      </ns0:c>
      <ns0:c r="T149" s="9">
        <ns0:f>S149-O149</ns0:f>
        <ns0:v>1054.0</ns0:v>
      </ns0:c>
      <ns0:c r="U149" s="9">
        <ns0:f>S149-P149</ns0:f>
        <ns0:v>950.0</ns0:v>
      </ns0:c>
      <ns0:c r="V149" s="9">
        <ns0:f>S149-Q149</ns0:f>
        <ns0:v>915.0</ns0:v>
      </ns0:c>
      <ns0:c r="W149" s="4" t="str">
        <ns0:f>IF(R149=0,"Not Opened",IF(V149&gt;=0,"Recovered - All Scenarios",IF(U149&gt;=0,"Recovered - Low &amp; Base",IF(T149&gt;=0,"Recovered - Low Only","Not Recovered"))))</ns0:f>
        <ns0:v>Recovered - All Scenarios</ns0:v>
      </ns0:c>
      <ns0:c r="X149" s="9">
        <ns0:f>IF(R149=0,0,S149/R149)</ns0:f>
        <ns0:v>527.0</ns0:v>
      </ns0:c>
      <ns0:c r="Y149" s="4">
        <ns0:f>R149</ns0:f>
        <ns0:v>2</ns0:v>
      </ns0:c>
      <ns0:c r="Z149" s="9">
        <ns0:f>IF(R149=0,"",S149/R149)</ns0:f>
        <ns0:v>527.0</ns0:v>
      </ns0:c>
      <ns0:c r="AA149" s="4" t="str">
        <ns0:f>IF(R149=0,"Not Opened",IF(R149&gt;=Assumptions!$B$3,"High Frequency","Low Frequency")&amp;" / "&amp;IF(X149&gt;=Assumptions!$B$4,"High Contribution","Low Contribution"))</ns0:f>
        <ns0:v>High Frequency / High Contribution</ns0:v>
      </ns0:c>
    </ns0:row>
    <ns0:row r="150">
      <ns0:c r="A150" s="4" t="inlineStr">
        <ns0:is>
          <ns0:t>SYN-149</ns0:t>
        </ns0:is>
      </ns0:c>
      <ns0:c r="B150" s="4" t="inlineStr">
        <ns0:is>
          <ns0:t>Synthetic Script 149</ns0:t>
        </ns0:is>
      </ns0:c>
      <ns0:c r="C150" s="4" t="inlineStr">
        <ns0:is>
          <ns0:t>欢乐</ns0:t>
        </ns0:is>
      </ns0:c>
      <ns0:c r="D150" s="4" t="n">
        <ns0:v>3</ns0:v>
      </ns0:c>
      <ns0:c r="E150" s="4" t="n">
        <ns0:v>7</ns0:v>
      </ns0:c>
      <ns0:c r="F150" s="9" t="n">
        <ns0:v>95</ns0:v>
      </ns0:c>
      <ns0:c r="G150" s="9">
        <ns0:f>E150*F150</ns0:f>
        <ns0:v>665</ns0:v>
      </ns0:c>
      <ns0:c r="H150" s="9" t="n">
        <ns0:v>175</ns0:v>
      </ns0:c>
      <ns0:c r="I150" s="4" t="inlineStr">
        <ns0:is>
          <ns0:t>独家</ns0:t>
        </ns0:is>
      </ns0:c>
      <ns0:c r="J150" s="9">
        <ns0:f>G150-H150</ns0:f>
        <ns0:v>490</ns0:v>
      </ns0:c>
      <ns0:c r="K150" s="4" t="n">
        <ns0:v>7.7</ns0:v>
      </ns0:c>
      <ns0:c r="L150" s="4" t="n">
        <ns0:v>2500</ns0:v>
      </ns0:c>
      <ns0:c r="M150" s="4" t="n">
        <ns0:v>3000</ns0:v>
      </ns0:c>
      <ns0:c r="N150" s="4" t="n">
        <ns0:v>3500</ns0:v>
      </ns0:c>
      <ns0:c r="O150" s="9">
        <ns0:f>ROUND(L150/Assumptions!$B$2,0)</ns0:f>
        <ns0:v>347</ns0:v>
      </ns0:c>
      <ns0:c r="P150" s="9">
        <ns0:f>ROUND(M150/Assumptions!$B$2,0)</ns0:f>
        <ns0:v>417</ns0:v>
      </ns0:c>
      <ns0:c r="Q150" s="9">
        <ns0:f>ROUND(N150/Assumptions!$B$2,0)</ns0:f>
        <ns0:v>486</ns0:v>
      </ns0:c>
      <ns0:c r="R150" s="4">
        <ns0:f>COUNTIF(RawData[Script ID],A150)</ns0:f>
        <ns0:v>4</ns0:v>
      </ns0:c>
      <ns0:c r="S150" s="9">
        <ns0:f>SUMIF(RawData[Script ID],A150,RawData[Estimated Contribution])</ns0:f>
        <ns0:v>1960.0</ns0:v>
      </ns0:c>
      <ns0:c r="T150" s="9">
        <ns0:f>S150-O150</ns0:f>
        <ns0:v>1613.0</ns0:v>
      </ns0:c>
      <ns0:c r="U150" s="9">
        <ns0:f>S150-P150</ns0:f>
        <ns0:v>1543.0</ns0:v>
      </ns0:c>
      <ns0:c r="V150" s="9">
        <ns0:f>S150-Q150</ns0:f>
        <ns0:v>1474.0</ns0:v>
      </ns0:c>
      <ns0:c r="W150" s="4" t="str">
        <ns0:f>IF(R150=0,"Not Opened",IF(V150&gt;=0,"Recovered - All Scenarios",IF(U150&gt;=0,"Recovered - Low &amp; Base",IF(T150&gt;=0,"Recovered - Low Only","Not Recovered"))))</ns0:f>
        <ns0:v>Recovered - All Scenarios</ns0:v>
      </ns0:c>
      <ns0:c r="X150" s="9">
        <ns0:f>IF(R150=0,0,S150/R150)</ns0:f>
        <ns0:v>490.0</ns0:v>
      </ns0:c>
      <ns0:c r="Y150" s="4">
        <ns0:f>R150</ns0:f>
        <ns0:v>4</ns0:v>
      </ns0:c>
      <ns0:c r="Z150" s="9">
        <ns0:f>IF(R150=0,"",S150/R150)</ns0:f>
        <ns0:v>490.0</ns0:v>
      </ns0:c>
      <ns0:c r="AA150" s="4" t="str">
        <ns0:f>IF(R150=0,"Not Opened",IF(R150&gt;=Assumptions!$B$3,"High Frequency","Low Frequency")&amp;" / "&amp;IF(X150&gt;=Assumptions!$B$4,"High Contribution","Low Contribution"))</ns0:f>
        <ns0:v>High Frequency / High Contribution</ns0:v>
      </ns0:c>
    </ns0:row>
    <ns0:row r="151">
      <ns0:c r="A151" s="4" t="inlineStr">
        <ns0:is>
          <ns0:t>SYN-150</ns0:t>
        </ns0:is>
      </ns0:c>
      <ns0:c r="B151" s="4" t="inlineStr">
        <ns0:is>
          <ns0:t>Synthetic Script 150</ns0:t>
        </ns0:is>
      </ns0:c>
      <ns0:c r="C151" s="4" t="inlineStr">
        <ns0:is>
          <ns0:t>情感</ns0:t>
        </ns0:is>
      </ns0:c>
      <ns0:c r="D151" s="4" t="n">
        <ns0:v>6</ns0:v>
      </ns0:c>
      <ns0:c r="E151" s="4" t="n">
        <ns0:v>8</ns0:v>
      </ns0:c>
      <ns0:c r="F151" s="9" t="n">
        <ns0:v>109</ns0:v>
      </ns0:c>
      <ns0:c r="G151" s="9">
        <ns0:f>E151*F151</ns0:f>
        <ns0:v>872</ns0:v>
      </ns0:c>
      <ns0:c r="H151" s="9" t="n">
        <ns0:v>540</ns0:v>
      </ns0:c>
      <ns0:c r="I151" s="4" t="inlineStr">
        <ns0:is>
          <ns0:t>盒装</ns0:t>
        </ns0:is>
      </ns0:c>
      <ns0:c r="J151" s="9">
        <ns0:f>G151-H151</ns0:f>
        <ns0:v>332</ns0:v>
      </ns0:c>
      <ns0:c r="K151" s="4" t="n">
        <ns0:v>8.4</ns0:v>
      </ns0:c>
      <ns0:c r="L151" s="4" t="n">
        <ns0:v>0</ns0:v>
      </ns0:c>
      <ns0:c r="M151" s="4" t="n">
        <ns0:v>750</ns0:v>
      </ns0:c>
      <ns0:c r="N151" s="4" t="n">
        <ns0:v>1000</ns0:v>
      </ns0:c>
      <ns0:c r="O151" s="9">
        <ns0:f>ROUND(L151/Assumptions!$B$2,0)</ns0:f>
        <ns0:v>0</ns0:v>
      </ns0:c>
      <ns0:c r="P151" s="9">
        <ns0:f>ROUND(M151/Assumptions!$B$2,0)</ns0:f>
        <ns0:v>104</ns0:v>
      </ns0:c>
      <ns0:c r="Q151" s="9">
        <ns0:f>ROUND(N151/Assumptions!$B$2,0)</ns0:f>
        <ns0:v>139</ns0:v>
      </ns0:c>
      <ns0:c r="R151" s="4">
        <ns0:f>COUNTIF(RawData[Script ID],A151)</ns0:f>
        <ns0:v>1</ns0:v>
      </ns0:c>
      <ns0:c r="S151" s="9">
        <ns0:f>SUMIF(RawData[Script ID],A151,RawData[Estimated Contribution])</ns0:f>
        <ns0:v>332.0</ns0:v>
      </ns0:c>
      <ns0:c r="T151" s="9">
        <ns0:f>S151-O151</ns0:f>
        <ns0:v>332.0</ns0:v>
      </ns0:c>
      <ns0:c r="U151" s="9">
        <ns0:f>S151-P151</ns0:f>
        <ns0:v>228.0</ns0:v>
      </ns0:c>
      <ns0:c r="V151" s="9">
        <ns0:f>S151-Q151</ns0:f>
        <ns0:v>193.0</ns0:v>
      </ns0:c>
      <ns0:c r="W151" s="4" t="str">
        <ns0:f>IF(R151=0,"Not Opened",IF(V151&gt;=0,"Recovered - All Scenarios",IF(U151&gt;=0,"Recovered - Low &amp; Base",IF(T151&gt;=0,"Recovered - Low Only","Not Recovered"))))</ns0:f>
        <ns0:v>Recovered - All Scenarios</ns0:v>
      </ns0:c>
      <ns0:c r="X151" s="9">
        <ns0:f>IF(R151=0,0,S151/R151)</ns0:f>
        <ns0:v>332.0</ns0:v>
      </ns0:c>
      <ns0:c r="Y151" s="4">
        <ns0:f>R151</ns0:f>
        <ns0:v>1</ns0:v>
      </ns0:c>
      <ns0:c r="Z151" s="9">
        <ns0:f>IF(R151=0,"",S151/R151)</ns0:f>
        <ns0:v>332.0</ns0:v>
      </ns0:c>
      <ns0:c r="AA151" s="4" t="str">
        <ns0:f>IF(R151=0,"Not Opened",IF(R151&gt;=Assumptions!$B$3,"High Frequency","Low Frequency")&amp;" / "&amp;IF(X151&gt;=Assumptions!$B$4,"High Contribution","Low Contribution"))</ns0:f>
        <ns0:v>Low Frequency / Low Contribution</ns0:v>
      </ns0:c>
    </ns0:row>
    <ns0:row r="152">
      <ns0:c r="A152" s="4" t="inlineStr">
        <ns0:is>
          <ns0:t>SYN-151</ns0:t>
        </ns0:is>
      </ns0:c>
      <ns0:c r="B152" s="4" t="inlineStr">
        <ns0:is>
          <ns0:t>Synthetic Script 151</ns0:t>
        </ns0:is>
      </ns0:c>
      <ns0:c r="C152" s="4" t="inlineStr">
        <ns0:is>
          <ns0:t>情感</ns0:t>
        </ns0:is>
      </ns0:c>
      <ns0:c r="D152" s="4" t="n">
        <ns0:v>2</ns0:v>
      </ns0:c>
      <ns0:c r="E152" s="4" t="n">
        <ns0:v>6</ns0:v>
      </ns0:c>
      <ns0:c r="F152" s="9" t="n">
        <ns0:v>118</ns0:v>
      </ns0:c>
      <ns0:c r="G152" s="9">
        <ns0:f>E152*F152</ns0:f>
        <ns0:v>708</ns0:v>
      </ns0:c>
      <ns0:c r="H152" s="9" t="n">
        <ns0:v>180</ns0:v>
      </ns0:c>
      <ns0:c r="I152" s="4" t="inlineStr">
        <ns0:is>
          <ns0:t>盒装</ns0:t>
        </ns0:is>
      </ns0:c>
      <ns0:c r="J152" s="9">
        <ns0:f>G152-H152</ns0:f>
        <ns0:v>528</ns0:v>
      </ns0:c>
      <ns0:c r="K152" s="4" t="n">
        <ns0:v>7</ns0:v>
      </ns0:c>
      <ns0:c r="L152" s="4" t="n">
        <ns0:v>0</ns0:v>
      </ns0:c>
      <ns0:c r="M152" s="4" t="n">
        <ns0:v>750</ns0:v>
      </ns0:c>
      <ns0:c r="N152" s="4" t="n">
        <ns0:v>1000</ns0:v>
      </ns0:c>
      <ns0:c r="O152" s="9">
        <ns0:f>ROUND(L152/Assumptions!$B$2,0)</ns0:f>
        <ns0:v>0</ns0:v>
      </ns0:c>
      <ns0:c r="P152" s="9">
        <ns0:f>ROUND(M152/Assumptions!$B$2,0)</ns0:f>
        <ns0:v>104</ns0:v>
      </ns0:c>
      <ns0:c r="Q152" s="9">
        <ns0:f>ROUND(N152/Assumptions!$B$2,0)</ns0:f>
        <ns0:v>139</ns0:v>
      </ns0:c>
      <ns0:c r="R152" s="4">
        <ns0:f>COUNTIF(RawData[Script ID],A152)</ns0:f>
        <ns0:v>2</ns0:v>
      </ns0:c>
      <ns0:c r="S152" s="9">
        <ns0:f>SUMIF(RawData[Script ID],A152,RawData[Estimated Contribution])</ns0:f>
        <ns0:v>1056.0</ns0:v>
      </ns0:c>
      <ns0:c r="T152" s="9">
        <ns0:f>S152-O152</ns0:f>
        <ns0:v>1056.0</ns0:v>
      </ns0:c>
      <ns0:c r="U152" s="9">
        <ns0:f>S152-P152</ns0:f>
        <ns0:v>952.0</ns0:v>
      </ns0:c>
      <ns0:c r="V152" s="9">
        <ns0:f>S152-Q152</ns0:f>
        <ns0:v>917.0</ns0:v>
      </ns0:c>
      <ns0:c r="W152" s="4" t="str">
        <ns0:f>IF(R152=0,"Not Opened",IF(V152&gt;=0,"Recovered - All Scenarios",IF(U152&gt;=0,"Recovered - Low &amp; Base",IF(T152&gt;=0,"Recovered - Low Only","Not Recovered"))))</ns0:f>
        <ns0:v>Recovered - All Scenarios</ns0:v>
      </ns0:c>
      <ns0:c r="X152" s="9">
        <ns0:f>IF(R152=0,0,S152/R152)</ns0:f>
        <ns0:v>528.0</ns0:v>
      </ns0:c>
      <ns0:c r="Y152" s="4">
        <ns0:f>R152</ns0:f>
        <ns0:v>2</ns0:v>
      </ns0:c>
      <ns0:c r="Z152" s="9">
        <ns0:f>IF(R152=0,"",S152/R152)</ns0:f>
        <ns0:v>528.0</ns0:v>
      </ns0:c>
      <ns0:c r="AA152" s="4" t="str">
        <ns0:f>IF(R152=0,"Not Opened",IF(R152&gt;=Assumptions!$B$3,"High Frequency","Low Frequency")&amp;" / "&amp;IF(X152&gt;=Assumptions!$B$4,"High Contribution","Low Contribution"))</ns0:f>
        <ns0:v>High Frequency / High Contribution</ns0:v>
      </ns0:c>
    </ns0:row>
    <ns0:row r="153">
      <ns0:c r="A153" s="4" t="inlineStr">
        <ns0:is>
          <ns0:t>SYN-152</ns0:t>
        </ns0:is>
      </ns0:c>
      <ns0:c r="B153" s="4" t="inlineStr">
        <ns0:is>
          <ns0:t>Synthetic Script 152</ns0:t>
        </ns0:is>
      </ns0:c>
      <ns0:c r="C153" s="4" t="inlineStr">
        <ns0:is>
          <ns0:t>推理</ns0:t>
        </ns0:is>
      </ns0:c>
      <ns0:c r="D153" s="4" t="n">
        <ns0:v>1</ns0:v>
      </ns0:c>
      <ns0:c r="E153" s="4" t="n">
        <ns0:v>6</ns0:v>
      </ns0:c>
      <ns0:c r="F153" s="9" t="n">
        <ns0:v>119</ns0:v>
      </ns0:c>
      <ns0:c r="G153" s="9">
        <ns0:f>E153*F153</ns0:f>
        <ns0:v>714</ns0:v>
      </ns0:c>
      <ns0:c r="H153" s="9" t="n">
        <ns0:v>187</ns0:v>
      </ns0:c>
      <ns0:c r="I153" s="4" t="inlineStr">
        <ns0:is>
          <ns0:t>城限</ns0:t>
        </ns0:is>
      </ns0:c>
      <ns0:c r="J153" s="9">
        <ns0:f>G153-H153</ns0:f>
        <ns0:v>527</ns0:v>
      </ns0:c>
      <ns0:c r="K153" s="4" t="n">
        <ns0:v>7.7</ns0:v>
      </ns0:c>
      <ns0:c r="L153" s="4" t="n">
        <ns0:v>1500</ns0:v>
      </ns0:c>
      <ns0:c r="M153" s="4" t="n">
        <ns0:v>2000</ns0:v>
      </ns0:c>
      <ns0:c r="N153" s="4" t="n">
        <ns0:v>2500</ns0:v>
      </ns0:c>
      <ns0:c r="O153" s="9">
        <ns0:f>ROUND(L153/Assumptions!$B$2,0)</ns0:f>
        <ns0:v>208</ns0:v>
      </ns0:c>
      <ns0:c r="P153" s="9">
        <ns0:f>ROUND(M153/Assumptions!$B$2,0)</ns0:f>
        <ns0:v>278</ns0:v>
      </ns0:c>
      <ns0:c r="Q153" s="9">
        <ns0:f>ROUND(N153/Assumptions!$B$2,0)</ns0:f>
        <ns0:v>347</ns0:v>
      </ns0:c>
      <ns0:c r="R153" s="4">
        <ns0:f>COUNTIF(RawData[Script ID],A153)</ns0:f>
        <ns0:v>5</ns0:v>
      </ns0:c>
      <ns0:c r="S153" s="9">
        <ns0:f>SUMIF(RawData[Script ID],A153,RawData[Estimated Contribution])</ns0:f>
        <ns0:v>2635.0</ns0:v>
      </ns0:c>
      <ns0:c r="T153" s="9">
        <ns0:f>S153-O153</ns0:f>
        <ns0:v>2427.0</ns0:v>
      </ns0:c>
      <ns0:c r="U153" s="9">
        <ns0:f>S153-P153</ns0:f>
        <ns0:v>2357.0</ns0:v>
      </ns0:c>
      <ns0:c r="V153" s="9">
        <ns0:f>S153-Q153</ns0:f>
        <ns0:v>2288.0</ns0:v>
      </ns0:c>
      <ns0:c r="W153" s="4" t="str">
        <ns0:f>IF(R153=0,"Not Opened",IF(V153&gt;=0,"Recovered - All Scenarios",IF(U153&gt;=0,"Recovered - Low &amp; Base",IF(T153&gt;=0,"Recovered - Low Only","Not Recovered"))))</ns0:f>
        <ns0:v>Recovered - All Scenarios</ns0:v>
      </ns0:c>
      <ns0:c r="X153" s="9">
        <ns0:f>IF(R153=0,0,S153/R153)</ns0:f>
        <ns0:v>527.0</ns0:v>
      </ns0:c>
      <ns0:c r="Y153" s="4">
        <ns0:f>R153</ns0:f>
        <ns0:v>5</ns0:v>
      </ns0:c>
      <ns0:c r="Z153" s="9">
        <ns0:f>IF(R153=0,"",S153/R153)</ns0:f>
        <ns0:v>527.0</ns0:v>
      </ns0:c>
      <ns0:c r="AA153" s="4" t="str">
        <ns0:f>IF(R153=0,"Not Opened",IF(R153&gt;=Assumptions!$B$3,"High Frequency","Low Frequency")&amp;" / "&amp;IF(X153&gt;=Assumptions!$B$4,"High Contribution","Low Contribution"))</ns0:f>
        <ns0:v>High Frequency / High Contribution</ns0:v>
      </ns0:c>
    </ns0:row>
    <ns0:row r="154">
      <ns0:c r="A154" s="4" t="inlineStr">
        <ns0:is>
          <ns0:t>SYN-153</ns0:t>
        </ns0:is>
      </ns0:c>
      <ns0:c r="B154" s="4" t="inlineStr">
        <ns0:is>
          <ns0:t>Synthetic Script 153</ns0:t>
        </ns0:is>
      </ns0:c>
      <ns0:c r="C154" s="4" t="inlineStr">
        <ns0:is>
          <ns0:t>情感</ns0:t>
        </ns0:is>
      </ns0:c>
      <ns0:c r="D154" s="4" t="n">
        <ns0:v>3</ns0:v>
      </ns0:c>
      <ns0:c r="E154" s="4" t="n">
        <ns0:v>6</ns0:v>
      </ns0:c>
      <ns0:c r="F154" s="9" t="n">
        <ns0:v>99</ns0:v>
      </ns0:c>
      <ns0:c r="G154" s="9">
        <ns0:f>E154*F154</ns0:f>
        <ns0:v>594</ns0:v>
      </ns0:c>
      <ns0:c r="H154" s="9" t="n">
        <ns0:v>270</ns0:v>
      </ns0:c>
      <ns0:c r="I154" s="4" t="inlineStr">
        <ns0:is>
          <ns0:t>盒装</ns0:t>
        </ns0:is>
      </ns0:c>
      <ns0:c r="J154" s="9">
        <ns0:f>G154-H154</ns0:f>
        <ns0:v>324</ns0:v>
      </ns0:c>
      <ns0:c r="K154" s="4" t="n">
        <ns0:v>8.4</ns0:v>
      </ns0:c>
      <ns0:c r="L154" s="4" t="n">
        <ns0:v>0</ns0:v>
      </ns0:c>
      <ns0:c r="M154" s="4" t="n">
        <ns0:v>750</ns0:v>
      </ns0:c>
      <ns0:c r="N154" s="4" t="n">
        <ns0:v>1000</ns0:v>
      </ns0:c>
      <ns0:c r="O154" s="9">
        <ns0:f>ROUND(L154/Assumptions!$B$2,0)</ns0:f>
        <ns0:v>0</ns0:v>
      </ns0:c>
      <ns0:c r="P154" s="9">
        <ns0:f>ROUND(M154/Assumptions!$B$2,0)</ns0:f>
        <ns0:v>104</ns0:v>
      </ns0:c>
      <ns0:c r="Q154" s="9">
        <ns0:f>ROUND(N154/Assumptions!$B$2,0)</ns0:f>
        <ns0:v>139</ns0:v>
      </ns0:c>
      <ns0:c r="R154" s="4">
        <ns0:f>COUNTIF(RawData[Script ID],A154)</ns0:f>
        <ns0:v>1</ns0:v>
      </ns0:c>
      <ns0:c r="S154" s="9">
        <ns0:f>SUMIF(RawData[Script ID],A154,RawData[Estimated Contribution])</ns0:f>
        <ns0:v>324.0</ns0:v>
      </ns0:c>
      <ns0:c r="T154" s="9">
        <ns0:f>S154-O154</ns0:f>
        <ns0:v>324.0</ns0:v>
      </ns0:c>
      <ns0:c r="U154" s="9">
        <ns0:f>S154-P154</ns0:f>
        <ns0:v>220.0</ns0:v>
      </ns0:c>
      <ns0:c r="V154" s="9">
        <ns0:f>S154-Q154</ns0:f>
        <ns0:v>185.0</ns0:v>
      </ns0:c>
      <ns0:c r="W154" s="4" t="str">
        <ns0:f>IF(R154=0,"Not Opened",IF(V154&gt;=0,"Recovered - All Scenarios",IF(U154&gt;=0,"Recovered - Low &amp; Base",IF(T154&gt;=0,"Recovered - Low Only","Not Recovered"))))</ns0:f>
        <ns0:v>Recovered - All Scenarios</ns0:v>
      </ns0:c>
      <ns0:c r="X154" s="9">
        <ns0:f>IF(R154=0,0,S154/R154)</ns0:f>
        <ns0:v>324.0</ns0:v>
      </ns0:c>
      <ns0:c r="Y154" s="4">
        <ns0:f>R154</ns0:f>
        <ns0:v>1</ns0:v>
      </ns0:c>
      <ns0:c r="Z154" s="9">
        <ns0:f>IF(R154=0,"",S154/R154)</ns0:f>
        <ns0:v>324.0</ns0:v>
      </ns0:c>
      <ns0:c r="AA154" s="4" t="str">
        <ns0:f>IF(R154=0,"Not Opened",IF(R154&gt;=Assumptions!$B$3,"High Frequency","Low Frequency")&amp;" / "&amp;IF(X154&gt;=Assumptions!$B$4,"High Contribution","Low Contribution"))</ns0:f>
        <ns0:v>Low Frequency / Low Contribution</ns0:v>
      </ns0:c>
    </ns0:row>
    <ns0:row r="155">
      <ns0:c r="A155" s="4" t="inlineStr">
        <ns0:is>
          <ns0:t>SYN-154</ns0:t>
        </ns0:is>
      </ns0:c>
      <ns0:c r="B155" s="4" t="inlineStr">
        <ns0:is>
          <ns0:t>Synthetic Script 154</ns0:t>
        </ns0:is>
      </ns0:c>
      <ns0:c r="C155" s="4" t="inlineStr">
        <ns0:is>
          <ns0:t>欢乐</ns0:t>
        </ns0:is>
      </ns0:c>
      <ns0:c r="D155" s="4" t="n">
        <ns0:v>3</ns0:v>
      </ns0:c>
      <ns0:c r="E155" s="4" t="n">
        <ns0:v>7</ns0:v>
      </ns0:c>
      <ns0:c r="F155" s="9" t="n">
        <ns0:v>109</ns0:v>
      </ns0:c>
      <ns0:c r="G155" s="9">
        <ns0:f>E155*F155</ns0:f>
        <ns0:v>763</ns0:v>
      </ns0:c>
      <ns0:c r="H155" s="9" t="n">
        <ns0:v>200</ns0:v>
      </ns0:c>
      <ns0:c r="I155" s="4" t="inlineStr">
        <ns0:is>
          <ns0:t>独家</ns0:t>
        </ns0:is>
      </ns0:c>
      <ns0:c r="J155" s="9">
        <ns0:f>G155-H155</ns0:f>
        <ns0:v>563</ns0:v>
      </ns0:c>
      <ns0:c r="K155" s="4" t="n">
        <ns0:v>7</ns0:v>
      </ns0:c>
      <ns0:c r="L155" s="4" t="n">
        <ns0:v>2500</ns0:v>
      </ns0:c>
      <ns0:c r="M155" s="4" t="n">
        <ns0:v>3000</ns0:v>
      </ns0:c>
      <ns0:c r="N155" s="4" t="n">
        <ns0:v>3500</ns0:v>
      </ns0:c>
      <ns0:c r="O155" s="9">
        <ns0:f>ROUND(L155/Assumptions!$B$2,0)</ns0:f>
        <ns0:v>347</ns0:v>
      </ns0:c>
      <ns0:c r="P155" s="9">
        <ns0:f>ROUND(M155/Assumptions!$B$2,0)</ns0:f>
        <ns0:v>417</ns0:v>
      </ns0:c>
      <ns0:c r="Q155" s="9">
        <ns0:f>ROUND(N155/Assumptions!$B$2,0)</ns0:f>
        <ns0:v>486</ns0:v>
      </ns0:c>
      <ns0:c r="R155" s="4">
        <ns0:f>COUNTIF(RawData[Script ID],A155)</ns0:f>
        <ns0:v>2</ns0:v>
      </ns0:c>
      <ns0:c r="S155" s="9">
        <ns0:f>SUMIF(RawData[Script ID],A155,RawData[Estimated Contribution])</ns0:f>
        <ns0:v>1126.0</ns0:v>
      </ns0:c>
      <ns0:c r="T155" s="9">
        <ns0:f>S155-O155</ns0:f>
        <ns0:v>779.0</ns0:v>
      </ns0:c>
      <ns0:c r="U155" s="9">
        <ns0:f>S155-P155</ns0:f>
        <ns0:v>709.0</ns0:v>
      </ns0:c>
      <ns0:c r="V155" s="9">
        <ns0:f>S155-Q155</ns0:f>
        <ns0:v>640.0</ns0:v>
      </ns0:c>
      <ns0:c r="W155" s="4" t="str">
        <ns0:f>IF(R155=0,"Not Opened",IF(V155&gt;=0,"Recovered - All Scenarios",IF(U155&gt;=0,"Recovered - Low &amp; Base",IF(T155&gt;=0,"Recovered - Low Only","Not Recovered"))))</ns0:f>
        <ns0:v>Recovered - All Scenarios</ns0:v>
      </ns0:c>
      <ns0:c r="X155" s="9">
        <ns0:f>IF(R155=0,0,S155/R155)</ns0:f>
        <ns0:v>563.0</ns0:v>
      </ns0:c>
      <ns0:c r="Y155" s="4">
        <ns0:f>R155</ns0:f>
        <ns0:v>2</ns0:v>
      </ns0:c>
      <ns0:c r="Z155" s="9">
        <ns0:f>IF(R155=0,"",S155/R155)</ns0:f>
        <ns0:v>563.0</ns0:v>
      </ns0:c>
      <ns0:c r="AA155" s="4" t="str">
        <ns0:f>IF(R155=0,"Not Opened",IF(R155&gt;=Assumptions!$B$3,"High Frequency","Low Frequency")&amp;" / "&amp;IF(X155&gt;=Assumptions!$B$4,"High Contribution","Low Contribution"))</ns0:f>
        <ns0:v>High Frequency / High Contribution</ns0:v>
      </ns0:c>
    </ns0:row>
    <ns0:row r="156">
      <ns0:c r="A156" s="4" t="inlineStr">
        <ns0:is>
          <ns0:t>SYN-155</ns0:t>
        </ns0:is>
      </ns0:c>
      <ns0:c r="B156" s="4" t="inlineStr">
        <ns0:is>
          <ns0:t>Synthetic Script 155</ns0:t>
        </ns0:is>
      </ns0:c>
      <ns0:c r="C156" s="4" t="inlineStr">
        <ns0:is>
          <ns0:t>推理</ns0:t>
        </ns0:is>
      </ns0:c>
      <ns0:c r="D156" s="4" t="n">
        <ns0:v>2</ns0:v>
      </ns0:c>
      <ns0:c r="E156" s="4" t="n">
        <ns0:v>8</ns0:v>
      </ns0:c>
      <ns0:c r="F156" s="9" t="n">
        <ns0:v>95</ns0:v>
      </ns0:c>
      <ns0:c r="G156" s="9">
        <ns0:f>E156*F156</ns0:f>
        <ns0:v>760</ns0:v>
      </ns0:c>
      <ns0:c r="H156" s="9" t="n">
        <ns0:v>200</ns0:v>
      </ns0:c>
      <ns0:c r="I156" s="4" t="inlineStr">
        <ns0:is>
          <ns0:t>城限</ns0:t>
        </ns0:is>
      </ns0:c>
      <ns0:c r="J156" s="9">
        <ns0:f>G156-H156</ns0:f>
        <ns0:v>560</ns0:v>
      </ns0:c>
      <ns0:c r="K156" s="4" t="n">
        <ns0:v>7.7</ns0:v>
      </ns0:c>
      <ns0:c r="L156" s="4" t="n">
        <ns0:v>1500</ns0:v>
      </ns0:c>
      <ns0:c r="M156" s="4" t="n">
        <ns0:v>2000</ns0:v>
      </ns0:c>
      <ns0:c r="N156" s="4" t="n">
        <ns0:v>2500</ns0:v>
      </ns0:c>
      <ns0:c r="O156" s="9">
        <ns0:f>ROUND(L156/Assumptions!$B$2,0)</ns0:f>
        <ns0:v>208</ns0:v>
      </ns0:c>
      <ns0:c r="P156" s="9">
        <ns0:f>ROUND(M156/Assumptions!$B$2,0)</ns0:f>
        <ns0:v>278</ns0:v>
      </ns0:c>
      <ns0:c r="Q156" s="9">
        <ns0:f>ROUND(N156/Assumptions!$B$2,0)</ns0:f>
        <ns0:v>347</ns0:v>
      </ns0:c>
      <ns0:c r="R156" s="4">
        <ns0:f>COUNTIF(RawData[Script ID],A156)</ns0:f>
        <ns0:v>7</ns0:v>
      </ns0:c>
      <ns0:c r="S156" s="9">
        <ns0:f>SUMIF(RawData[Script ID],A156,RawData[Estimated Contribution])</ns0:f>
        <ns0:v>3920.0</ns0:v>
      </ns0:c>
      <ns0:c r="T156" s="9">
        <ns0:f>S156-O156</ns0:f>
        <ns0:v>3712.0</ns0:v>
      </ns0:c>
      <ns0:c r="U156" s="9">
        <ns0:f>S156-P156</ns0:f>
        <ns0:v>3642.0</ns0:v>
      </ns0:c>
      <ns0:c r="V156" s="9">
        <ns0:f>S156-Q156</ns0:f>
        <ns0:v>3573.0</ns0:v>
      </ns0:c>
      <ns0:c r="W156" s="4" t="str">
        <ns0:f>IF(R156=0,"Not Opened",IF(V156&gt;=0,"Recovered - All Scenarios",IF(U156&gt;=0,"Recovered - Low &amp; Base",IF(T156&gt;=0,"Recovered - Low Only","Not Recovered"))))</ns0:f>
        <ns0:v>Recovered - All Scenarios</ns0:v>
      </ns0:c>
      <ns0:c r="X156" s="9">
        <ns0:f>IF(R156=0,0,S156/R156)</ns0:f>
        <ns0:v>560.0</ns0:v>
      </ns0:c>
      <ns0:c r="Y156" s="4">
        <ns0:f>R156</ns0:f>
        <ns0:v>7</ns0:v>
      </ns0:c>
      <ns0:c r="Z156" s="9">
        <ns0:f>IF(R156=0,"",S156/R156)</ns0:f>
        <ns0:v>560.0</ns0:v>
      </ns0:c>
      <ns0:c r="AA156" s="4" t="str">
        <ns0:f>IF(R156=0,"Not Opened",IF(R156&gt;=Assumptions!$B$3,"High Frequency","Low Frequency")&amp;" / "&amp;IF(X156&gt;=Assumptions!$B$4,"High Contribution","Low Contribution"))</ns0:f>
        <ns0:v>High Frequency / High Contribution</ns0:v>
      </ns0:c>
    </ns0:row>
    <ns0:row r="157">
      <ns0:c r="A157" s="4" t="inlineStr">
        <ns0:is>
          <ns0:t>SYN-156</ns0:t>
        </ns0:is>
      </ns0:c>
      <ns0:c r="B157" s="4" t="inlineStr">
        <ns0:is>
          <ns0:t>Synthetic Script 156</ns0:t>
        </ns0:is>
      </ns0:c>
      <ns0:c r="C157" s="4" t="inlineStr">
        <ns0:is>
          <ns0:t>情感</ns0:t>
        </ns0:is>
      </ns0:c>
      <ns0:c r="D157" s="4" t="n">
        <ns0:v>2</ns0:v>
      </ns0:c>
      <ns0:c r="E157" s="4" t="n">
        <ns0:v>6</ns0:v>
      </ns0:c>
      <ns0:c r="F157" s="9" t="n">
        <ns0:v>138</ns0:v>
      </ns0:c>
      <ns0:c r="G157" s="9">
        <ns0:f>E157*F157</ns0:f>
        <ns0:v>828</ns0:v>
      </ns0:c>
      <ns0:c r="H157" s="9" t="n">
        <ns0:v>180</ns0:v>
      </ns0:c>
      <ns0:c r="I157" s="4" t="inlineStr">
        <ns0:is>
          <ns0:t>盒装</ns0:t>
        </ns0:is>
      </ns0:c>
      <ns0:c r="J157" s="9">
        <ns0:f>G157-H157</ns0:f>
        <ns0:v>648</ns0:v>
      </ns0:c>
      <ns0:c r="K157" s="4" t="n">
        <ns0:v>8.4</ns0:v>
      </ns0:c>
      <ns0:c r="L157" s="4" t="n">
        <ns0:v>0</ns0:v>
      </ns0:c>
      <ns0:c r="M157" s="4" t="n">
        <ns0:v>750</ns0:v>
      </ns0:c>
      <ns0:c r="N157" s="4" t="n">
        <ns0:v>1000</ns0:v>
      </ns0:c>
      <ns0:c r="O157" s="9">
        <ns0:f>ROUND(L157/Assumptions!$B$2,0)</ns0:f>
        <ns0:v>0</ns0:v>
      </ns0:c>
      <ns0:c r="P157" s="9">
        <ns0:f>ROUND(M157/Assumptions!$B$2,0)</ns0:f>
        <ns0:v>104</ns0:v>
      </ns0:c>
      <ns0:c r="Q157" s="9">
        <ns0:f>ROUND(N157/Assumptions!$B$2,0)</ns0:f>
        <ns0:v>139</ns0:v>
      </ns0:c>
      <ns0:c r="R157" s="4">
        <ns0:f>COUNTIF(RawData[Script ID],A157)</ns0:f>
        <ns0:v>1</ns0:v>
      </ns0:c>
      <ns0:c r="S157" s="9">
        <ns0:f>SUMIF(RawData[Script ID],A157,RawData[Estimated Contribution])</ns0:f>
        <ns0:v>648.0</ns0:v>
      </ns0:c>
      <ns0:c r="T157" s="9">
        <ns0:f>S157-O157</ns0:f>
        <ns0:v>648.0</ns0:v>
      </ns0:c>
      <ns0:c r="U157" s="9">
        <ns0:f>S157-P157</ns0:f>
        <ns0:v>544.0</ns0:v>
      </ns0:c>
      <ns0:c r="V157" s="9">
        <ns0:f>S157-Q157</ns0:f>
        <ns0:v>509.0</ns0:v>
      </ns0:c>
      <ns0:c r="W157" s="4" t="str">
        <ns0:f>IF(R157=0,"Not Opened",IF(V157&gt;=0,"Recovered - All Scenarios",IF(U157&gt;=0,"Recovered - Low &amp; Base",IF(T157&gt;=0,"Recovered - Low Only","Not Recovered"))))</ns0:f>
        <ns0:v>Recovered - All Scenarios</ns0:v>
      </ns0:c>
      <ns0:c r="X157" s="9">
        <ns0:f>IF(R157=0,0,S157/R157)</ns0:f>
        <ns0:v>648.0</ns0:v>
      </ns0:c>
      <ns0:c r="Y157" s="4">
        <ns0:f>R157</ns0:f>
        <ns0:v>1</ns0:v>
      </ns0:c>
      <ns0:c r="Z157" s="9">
        <ns0:f>IF(R157=0,"",S157/R157)</ns0:f>
        <ns0:v>648.0</ns0:v>
      </ns0:c>
      <ns0:c r="AA157" s="4" t="str">
        <ns0:f>IF(R157=0,"Not Opened",IF(R157&gt;=Assumptions!$B$3,"High Frequency","Low Frequency")&amp;" / "&amp;IF(X157&gt;=Assumptions!$B$4,"High Contribution","Low Contribution"))</ns0:f>
        <ns0:v>Low Frequency / High Contribution</ns0:v>
      </ns0:c>
    </ns0:row>
    <ns0:row r="158">
      <ns0:c r="A158" s="4" t="inlineStr">
        <ns0:is>
          <ns0:t>SYN-157</ns0:t>
        </ns0:is>
      </ns0:c>
      <ns0:c r="B158" s="4" t="inlineStr">
        <ns0:is>
          <ns0:t>Synthetic Script 157</ns0:t>
        </ns0:is>
      </ns0:c>
      <ns0:c r="C158" s="4" t="inlineStr">
        <ns0:is>
          <ns0:t>机制</ns0:t>
        </ns0:is>
      </ns0:c>
      <ns0:c r="D158" s="4" t="n">
        <ns0:v>1</ns0:v>
      </ns0:c>
      <ns0:c r="E158" s="4" t="n">
        <ns0:v>6</ns0:v>
      </ns0:c>
      <ns0:c r="F158" s="9" t="n">
        <ns0:v>109</ns0:v>
      </ns0:c>
      <ns0:c r="G158" s="9">
        <ns0:f>E158*F158</ns0:f>
        <ns0:v>654</ns0:v>
      </ns0:c>
      <ns0:c r="H158" s="9" t="n">
        <ns0:v>172</ns0:v>
      </ns0:c>
      <ns0:c r="I158" s="4" t="inlineStr">
        <ns0:is>
          <ns0:t>城限</ns0:t>
        </ns0:is>
      </ns0:c>
      <ns0:c r="J158" s="9">
        <ns0:f>G158-H158</ns0:f>
        <ns0:v>482</ns0:v>
      </ns0:c>
      <ns0:c r="K158" s="4" t="n">
        <ns0:v>7</ns0:v>
      </ns0:c>
      <ns0:c r="L158" s="4" t="n">
        <ns0:v>1500</ns0:v>
      </ns0:c>
      <ns0:c r="M158" s="4" t="n">
        <ns0:v>2000</ns0:v>
      </ns0:c>
      <ns0:c r="N158" s="4" t="n">
        <ns0:v>2500</ns0:v>
      </ns0:c>
      <ns0:c r="O158" s="9">
        <ns0:f>ROUND(L158/Assumptions!$B$2,0)</ns0:f>
        <ns0:v>208</ns0:v>
      </ns0:c>
      <ns0:c r="P158" s="9">
        <ns0:f>ROUND(M158/Assumptions!$B$2,0)</ns0:f>
        <ns0:v>278</ns0:v>
      </ns0:c>
      <ns0:c r="Q158" s="9">
        <ns0:f>ROUND(N158/Assumptions!$B$2,0)</ns0:f>
        <ns0:v>347</ns0:v>
      </ns0:c>
      <ns0:c r="R158" s="4">
        <ns0:f>COUNTIF(RawData[Script ID],A158)</ns0:f>
        <ns0:v>3</ns0:v>
      </ns0:c>
      <ns0:c r="S158" s="9">
        <ns0:f>SUMIF(RawData[Script ID],A158,RawData[Estimated Contribution])</ns0:f>
        <ns0:v>1446.0</ns0:v>
      </ns0:c>
      <ns0:c r="T158" s="9">
        <ns0:f>S158-O158</ns0:f>
        <ns0:v>1238.0</ns0:v>
      </ns0:c>
      <ns0:c r="U158" s="9">
        <ns0:f>S158-P158</ns0:f>
        <ns0:v>1168.0</ns0:v>
      </ns0:c>
      <ns0:c r="V158" s="9">
        <ns0:f>S158-Q158</ns0:f>
        <ns0:v>1099.0</ns0:v>
      </ns0:c>
      <ns0:c r="W158" s="4" t="str">
        <ns0:f>IF(R158=0,"Not Opened",IF(V158&gt;=0,"Recovered - All Scenarios",IF(U158&gt;=0,"Recovered - Low &amp; Base",IF(T158&gt;=0,"Recovered - Low Only","Not Recovered"))))</ns0:f>
        <ns0:v>Recovered - All Scenarios</ns0:v>
      </ns0:c>
      <ns0:c r="X158" s="9">
        <ns0:f>IF(R158=0,0,S158/R158)</ns0:f>
        <ns0:v>482.0</ns0:v>
      </ns0:c>
      <ns0:c r="Y158" s="4">
        <ns0:f>R158</ns0:f>
        <ns0:v>3</ns0:v>
      </ns0:c>
      <ns0:c r="Z158" s="9">
        <ns0:f>IF(R158=0,"",S158/R158)</ns0:f>
        <ns0:v>482.0</ns0:v>
      </ns0:c>
      <ns0:c r="AA158" s="4" t="str">
        <ns0:f>IF(R158=0,"Not Opened",IF(R158&gt;=Assumptions!$B$3,"High Frequency","Low Frequency")&amp;" / "&amp;IF(X158&gt;=Assumptions!$B$4,"High Contribution","Low Contribution"))</ns0:f>
        <ns0:v>High Frequency / Low Contribution</ns0:v>
      </ns0:c>
    </ns0:row>
    <ns0:row r="159">
      <ns0:c r="A159" s="4" t="inlineStr">
        <ns0:is>
          <ns0:t>SYN-158</ns0:t>
        </ns0:is>
      </ns0:c>
      <ns0:c r="B159" s="4" t="inlineStr">
        <ns0:is>
          <ns0:t>Synthetic Script 158</ns0:t>
        </ns0:is>
      </ns0:c>
      <ns0:c r="C159" s="4" t="inlineStr">
        <ns0:is>
          <ns0:t>推理</ns0:t>
        </ns0:is>
      </ns0:c>
      <ns0:c r="D159" s="4" t="n">
        <ns0:v>1</ns0:v>
      </ns0:c>
      <ns0:c r="E159" s="4" t="n">
        <ns0:v>6</ns0:v>
      </ns0:c>
      <ns0:c r="F159" s="9" t="n">
        <ns0:v>75</ns0:v>
      </ns0:c>
      <ns0:c r="G159" s="9">
        <ns0:f>E159*F159</ns0:f>
        <ns0:v>450</ns0:v>
      </ns0:c>
      <ns0:c r="H159" s="9" t="n">
        <ns0:v>118</ns0:v>
      </ns0:c>
      <ns0:c r="I159" s="4" t="inlineStr">
        <ns0:is>
          <ns0:t>盒装</ns0:t>
        </ns0:is>
      </ns0:c>
      <ns0:c r="J159" s="9">
        <ns0:f>G159-H159</ns0:f>
        <ns0:v>332</ns0:v>
      </ns0:c>
      <ns0:c r="K159" s="4" t="n">
        <ns0:v>7.7</ns0:v>
      </ns0:c>
      <ns0:c r="L159" s="4" t="n">
        <ns0:v>0</ns0:v>
      </ns0:c>
      <ns0:c r="M159" s="4" t="n">
        <ns0:v>750</ns0:v>
      </ns0:c>
      <ns0:c r="N159" s="4" t="n">
        <ns0:v>1000</ns0:v>
      </ns0:c>
      <ns0:c r="O159" s="9">
        <ns0:f>ROUND(L159/Assumptions!$B$2,0)</ns0:f>
        <ns0:v>0</ns0:v>
      </ns0:c>
      <ns0:c r="P159" s="9">
        <ns0:f>ROUND(M159/Assumptions!$B$2,0)</ns0:f>
        <ns0:v>104</ns0:v>
      </ns0:c>
      <ns0:c r="Q159" s="9">
        <ns0:f>ROUND(N159/Assumptions!$B$2,0)</ns0:f>
        <ns0:v>139</ns0:v>
      </ns0:c>
      <ns0:c r="R159" s="4">
        <ns0:f>COUNTIF(RawData[Script ID],A159)</ns0:f>
        <ns0:v>10</ns0:v>
      </ns0:c>
      <ns0:c r="S159" s="9">
        <ns0:f>SUMIF(RawData[Script ID],A159,RawData[Estimated Contribution])</ns0:f>
        <ns0:v>3320.0</ns0:v>
      </ns0:c>
      <ns0:c r="T159" s="9">
        <ns0:f>S159-O159</ns0:f>
        <ns0:v>3320.0</ns0:v>
      </ns0:c>
      <ns0:c r="U159" s="9">
        <ns0:f>S159-P159</ns0:f>
        <ns0:v>3216.0</ns0:v>
      </ns0:c>
      <ns0:c r="V159" s="9">
        <ns0:f>S159-Q159</ns0:f>
        <ns0:v>3181.0</ns0:v>
      </ns0:c>
      <ns0:c r="W159" s="4" t="str">
        <ns0:f>IF(R159=0,"Not Opened",IF(V159&gt;=0,"Recovered - All Scenarios",IF(U159&gt;=0,"Recovered - Low &amp; Base",IF(T159&gt;=0,"Recovered - Low Only","Not Recovered"))))</ns0:f>
        <ns0:v>Recovered - All Scenarios</ns0:v>
      </ns0:c>
      <ns0:c r="X159" s="9">
        <ns0:f>IF(R159=0,0,S159/R159)</ns0:f>
        <ns0:v>332.0</ns0:v>
      </ns0:c>
      <ns0:c r="Y159" s="4">
        <ns0:f>R159</ns0:f>
        <ns0:v>10</ns0:v>
      </ns0:c>
      <ns0:c r="Z159" s="9">
        <ns0:f>IF(R159=0,"",S159/R159)</ns0:f>
        <ns0:v>332.0</ns0:v>
      </ns0:c>
      <ns0:c r="AA159" s="4" t="str">
        <ns0:f>IF(R159=0,"Not Opened",IF(R159&gt;=Assumptions!$B$3,"High Frequency","Low Frequency")&amp;" / "&amp;IF(X159&gt;=Assumptions!$B$4,"High Contribution","Low Contribution"))</ns0:f>
        <ns0:v>High Frequency / Low Contribution</ns0:v>
      </ns0:c>
    </ns0:row>
    <ns0:row r="160">
      <ns0:c r="A160" s="4" t="inlineStr">
        <ns0:is>
          <ns0:t>SYN-159</ns0:t>
        </ns0:is>
      </ns0:c>
      <ns0:c r="B160" s="4" t="inlineStr">
        <ns0:is>
          <ns0:t>Synthetic Script 159</ns0:t>
        </ns0:is>
      </ns0:c>
      <ns0:c r="C160" s="4" t="inlineStr">
        <ns0:is>
          <ns0:t>欢乐</ns0:t>
        </ns0:is>
      </ns0:c>
      <ns0:c r="D160" s="4" t="n">
        <ns0:v>3</ns0:v>
      </ns0:c>
      <ns0:c r="E160" s="4" t="n">
        <ns0:v>7</ns0:v>
      </ns0:c>
      <ns0:c r="F160" s="9" t="n">
        <ns0:v>118</ns0:v>
      </ns0:c>
      <ns0:c r="G160" s="9">
        <ns0:f>E160*F160</ns0:f>
        <ns0:v>826</ns0:v>
      </ns0:c>
      <ns0:c r="H160" s="9" t="n">
        <ns0:v>217</ns0:v>
      </ns0:c>
      <ns0:c r="I160" s="4" t="inlineStr">
        <ns0:is>
          <ns0:t>独家</ns0:t>
        </ns0:is>
      </ns0:c>
      <ns0:c r="J160" s="9">
        <ns0:f>G160-H160</ns0:f>
        <ns0:v>609</ns0:v>
      </ns0:c>
      <ns0:c r="K160" s="4" t="n">
        <ns0:v>8.4</ns0:v>
      </ns0:c>
      <ns0:c r="L160" s="4" t="n">
        <ns0:v>2500</ns0:v>
      </ns0:c>
      <ns0:c r="M160" s="4" t="n">
        <ns0:v>3000</ns0:v>
      </ns0:c>
      <ns0:c r="N160" s="4" t="n">
        <ns0:v>3500</ns0:v>
      </ns0:c>
      <ns0:c r="O160" s="9">
        <ns0:f>ROUND(L160/Assumptions!$B$2,0)</ns0:f>
        <ns0:v>347</ns0:v>
      </ns0:c>
      <ns0:c r="P160" s="9">
        <ns0:f>ROUND(M160/Assumptions!$B$2,0)</ns0:f>
        <ns0:v>417</ns0:v>
      </ns0:c>
      <ns0:c r="Q160" s="9">
        <ns0:f>ROUND(N160/Assumptions!$B$2,0)</ns0:f>
        <ns0:v>486</ns0:v>
      </ns0:c>
      <ns0:c r="R160" s="4">
        <ns0:f>COUNTIF(RawData[Script ID],A160)</ns0:f>
        <ns0:v>1</ns0:v>
      </ns0:c>
      <ns0:c r="S160" s="9">
        <ns0:f>SUMIF(RawData[Script ID],A160,RawData[Estimated Contribution])</ns0:f>
        <ns0:v>609.0</ns0:v>
      </ns0:c>
      <ns0:c r="T160" s="9">
        <ns0:f>S160-O160</ns0:f>
        <ns0:v>262.0</ns0:v>
      </ns0:c>
      <ns0:c r="U160" s="9">
        <ns0:f>S160-P160</ns0:f>
        <ns0:v>192.0</ns0:v>
      </ns0:c>
      <ns0:c r="V160" s="9">
        <ns0:f>S160-Q160</ns0:f>
        <ns0:v>123.0</ns0:v>
      </ns0:c>
      <ns0:c r="W160" s="4" t="str">
        <ns0:f>IF(R160=0,"Not Opened",IF(V160&gt;=0,"Recovered - All Scenarios",IF(U160&gt;=0,"Recovered - Low &amp; Base",IF(T160&gt;=0,"Recovered - Low Only","Not Recovered"))))</ns0:f>
        <ns0:v>Recovered - All Scenarios</ns0:v>
      </ns0:c>
      <ns0:c r="X160" s="9">
        <ns0:f>IF(R160=0,0,S160/R160)</ns0:f>
        <ns0:v>609.0</ns0:v>
      </ns0:c>
      <ns0:c r="Y160" s="4">
        <ns0:f>R160</ns0:f>
        <ns0:v>1</ns0:v>
      </ns0:c>
      <ns0:c r="Z160" s="9">
        <ns0:f>IF(R160=0,"",S160/R160)</ns0:f>
        <ns0:v>609.0</ns0:v>
      </ns0:c>
      <ns0:c r="AA160" s="4" t="str">
        <ns0:f>IF(R160=0,"Not Opened",IF(R160&gt;=Assumptions!$B$3,"High Frequency","Low Frequency")&amp;" / "&amp;IF(X160&gt;=Assumptions!$B$4,"High Contribution","Low Contribution"))</ns0:f>
        <ns0:v>Low Frequency / High Contribution</ns0:v>
      </ns0:c>
    </ns0:row>
    <ns0:row r="161">
      <ns0:c r="A161" s="4" t="inlineStr">
        <ns0:is>
          <ns0:t>SYN-160</ns0:t>
        </ns0:is>
      </ns0:c>
      <ns0:c r="B161" s="4" t="inlineStr">
        <ns0:is>
          <ns0:t>Synthetic Script 160</ns0:t>
        </ns0:is>
      </ns0:c>
      <ns0:c r="C161" s="4" t="inlineStr">
        <ns0:is>
          <ns0:t>情感</ns0:t>
        </ns0:is>
      </ns0:c>
      <ns0:c r="D161" s="4" t="n">
        <ns0:v>6</ns0:v>
      </ns0:c>
      <ns0:c r="E161" s="4" t="n">
        <ns0:v>8</ns0:v>
      </ns0:c>
      <ns0:c r="F161" s="9" t="n">
        <ns0:v>138</ns0:v>
      </ns0:c>
      <ns0:c r="G161" s="9">
        <ns0:f>E161*F161</ns0:f>
        <ns0:v>1104</ns0:v>
      </ns0:c>
      <ns0:c r="H161" s="9" t="n">
        <ns0:v>540</ns0:v>
      </ns0:c>
      <ns0:c r="I161" s="4" t="inlineStr">
        <ns0:is>
          <ns0:t>盒装</ns0:t>
        </ns0:is>
      </ns0:c>
      <ns0:c r="J161" s="9">
        <ns0:f>G161-H161</ns0:f>
        <ns0:v>564</ns0:v>
      </ns0:c>
      <ns0:c r="K161" s="4" t="n">
        <ns0:v>7</ns0:v>
      </ns0:c>
      <ns0:c r="L161" s="4" t="n">
        <ns0:v>0</ns0:v>
      </ns0:c>
      <ns0:c r="M161" s="4" t="n">
        <ns0:v>750</ns0:v>
      </ns0:c>
      <ns0:c r="N161" s="4" t="n">
        <ns0:v>1000</ns0:v>
      </ns0:c>
      <ns0:c r="O161" s="9">
        <ns0:f>ROUND(L161/Assumptions!$B$2,0)</ns0:f>
        <ns0:v>0</ns0:v>
      </ns0:c>
      <ns0:c r="P161" s="9">
        <ns0:f>ROUND(M161/Assumptions!$B$2,0)</ns0:f>
        <ns0:v>104</ns0:v>
      </ns0:c>
      <ns0:c r="Q161" s="9">
        <ns0:f>ROUND(N161/Assumptions!$B$2,0)</ns0:f>
        <ns0:v>139</ns0:v>
      </ns0:c>
      <ns0:c r="R161" s="4">
        <ns0:f>COUNTIF(RawData[Script ID],A161)</ns0:f>
        <ns0:v>3</ns0:v>
      </ns0:c>
      <ns0:c r="S161" s="9">
        <ns0:f>SUMIF(RawData[Script ID],A161,RawData[Estimated Contribution])</ns0:f>
        <ns0:v>1692.0</ns0:v>
      </ns0:c>
      <ns0:c r="T161" s="9">
        <ns0:f>S161-O161</ns0:f>
        <ns0:v>1692.0</ns0:v>
      </ns0:c>
      <ns0:c r="U161" s="9">
        <ns0:f>S161-P161</ns0:f>
        <ns0:v>1588.0</ns0:v>
      </ns0:c>
      <ns0:c r="V161" s="9">
        <ns0:f>S161-Q161</ns0:f>
        <ns0:v>1553.0</ns0:v>
      </ns0:c>
      <ns0:c r="W161" s="4" t="str">
        <ns0:f>IF(R161=0,"Not Opened",IF(V161&gt;=0,"Recovered - All Scenarios",IF(U161&gt;=0,"Recovered - Low &amp; Base",IF(T161&gt;=0,"Recovered - Low Only","Not Recovered"))))</ns0:f>
        <ns0:v>Recovered - All Scenarios</ns0:v>
      </ns0:c>
      <ns0:c r="X161" s="9">
        <ns0:f>IF(R161=0,0,S161/R161)</ns0:f>
        <ns0:v>564.0</ns0:v>
      </ns0:c>
      <ns0:c r="Y161" s="4">
        <ns0:f>R161</ns0:f>
        <ns0:v>3</ns0:v>
      </ns0:c>
      <ns0:c r="Z161" s="9">
        <ns0:f>IF(R161=0,"",S161/R161)</ns0:f>
        <ns0:v>564.0</ns0:v>
      </ns0:c>
      <ns0:c r="AA161" s="4" t="str">
        <ns0:f>IF(R161=0,"Not Opened",IF(R161&gt;=Assumptions!$B$3,"High Frequency","Low Frequency")&amp;" / "&amp;IF(X161&gt;=Assumptions!$B$4,"High Contribution","Low Contribution"))</ns0:f>
        <ns0:v>High Frequency / High Contribution</ns0:v>
      </ns0:c>
    </ns0:row>
  </ns0:sheetData>
  <ns0:pageMargins left="0.75" right="0.75" top="1" bottom="1" header="0.5" footer="0.5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O417"/>
  <ns0:sheetViews>
    <ns0:sheetView showGridLines="0" workbookViewId="0">
      <ns0:pane xSplit="2" ySplit="1" topLeftCell="C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27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</ns0:cols>
  <ns0:sheetData>
    <ns0:row r="1" ht="44" customHeight="1">
      <ns0:c r="A1" s="1" t="inlineStr">
        <ns0:is>
          <ns0:t>Session ID</ns0:t>
        </ns0:is>
      </ns0:c>
      <ns0:c r="B1" s="1" t="inlineStr">
        <ns0:is>
          <ns0:t>Script ID</ns0:t>
        </ns0:is>
      </ns0:c>
      <ns0:c r="C1" s="1" t="inlineStr">
        <ns0:is>
          <ns0:t>Date</ns0:t>
        </ns0:is>
      </ns0:c>
      <ns0:c r="D1" s="1" t="inlineStr">
        <ns0:is>
          <ns0:t>Script Name</ns0:t>
        </ns0:is>
      </ns0:c>
      <ns0:c r="E1" s="1" t="inlineStr">
        <ns0:is>
          <ns0:t>Script Type</ns0:t>
        </ns0:is>
      </ns0:c>
      <ns0:c r="F1" s="1" t="inlineStr">
        <ns0:is>
          <ns0:t>DM Count</ns0:t>
        </ns0:is>
      </ns0:c>
      <ns0:c r="G1" s="1" t="inlineStr">
        <ns0:is>
          <ns0:t>Players</ns0:t>
        </ns0:is>
      </ns0:c>
      <ns0:c r="H1" s="1" t="inlineStr">
        <ns0:is>
          <ns0:t>Price Per Player</ns0:t>
        </ns0:is>
      </ns0:c>
      <ns0:c r="I1" s="1" t="inlineStr">
        <ns0:is>
          <ns0:t>Estimated Gross Revenue</ns0:t>
        </ns0:is>
      </ns0:c>
      <ns0:c r="J1" s="1" t="inlineStr">
        <ns0:is>
          <ns0:t>Standard DM Wage</ns0:t>
        </ns0:is>
      </ns0:c>
      <ns0:c r="K1" s="1" t="inlineStr">
        <ns0:is>
          <ns0:t>Script Edition</ns0:t>
        </ns0:is>
      </ns0:c>
      <ns0:c r="L1" s="1" t="inlineStr">
        <ns0:is>
          <ns0:t>Estimated Contribution</ns0:t>
        </ns0:is>
      </ns0:c>
      <ns0:c r="M1" s="1" t="inlineStr">
        <ns0:is>
          <ns0:t>Rating</ns0:t>
        </ns0:is>
      </ns0:c>
      <ns0:c r="N1" s="1" t="inlineStr">
        <ns0:is>
          <ns0:t>Month Start</ns0:t>
        </ns0:is>
      </ns0:c>
      <ns0:c r="O1" s="1" t="inlineStr">
        <ns0:is>
          <ns0:t>Report Month</ns0:t>
        </ns0:is>
      </ns0:c>
    </ns0:row>
    <ns0:row r="2">
      <ns0:c r="A2" s="4" t="inlineStr">
        <ns0:is>
          <ns0:t>SES-0001</ns0:t>
        </ns0:is>
      </ns0:c>
      <ns0:c r="B2" s="4" t="inlineStr">
        <ns0:is>
          <ns0:t>SYN-002</ns0:t>
        </ns0:is>
      </ns0:c>
      <ns0:c r="C2" s="10" t="n">
        <ns0:v>45901</ns0:v>
      </ns0:c>
      <ns0:c r="D2" s="4" t="inlineStr">
        <ns0:is>
          <ns0:t>Synthetic Script 002</ns0:t>
        </ns0:is>
      </ns0:c>
      <ns0:c r="E2" s="4" t="inlineStr">
        <ns0:is>
          <ns0:t>推理</ns0:t>
        </ns0:is>
      </ns0:c>
      <ns0:c r="F2" s="4" t="n">
        <ns0:v>1</ns0:v>
      </ns0:c>
      <ns0:c r="G2" s="4" t="n">
        <ns0:v>6</ns0:v>
      </ns0:c>
      <ns0:c r="H2" s="9" t="n">
        <ns0:v>75</ns0:v>
      </ns0:c>
      <ns0:c r="I2" s="9">
        <ns0:f>G2*H2</ns0:f>
        <ns0:v>450</ns0:v>
      </ns0:c>
      <ns0:c r="J2" s="9">
        <ns0:f>INDEX(Script_List!$H$2:$H$161,MATCH(B2,Script_List!$A$2:$A$161,0))</ns0:f>
        <ns0:v>118</ns0:v>
      </ns0:c>
      <ns0:c r="K2" s="4" t="inlineStr">
        <ns0:is>
          <ns0:t>城限</ns0:t>
        </ns0:is>
      </ns0:c>
      <ns0:c r="L2" s="9">
        <ns0:f>I2-J2</ns0:f>
        <ns0:v>332</ns0:v>
      </ns0:c>
      <ns0:c r="M2" s="4" t="n">
        <ns0:v>7.7</ns0:v>
      </ns0:c>
      <ns0:c r="N2" s="10">
        <ns0:f>DATE(YEAR(C2),MONTH(C2),1)</ns0:f>
        <ns0:v>45901.0</ns0:v>
      </ns0:c>
      <ns0:c r="O2" s="4" t="str">
        <ns0:f>TEXT(N2,"yyyy-mm")</ns0:f>
        <ns0:v>2025-09</ns0:v>
      </ns0:c>
    </ns0:row>
    <ns0:row r="3">
      <ns0:c r="A3" s="4" t="inlineStr">
        <ns0:is>
          <ns0:t>SES-0002</ns0:t>
        </ns0:is>
      </ns0:c>
      <ns0:c r="B3" s="4" t="inlineStr">
        <ns0:is>
          <ns0:t>SYN-003</ns0:t>
        </ns0:is>
      </ns0:c>
      <ns0:c r="C3" s="10" t="n">
        <ns0:v>45902</ns0:v>
      </ns0:c>
      <ns0:c r="D3" s="4" t="inlineStr">
        <ns0:is>
          <ns0:t>Synthetic Script 003</ns0:t>
        </ns0:is>
      </ns0:c>
      <ns0:c r="E3" s="4" t="inlineStr">
        <ns0:is>
          <ns0:t>情感</ns0:t>
        </ns0:is>
      </ns0:c>
      <ns0:c r="F3" s="4" t="n">
        <ns0:v>3</ns0:v>
      </ns0:c>
      <ns0:c r="G3" s="4" t="n">
        <ns0:v>6</ns0:v>
      </ns0:c>
      <ns0:c r="H3" s="9" t="n">
        <ns0:v>118</ns0:v>
      </ns0:c>
      <ns0:c r="I3" s="9">
        <ns0:f>G3*H3</ns0:f>
        <ns0:v>708</ns0:v>
      </ns0:c>
      <ns0:c r="J3" s="9">
        <ns0:f>INDEX(Script_List!$H$2:$H$161,MATCH(B3,Script_List!$A$2:$A$161,0))</ns0:f>
        <ns0:v>270</ns0:v>
      </ns0:c>
      <ns0:c r="K3" s="4" t="inlineStr">
        <ns0:is>
          <ns0:t>盒装</ns0:t>
        </ns0:is>
      </ns0:c>
      <ns0:c r="L3" s="9">
        <ns0:f>I3-J3</ns0:f>
        <ns0:v>438</ns0:v>
      </ns0:c>
      <ns0:c r="M3" s="4" t="n">
        <ns0:v>8.4</ns0:v>
      </ns0:c>
      <ns0:c r="N3" s="10">
        <ns0:f>DATE(YEAR(C3),MONTH(C3),1)</ns0:f>
        <ns0:v>45901.0</ns0:v>
      </ns0:c>
      <ns0:c r="O3" s="4" t="str">
        <ns0:f>TEXT(N3,"yyyy-mm")</ns0:f>
        <ns0:v>2025-09</ns0:v>
      </ns0:c>
    </ns0:row>
    <ns0:row r="4">
      <ns0:c r="A4" s="4" t="inlineStr">
        <ns0:is>
          <ns0:t>SES-0003</ns0:t>
        </ns0:is>
      </ns0:c>
      <ns0:c r="B4" s="4" t="inlineStr">
        <ns0:is>
          <ns0:t>SYN-003</ns0:t>
        </ns0:is>
      </ns0:c>
      <ns0:c r="C4" s="10" t="n">
        <ns0:v>45903</ns0:v>
      </ns0:c>
      <ns0:c r="D4" s="4" t="inlineStr">
        <ns0:is>
          <ns0:t>Synthetic Script 003</ns0:t>
        </ns0:is>
      </ns0:c>
      <ns0:c r="E4" s="4" t="inlineStr">
        <ns0:is>
          <ns0:t>情感</ns0:t>
        </ns0:is>
      </ns0:c>
      <ns0:c r="F4" s="4" t="n">
        <ns0:v>3</ns0:v>
      </ns0:c>
      <ns0:c r="G4" s="4" t="n">
        <ns0:v>6</ns0:v>
      </ns0:c>
      <ns0:c r="H4" s="9" t="n">
        <ns0:v>118</ns0:v>
      </ns0:c>
      <ns0:c r="I4" s="9">
        <ns0:f>G4*H4</ns0:f>
        <ns0:v>708</ns0:v>
      </ns0:c>
      <ns0:c r="J4" s="9">
        <ns0:f>INDEX(Script_List!$H$2:$H$161,MATCH(B4,Script_List!$A$2:$A$161,0))</ns0:f>
        <ns0:v>270</ns0:v>
      </ns0:c>
      <ns0:c r="K4" s="4" t="inlineStr">
        <ns0:is>
          <ns0:t>盒装</ns0:t>
        </ns0:is>
      </ns0:c>
      <ns0:c r="L4" s="9">
        <ns0:f>I4-J4</ns0:f>
        <ns0:v>438</ns0:v>
      </ns0:c>
      <ns0:c r="M4" s="4" t="n">
        <ns0:v>8.4</ns0:v>
      </ns0:c>
      <ns0:c r="N4" s="10">
        <ns0:f>DATE(YEAR(C4),MONTH(C4),1)</ns0:f>
        <ns0:v>45901.0</ns0:v>
      </ns0:c>
      <ns0:c r="O4" s="4" t="str">
        <ns0:f>TEXT(N4,"yyyy-mm")</ns0:f>
        <ns0:v>2025-09</ns0:v>
      </ns0:c>
    </ns0:row>
    <ns0:row r="5">
      <ns0:c r="A5" s="4" t="inlineStr">
        <ns0:is>
          <ns0:t>SES-0004</ns0:t>
        </ns0:is>
      </ns0:c>
      <ns0:c r="B5" s="4" t="inlineStr">
        <ns0:is>
          <ns0:t>SYN-003</ns0:t>
        </ns0:is>
      </ns0:c>
      <ns0:c r="C5" s="10" t="n">
        <ns0:v>45904</ns0:v>
      </ns0:c>
      <ns0:c r="D5" s="4" t="inlineStr">
        <ns0:is>
          <ns0:t>Synthetic Script 003</ns0:t>
        </ns0:is>
      </ns0:c>
      <ns0:c r="E5" s="4" t="inlineStr">
        <ns0:is>
          <ns0:t>情感</ns0:t>
        </ns0:is>
      </ns0:c>
      <ns0:c r="F5" s="4" t="n">
        <ns0:v>3</ns0:v>
      </ns0:c>
      <ns0:c r="G5" s="4" t="n">
        <ns0:v>6</ns0:v>
      </ns0:c>
      <ns0:c r="H5" s="9" t="n">
        <ns0:v>118</ns0:v>
      </ns0:c>
      <ns0:c r="I5" s="9">
        <ns0:f>G5*H5</ns0:f>
        <ns0:v>708</ns0:v>
      </ns0:c>
      <ns0:c r="J5" s="9">
        <ns0:f>INDEX(Script_List!$H$2:$H$161,MATCH(B5,Script_List!$A$2:$A$161,0))</ns0:f>
        <ns0:v>270</ns0:v>
      </ns0:c>
      <ns0:c r="K5" s="4" t="inlineStr">
        <ns0:is>
          <ns0:t>盒装</ns0:t>
        </ns0:is>
      </ns0:c>
      <ns0:c r="L5" s="9">
        <ns0:f>I5-J5</ns0:f>
        <ns0:v>438</ns0:v>
      </ns0:c>
      <ns0:c r="M5" s="4" t="n">
        <ns0:v>8.4</ns0:v>
      </ns0:c>
      <ns0:c r="N5" s="10">
        <ns0:f>DATE(YEAR(C5),MONTH(C5),1)</ns0:f>
        <ns0:v>45901.0</ns0:v>
      </ns0:c>
      <ns0:c r="O5" s="4" t="str">
        <ns0:f>TEXT(N5,"yyyy-mm")</ns0:f>
        <ns0:v>2025-09</ns0:v>
      </ns0:c>
    </ns0:row>
    <ns0:row r="6">
      <ns0:c r="A6" s="4" t="inlineStr">
        <ns0:is>
          <ns0:t>SES-0005</ns0:t>
        </ns0:is>
      </ns0:c>
      <ns0:c r="B6" s="4" t="inlineStr">
        <ns0:is>
          <ns0:t>SYN-005</ns0:t>
        </ns0:is>
      </ns0:c>
      <ns0:c r="C6" s="10" t="n">
        <ns0:v>45905</ns0:v>
      </ns0:c>
      <ns0:c r="D6" s="4" t="inlineStr">
        <ns0:is>
          <ns0:t>Synthetic Script 005</ns0:t>
        </ns0:is>
      </ns0:c>
      <ns0:c r="E6" s="4" t="inlineStr">
        <ns0:is>
          <ns0:t>推理</ns0:t>
        </ns0:is>
      </ns0:c>
      <ns0:c r="F6" s="4" t="n">
        <ns0:v>2</ns0:v>
      </ns0:c>
      <ns0:c r="G6" s="4" t="n">
        <ns0:v>8</ns0:v>
      </ns0:c>
      <ns0:c r="H6" s="9" t="n">
        <ns0:v>65</ns0:v>
      </ns0:c>
      <ns0:c r="I6" s="9">
        <ns0:f>G6*H6</ns0:f>
        <ns0:v>520</ns0:v>
      </ns0:c>
      <ns0:c r="J6" s="9">
        <ns0:f>INDEX(Script_List!$H$2:$H$161,MATCH(B6,Script_List!$A$2:$A$161,0))</ns0:f>
        <ns0:v>137</ns0:v>
      </ns0:c>
      <ns0:c r="K6" s="4" t="inlineStr">
        <ns0:is>
          <ns0:t>城限</ns0:t>
        </ns0:is>
      </ns0:c>
      <ns0:c r="L6" s="9">
        <ns0:f>I6-J6</ns0:f>
        <ns0:v>383</ns0:v>
      </ns0:c>
      <ns0:c r="M6" s="4" t="n">
        <ns0:v>7.7</ns0:v>
      </ns0:c>
      <ns0:c r="N6" s="10">
        <ns0:f>DATE(YEAR(C6),MONTH(C6),1)</ns0:f>
        <ns0:v>45901.0</ns0:v>
      </ns0:c>
      <ns0:c r="O6" s="4" t="str">
        <ns0:f>TEXT(N6,"yyyy-mm")</ns0:f>
        <ns0:v>2025-09</ns0:v>
      </ns0:c>
    </ns0:row>
    <ns0:row r="7">
      <ns0:c r="A7" s="4" t="inlineStr">
        <ns0:is>
          <ns0:t>SES-0006</ns0:t>
        </ns0:is>
      </ns0:c>
      <ns0:c r="B7" s="4" t="inlineStr">
        <ns0:is>
          <ns0:t>SYN-005</ns0:t>
        </ns0:is>
      </ns0:c>
      <ns0:c r="C7" s="10" t="n">
        <ns0:v>45906</ns0:v>
      </ns0:c>
      <ns0:c r="D7" s="4" t="inlineStr">
        <ns0:is>
          <ns0:t>Synthetic Script 005</ns0:t>
        </ns0:is>
      </ns0:c>
      <ns0:c r="E7" s="4" t="inlineStr">
        <ns0:is>
          <ns0:t>推理</ns0:t>
        </ns0:is>
      </ns0:c>
      <ns0:c r="F7" s="4" t="n">
        <ns0:v>2</ns0:v>
      </ns0:c>
      <ns0:c r="G7" s="4" t="n">
        <ns0:v>8</ns0:v>
      </ns0:c>
      <ns0:c r="H7" s="9" t="n">
        <ns0:v>65</ns0:v>
      </ns0:c>
      <ns0:c r="I7" s="9">
        <ns0:f>G7*H7</ns0:f>
        <ns0:v>520</ns0:v>
      </ns0:c>
      <ns0:c r="J7" s="9">
        <ns0:f>INDEX(Script_List!$H$2:$H$161,MATCH(B7,Script_List!$A$2:$A$161,0))</ns0:f>
        <ns0:v>137</ns0:v>
      </ns0:c>
      <ns0:c r="K7" s="4" t="inlineStr">
        <ns0:is>
          <ns0:t>城限</ns0:t>
        </ns0:is>
      </ns0:c>
      <ns0:c r="L7" s="9">
        <ns0:f>I7-J7</ns0:f>
        <ns0:v>383</ns0:v>
      </ns0:c>
      <ns0:c r="M7" s="4" t="n">
        <ns0:v>7.7</ns0:v>
      </ns0:c>
      <ns0:c r="N7" s="10">
        <ns0:f>DATE(YEAR(C7),MONTH(C7),1)</ns0:f>
        <ns0:v>45901.0</ns0:v>
      </ns0:c>
      <ns0:c r="O7" s="4" t="str">
        <ns0:f>TEXT(N7,"yyyy-mm")</ns0:f>
        <ns0:v>2025-09</ns0:v>
      </ns0:c>
    </ns0:row>
    <ns0:row r="8">
      <ns0:c r="A8" s="4" t="inlineStr">
        <ns0:is>
          <ns0:t>SES-0007</ns0:t>
        </ns0:is>
      </ns0:c>
      <ns0:c r="B8" s="4" t="inlineStr">
        <ns0:is>
          <ns0:t>SYN-006</ns0:t>
        </ns0:is>
      </ns0:c>
      <ns0:c r="C8" s="10" t="n">
        <ns0:v>45907</ns0:v>
      </ns0:c>
      <ns0:c r="D8" s="4" t="inlineStr">
        <ns0:is>
          <ns0:t>Synthetic Script 006</ns0:t>
        </ns0:is>
      </ns0:c>
      <ns0:c r="E8" s="4" t="inlineStr">
        <ns0:is>
          <ns0:t>情感</ns0:t>
        </ns0:is>
      </ns0:c>
      <ns0:c r="F8" s="4" t="n">
        <ns0:v>2</ns0:v>
      </ns0:c>
      <ns0:c r="G8" s="4" t="n">
        <ns0:v>6</ns0:v>
      </ns0:c>
      <ns0:c r="H8" s="9" t="n">
        <ns0:v>109</ns0:v>
      </ns0:c>
      <ns0:c r="I8" s="9">
        <ns0:f>G8*H8</ns0:f>
        <ns0:v>654</ns0:v>
      </ns0:c>
      <ns0:c r="J8" s="9">
        <ns0:f>INDEX(Script_List!$H$2:$H$161,MATCH(B8,Script_List!$A$2:$A$161,0))</ns0:f>
        <ns0:v>180</ns0:v>
      </ns0:c>
      <ns0:c r="K8" s="4" t="inlineStr">
        <ns0:is>
          <ns0:t>盒装</ns0:t>
        </ns0:is>
      </ns0:c>
      <ns0:c r="L8" s="9">
        <ns0:f>I8-J8</ns0:f>
        <ns0:v>474</ns0:v>
      </ns0:c>
      <ns0:c r="M8" s="4" t="n">
        <ns0:v>8.4</ns0:v>
      </ns0:c>
      <ns0:c r="N8" s="10">
        <ns0:f>DATE(YEAR(C8),MONTH(C8),1)</ns0:f>
        <ns0:v>45901.0</ns0:v>
      </ns0:c>
      <ns0:c r="O8" s="4" t="str">
        <ns0:f>TEXT(N8,"yyyy-mm")</ns0:f>
        <ns0:v>2025-09</ns0:v>
      </ns0:c>
    </ns0:row>
    <ns0:row r="9">
      <ns0:c r="A9" s="4" t="inlineStr">
        <ns0:is>
          <ns0:t>SES-0008</ns0:t>
        </ns0:is>
      </ns0:c>
      <ns0:c r="B9" s="4" t="inlineStr">
        <ns0:is>
          <ns0:t>SYN-006</ns0:t>
        </ns0:is>
      </ns0:c>
      <ns0:c r="C9" s="10" t="n">
        <ns0:v>45908</ns0:v>
      </ns0:c>
      <ns0:c r="D9" s="4" t="inlineStr">
        <ns0:is>
          <ns0:t>Synthetic Script 006</ns0:t>
        </ns0:is>
      </ns0:c>
      <ns0:c r="E9" s="4" t="inlineStr">
        <ns0:is>
          <ns0:t>情感</ns0:t>
        </ns0:is>
      </ns0:c>
      <ns0:c r="F9" s="4" t="n">
        <ns0:v>2</ns0:v>
      </ns0:c>
      <ns0:c r="G9" s="4" t="n">
        <ns0:v>6</ns0:v>
      </ns0:c>
      <ns0:c r="H9" s="9" t="n">
        <ns0:v>109</ns0:v>
      </ns0:c>
      <ns0:c r="I9" s="9">
        <ns0:f>G9*H9</ns0:f>
        <ns0:v>654</ns0:v>
      </ns0:c>
      <ns0:c r="J9" s="9">
        <ns0:f>INDEX(Script_List!$H$2:$H$161,MATCH(B9,Script_List!$A$2:$A$161,0))</ns0:f>
        <ns0:v>180</ns0:v>
      </ns0:c>
      <ns0:c r="K9" s="4" t="inlineStr">
        <ns0:is>
          <ns0:t>盒装</ns0:t>
        </ns0:is>
      </ns0:c>
      <ns0:c r="L9" s="9">
        <ns0:f>I9-J9</ns0:f>
        <ns0:v>474</ns0:v>
      </ns0:c>
      <ns0:c r="M9" s="4" t="n">
        <ns0:v>8.4</ns0:v>
      </ns0:c>
      <ns0:c r="N9" s="10">
        <ns0:f>DATE(YEAR(C9),MONTH(C9),1)</ns0:f>
        <ns0:v>45901.0</ns0:v>
      </ns0:c>
      <ns0:c r="O9" s="4" t="str">
        <ns0:f>TEXT(N9,"yyyy-mm")</ns0:f>
        <ns0:v>2025-09</ns0:v>
      </ns0:c>
    </ns0:row>
    <ns0:row r="10">
      <ns0:c r="A10" s="4" t="inlineStr">
        <ns0:is>
          <ns0:t>SES-0009</ns0:t>
        </ns0:is>
      </ns0:c>
      <ns0:c r="B10" s="4" t="inlineStr">
        <ns0:is>
          <ns0:t>SYN-006</ns0:t>
        </ns0:is>
      </ns0:c>
      <ns0:c r="C10" s="10" t="n">
        <ns0:v>45909</ns0:v>
      </ns0:c>
      <ns0:c r="D10" s="4" t="inlineStr">
        <ns0:is>
          <ns0:t>Synthetic Script 006</ns0:t>
        </ns0:is>
      </ns0:c>
      <ns0:c r="E10" s="4" t="inlineStr">
        <ns0:is>
          <ns0:t>情感</ns0:t>
        </ns0:is>
      </ns0:c>
      <ns0:c r="F10" s="4" t="n">
        <ns0:v>2</ns0:v>
      </ns0:c>
      <ns0:c r="G10" s="4" t="n">
        <ns0:v>6</ns0:v>
      </ns0:c>
      <ns0:c r="H10" s="9" t="n">
        <ns0:v>109</ns0:v>
      </ns0:c>
      <ns0:c r="I10" s="9">
        <ns0:f>G10*H10</ns0:f>
        <ns0:v>654</ns0:v>
      </ns0:c>
      <ns0:c r="J10" s="9">
        <ns0:f>INDEX(Script_List!$H$2:$H$161,MATCH(B10,Script_List!$A$2:$A$161,0))</ns0:f>
        <ns0:v>180</ns0:v>
      </ns0:c>
      <ns0:c r="K10" s="4" t="inlineStr">
        <ns0:is>
          <ns0:t>盒装</ns0:t>
        </ns0:is>
      </ns0:c>
      <ns0:c r="L10" s="9">
        <ns0:f>I10-J10</ns0:f>
        <ns0:v>474</ns0:v>
      </ns0:c>
      <ns0:c r="M10" s="4" t="n">
        <ns0:v>8.4</ns0:v>
      </ns0:c>
      <ns0:c r="N10" s="10">
        <ns0:f>DATE(YEAR(C10),MONTH(C10),1)</ns0:f>
        <ns0:v>45901.0</ns0:v>
      </ns0:c>
      <ns0:c r="O10" s="4" t="str">
        <ns0:f>TEXT(N10,"yyyy-mm")</ns0:f>
        <ns0:v>2025-09</ns0:v>
      </ns0:c>
    </ns0:row>
    <ns0:row r="11">
      <ns0:c r="A11" s="4" t="inlineStr">
        <ns0:is>
          <ns0:t>SES-0010</ns0:t>
        </ns0:is>
      </ns0:c>
      <ns0:c r="B11" s="4" t="inlineStr">
        <ns0:is>
          <ns0:t>SYN-006</ns0:t>
        </ns0:is>
      </ns0:c>
      <ns0:c r="C11" s="10" t="n">
        <ns0:v>45910</ns0:v>
      </ns0:c>
      <ns0:c r="D11" s="4" t="inlineStr">
        <ns0:is>
          <ns0:t>Synthetic Script 006</ns0:t>
        </ns0:is>
      </ns0:c>
      <ns0:c r="E11" s="4" t="inlineStr">
        <ns0:is>
          <ns0:t>情感</ns0:t>
        </ns0:is>
      </ns0:c>
      <ns0:c r="F11" s="4" t="n">
        <ns0:v>2</ns0:v>
      </ns0:c>
      <ns0:c r="G11" s="4" t="n">
        <ns0:v>6</ns0:v>
      </ns0:c>
      <ns0:c r="H11" s="9" t="n">
        <ns0:v>109</ns0:v>
      </ns0:c>
      <ns0:c r="I11" s="9">
        <ns0:f>G11*H11</ns0:f>
        <ns0:v>654</ns0:v>
      </ns0:c>
      <ns0:c r="J11" s="9">
        <ns0:f>INDEX(Script_List!$H$2:$H$161,MATCH(B11,Script_List!$A$2:$A$161,0))</ns0:f>
        <ns0:v>180</ns0:v>
      </ns0:c>
      <ns0:c r="K11" s="4" t="inlineStr">
        <ns0:is>
          <ns0:t>盒装</ns0:t>
        </ns0:is>
      </ns0:c>
      <ns0:c r="L11" s="9">
        <ns0:f>I11-J11</ns0:f>
        <ns0:v>474</ns0:v>
      </ns0:c>
      <ns0:c r="M11" s="4" t="n">
        <ns0:v>8.4</ns0:v>
      </ns0:c>
      <ns0:c r="N11" s="10">
        <ns0:f>DATE(YEAR(C11),MONTH(C11),1)</ns0:f>
        <ns0:v>45901.0</ns0:v>
      </ns0:c>
      <ns0:c r="O11" s="4" t="str">
        <ns0:f>TEXT(N11,"yyyy-mm")</ns0:f>
        <ns0:v>2025-09</ns0:v>
      </ns0:c>
    </ns0:row>
    <ns0:row r="12">
      <ns0:c r="A12" s="4" t="inlineStr">
        <ns0:is>
          <ns0:t>SES-0011</ns0:t>
        </ns0:is>
      </ns0:c>
      <ns0:c r="B12" s="4" t="inlineStr">
        <ns0:is>
          <ns0:t>SYN-008</ns0:t>
        </ns0:is>
      </ns0:c>
      <ns0:c r="C12" s="10" t="n">
        <ns0:v>45911</ns0:v>
      </ns0:c>
      <ns0:c r="D12" s="4" t="inlineStr">
        <ns0:is>
          <ns0:t>Synthetic Script 008</ns0:t>
        </ns0:is>
      </ns0:c>
      <ns0:c r="E12" s="4" t="inlineStr">
        <ns0:is>
          <ns0:t>推理</ns0:t>
        </ns0:is>
      </ns0:c>
      <ns0:c r="F12" s="4" t="n">
        <ns0:v>1</ns0:v>
      </ns0:c>
      <ns0:c r="G12" s="4" t="n">
        <ns0:v>6</ns0:v>
      </ns0:c>
      <ns0:c r="H12" s="9" t="n">
        <ns0:v>119</ns0:v>
      </ns0:c>
      <ns0:c r="I12" s="9">
        <ns0:f>G12*H12</ns0:f>
        <ns0:v>714</ns0:v>
      </ns0:c>
      <ns0:c r="J12" s="9">
        <ns0:f>INDEX(Script_List!$H$2:$H$161,MATCH(B12,Script_List!$A$2:$A$161,0))</ns0:f>
        <ns0:v>187</ns0:v>
      </ns0:c>
      <ns0:c r="K12" s="4" t="inlineStr">
        <ns0:is>
          <ns0:t>盒装</ns0:t>
        </ns0:is>
      </ns0:c>
      <ns0:c r="L12" s="9">
        <ns0:f>I12-J12</ns0:f>
        <ns0:v>527</ns0:v>
      </ns0:c>
      <ns0:c r="M12" s="4" t="n">
        <ns0:v>7.7</ns0:v>
      </ns0:c>
      <ns0:c r="N12" s="10">
        <ns0:f>DATE(YEAR(C12),MONTH(C12),1)</ns0:f>
        <ns0:v>45901.0</ns0:v>
      </ns0:c>
      <ns0:c r="O12" s="4" t="str">
        <ns0:f>TEXT(N12,"yyyy-mm")</ns0:f>
        <ns0:v>2025-09</ns0:v>
      </ns0:c>
    </ns0:row>
    <ns0:row r="13">
      <ns0:c r="A13" s="4" t="inlineStr">
        <ns0:is>
          <ns0:t>SES-0012</ns0:t>
        </ns0:is>
      </ns0:c>
      <ns0:c r="B13" s="4" t="inlineStr">
        <ns0:is>
          <ns0:t>SYN-008</ns0:t>
        </ns0:is>
      </ns0:c>
      <ns0:c r="C13" s="10" t="n">
        <ns0:v>45912</ns0:v>
      </ns0:c>
      <ns0:c r="D13" s="4" t="inlineStr">
        <ns0:is>
          <ns0:t>Synthetic Script 008</ns0:t>
        </ns0:is>
      </ns0:c>
      <ns0:c r="E13" s="4" t="inlineStr">
        <ns0:is>
          <ns0:t>推理</ns0:t>
        </ns0:is>
      </ns0:c>
      <ns0:c r="F13" s="4" t="n">
        <ns0:v>1</ns0:v>
      </ns0:c>
      <ns0:c r="G13" s="4" t="n">
        <ns0:v>6</ns0:v>
      </ns0:c>
      <ns0:c r="H13" s="9" t="n">
        <ns0:v>119</ns0:v>
      </ns0:c>
      <ns0:c r="I13" s="9">
        <ns0:f>G13*H13</ns0:f>
        <ns0:v>714</ns0:v>
      </ns0:c>
      <ns0:c r="J13" s="9">
        <ns0:f>INDEX(Script_List!$H$2:$H$161,MATCH(B13,Script_List!$A$2:$A$161,0))</ns0:f>
        <ns0:v>187</ns0:v>
      </ns0:c>
      <ns0:c r="K13" s="4" t="inlineStr">
        <ns0:is>
          <ns0:t>盒装</ns0:t>
        </ns0:is>
      </ns0:c>
      <ns0:c r="L13" s="9">
        <ns0:f>I13-J13</ns0:f>
        <ns0:v>527</ns0:v>
      </ns0:c>
      <ns0:c r="M13" s="4" t="n">
        <ns0:v>7.7</ns0:v>
      </ns0:c>
      <ns0:c r="N13" s="10">
        <ns0:f>DATE(YEAR(C13),MONTH(C13),1)</ns0:f>
        <ns0:v>45901.0</ns0:v>
      </ns0:c>
      <ns0:c r="O13" s="4" t="str">
        <ns0:f>TEXT(N13,"yyyy-mm")</ns0:f>
        <ns0:v>2025-09</ns0:v>
      </ns0:c>
    </ns0:row>
    <ns0:row r="14">
      <ns0:c r="A14" s="4" t="inlineStr">
        <ns0:is>
          <ns0:t>SES-0013</ns0:t>
        </ns0:is>
      </ns0:c>
      <ns0:c r="B14" s="4" t="inlineStr">
        <ns0:is>
          <ns0:t>SYN-009</ns0:t>
        </ns0:is>
      </ns0:c>
      <ns0:c r="C14" s="10" t="n">
        <ns0:v>45913</ns0:v>
      </ns0:c>
      <ns0:c r="D14" s="4" t="inlineStr">
        <ns0:is>
          <ns0:t>Synthetic Script 009</ns0:t>
        </ns0:is>
      </ns0:c>
      <ns0:c r="E14" s="4" t="inlineStr">
        <ns0:is>
          <ns0:t>欢乐</ns0:t>
        </ns0:is>
      </ns0:c>
      <ns0:c r="F14" s="4" t="n">
        <ns0:v>3</ns0:v>
      </ns0:c>
      <ns0:c r="G14" s="4" t="n">
        <ns0:v>7</ns0:v>
      </ns0:c>
      <ns0:c r="H14" s="9" t="n">
        <ns0:v>95</ns0:v>
      </ns0:c>
      <ns0:c r="I14" s="9">
        <ns0:f>G14*H14</ns0:f>
        <ns0:v>665</ns0:v>
      </ns0:c>
      <ns0:c r="J14" s="9">
        <ns0:f>INDEX(Script_List!$H$2:$H$161,MATCH(B14,Script_List!$A$2:$A$161,0))</ns0:f>
        <ns0:v>175</ns0:v>
      </ns0:c>
      <ns0:c r="K14" s="4" t="inlineStr">
        <ns0:is>
          <ns0:t>独家</ns0:t>
        </ns0:is>
      </ns0:c>
      <ns0:c r="L14" s="9">
        <ns0:f>I14-J14</ns0:f>
        <ns0:v>490</ns0:v>
      </ns0:c>
      <ns0:c r="M14" s="4" t="n">
        <ns0:v>8.4</ns0:v>
      </ns0:c>
      <ns0:c r="N14" s="10">
        <ns0:f>DATE(YEAR(C14),MONTH(C14),1)</ns0:f>
        <ns0:v>45901.0</ns0:v>
      </ns0:c>
      <ns0:c r="O14" s="4" t="str">
        <ns0:f>TEXT(N14,"yyyy-mm")</ns0:f>
        <ns0:v>2025-09</ns0:v>
      </ns0:c>
    </ns0:row>
    <ns0:row r="15">
      <ns0:c r="A15" s="4" t="inlineStr">
        <ns0:is>
          <ns0:t>SES-0014</ns0:t>
        </ns0:is>
      </ns0:c>
      <ns0:c r="B15" s="4" t="inlineStr">
        <ns0:is>
          <ns0:t>SYN-009</ns0:t>
        </ns0:is>
      </ns0:c>
      <ns0:c r="C15" s="10" t="n">
        <ns0:v>45914</ns0:v>
      </ns0:c>
      <ns0:c r="D15" s="4" t="inlineStr">
        <ns0:is>
          <ns0:t>Synthetic Script 009</ns0:t>
        </ns0:is>
      </ns0:c>
      <ns0:c r="E15" s="4" t="inlineStr">
        <ns0:is>
          <ns0:t>欢乐</ns0:t>
        </ns0:is>
      </ns0:c>
      <ns0:c r="F15" s="4" t="n">
        <ns0:v>3</ns0:v>
      </ns0:c>
      <ns0:c r="G15" s="4" t="n">
        <ns0:v>7</ns0:v>
      </ns0:c>
      <ns0:c r="H15" s="9" t="n">
        <ns0:v>95</ns0:v>
      </ns0:c>
      <ns0:c r="I15" s="9">
        <ns0:f>G15*H15</ns0:f>
        <ns0:v>665</ns0:v>
      </ns0:c>
      <ns0:c r="J15" s="9">
        <ns0:f>INDEX(Script_List!$H$2:$H$161,MATCH(B15,Script_List!$A$2:$A$161,0))</ns0:f>
        <ns0:v>175</ns0:v>
      </ns0:c>
      <ns0:c r="K15" s="4" t="inlineStr">
        <ns0:is>
          <ns0:t>独家</ns0:t>
        </ns0:is>
      </ns0:c>
      <ns0:c r="L15" s="9">
        <ns0:f>I15-J15</ns0:f>
        <ns0:v>490</ns0:v>
      </ns0:c>
      <ns0:c r="M15" s="4" t="n">
        <ns0:v>8.4</ns0:v>
      </ns0:c>
      <ns0:c r="N15" s="10">
        <ns0:f>DATE(YEAR(C15),MONTH(C15),1)</ns0:f>
        <ns0:v>45901.0</ns0:v>
      </ns0:c>
      <ns0:c r="O15" s="4" t="str">
        <ns0:f>TEXT(N15,"yyyy-mm")</ns0:f>
        <ns0:v>2025-09</ns0:v>
      </ns0:c>
    </ns0:row>
    <ns0:row r="16">
      <ns0:c r="A16" s="4" t="inlineStr">
        <ns0:is>
          <ns0:t>SES-0015</ns0:t>
        </ns0:is>
      </ns0:c>
      <ns0:c r="B16" s="4" t="inlineStr">
        <ns0:is>
          <ns0:t>SYN-009</ns0:t>
        </ns0:is>
      </ns0:c>
      <ns0:c r="C16" s="10" t="n">
        <ns0:v>45915</ns0:v>
      </ns0:c>
      <ns0:c r="D16" s="4" t="inlineStr">
        <ns0:is>
          <ns0:t>Synthetic Script 009</ns0:t>
        </ns0:is>
      </ns0:c>
      <ns0:c r="E16" s="4" t="inlineStr">
        <ns0:is>
          <ns0:t>欢乐</ns0:t>
        </ns0:is>
      </ns0:c>
      <ns0:c r="F16" s="4" t="n">
        <ns0:v>3</ns0:v>
      </ns0:c>
      <ns0:c r="G16" s="4" t="n">
        <ns0:v>7</ns0:v>
      </ns0:c>
      <ns0:c r="H16" s="9" t="n">
        <ns0:v>95</ns0:v>
      </ns0:c>
      <ns0:c r="I16" s="9">
        <ns0:f>G16*H16</ns0:f>
        <ns0:v>665</ns0:v>
      </ns0:c>
      <ns0:c r="J16" s="9">
        <ns0:f>INDEX(Script_List!$H$2:$H$161,MATCH(B16,Script_List!$A$2:$A$161,0))</ns0:f>
        <ns0:v>175</ns0:v>
      </ns0:c>
      <ns0:c r="K16" s="4" t="inlineStr">
        <ns0:is>
          <ns0:t>独家</ns0:t>
        </ns0:is>
      </ns0:c>
      <ns0:c r="L16" s="9">
        <ns0:f>I16-J16</ns0:f>
        <ns0:v>490</ns0:v>
      </ns0:c>
      <ns0:c r="M16" s="4" t="n">
        <ns0:v>8.4</ns0:v>
      </ns0:c>
      <ns0:c r="N16" s="10">
        <ns0:f>DATE(YEAR(C16),MONTH(C16),1)</ns0:f>
        <ns0:v>45901.0</ns0:v>
      </ns0:c>
      <ns0:c r="O16" s="4" t="str">
        <ns0:f>TEXT(N16,"yyyy-mm")</ns0:f>
        <ns0:v>2025-09</ns0:v>
      </ns0:c>
    </ns0:row>
    <ns0:row r="17">
      <ns0:c r="A17" s="4" t="inlineStr">
        <ns0:is>
          <ns0:t>SES-0016</ns0:t>
        </ns0:is>
      </ns0:c>
      <ns0:c r="B17" s="4" t="inlineStr">
        <ns0:is>
          <ns0:t>SYN-009</ns0:t>
        </ns0:is>
      </ns0:c>
      <ns0:c r="C17" s="10" t="n">
        <ns0:v>45916</ns0:v>
      </ns0:c>
      <ns0:c r="D17" s="4" t="inlineStr">
        <ns0:is>
          <ns0:t>Synthetic Script 009</ns0:t>
        </ns0:is>
      </ns0:c>
      <ns0:c r="E17" s="4" t="inlineStr">
        <ns0:is>
          <ns0:t>欢乐</ns0:t>
        </ns0:is>
      </ns0:c>
      <ns0:c r="F17" s="4" t="n">
        <ns0:v>3</ns0:v>
      </ns0:c>
      <ns0:c r="G17" s="4" t="n">
        <ns0:v>7</ns0:v>
      </ns0:c>
      <ns0:c r="H17" s="9" t="n">
        <ns0:v>95</ns0:v>
      </ns0:c>
      <ns0:c r="I17" s="9">
        <ns0:f>G17*H17</ns0:f>
        <ns0:v>665</ns0:v>
      </ns0:c>
      <ns0:c r="J17" s="9">
        <ns0:f>INDEX(Script_List!$H$2:$H$161,MATCH(B17,Script_List!$A$2:$A$161,0))</ns0:f>
        <ns0:v>175</ns0:v>
      </ns0:c>
      <ns0:c r="K17" s="4" t="inlineStr">
        <ns0:is>
          <ns0:t>独家</ns0:t>
        </ns0:is>
      </ns0:c>
      <ns0:c r="L17" s="9">
        <ns0:f>I17-J17</ns0:f>
        <ns0:v>490</ns0:v>
      </ns0:c>
      <ns0:c r="M17" s="4" t="n">
        <ns0:v>8.4</ns0:v>
      </ns0:c>
      <ns0:c r="N17" s="10">
        <ns0:f>DATE(YEAR(C17),MONTH(C17),1)</ns0:f>
        <ns0:v>45901.0</ns0:v>
      </ns0:c>
      <ns0:c r="O17" s="4" t="str">
        <ns0:f>TEXT(N17,"yyyy-mm")</ns0:f>
        <ns0:v>2025-09</ns0:v>
      </ns0:c>
    </ns0:row>
    <ns0:row r="18">
      <ns0:c r="A18" s="4" t="inlineStr">
        <ns0:is>
          <ns0:t>SES-0017</ns0:t>
        </ns0:is>
      </ns0:c>
      <ns0:c r="B18" s="4" t="inlineStr">
        <ns0:is>
          <ns0:t>SYN-010</ns0:t>
        </ns0:is>
      </ns0:c>
      <ns0:c r="C18" s="10" t="n">
        <ns0:v>45916</ns0:v>
      </ns0:c>
      <ns0:c r="D18" s="4" t="inlineStr">
        <ns0:is>
          <ns0:t>Synthetic Script 010</ns0:t>
        </ns0:is>
      </ns0:c>
      <ns0:c r="E18" s="4" t="inlineStr">
        <ns0:is>
          <ns0:t>情感</ns0:t>
        </ns0:is>
      </ns0:c>
      <ns0:c r="F18" s="4" t="n">
        <ns0:v>6</ns0:v>
      </ns0:c>
      <ns0:c r="G18" s="4" t="n">
        <ns0:v>8</ns0:v>
      </ns0:c>
      <ns0:c r="H18" s="9" t="n">
        <ns0:v>109</ns0:v>
      </ns0:c>
      <ns0:c r="I18" s="9">
        <ns0:f>G18*H18</ns0:f>
        <ns0:v>872</ns0:v>
      </ns0:c>
      <ns0:c r="J18" s="9">
        <ns0:f>INDEX(Script_List!$H$2:$H$161,MATCH(B18,Script_List!$A$2:$A$161,0))</ns0:f>
        <ns0:v>540</ns0:v>
      </ns0:c>
      <ns0:c r="K18" s="4" t="inlineStr">
        <ns0:is>
          <ns0:t>盒装</ns0:t>
        </ns0:is>
      </ns0:c>
      <ns0:c r="L18" s="9">
        <ns0:f>I18-J18</ns0:f>
        <ns0:v>332</ns0:v>
      </ns0:c>
      <ns0:c r="M18" s="4" t="n">
        <ns0:v>7</ns0:v>
      </ns0:c>
      <ns0:c r="N18" s="10">
        <ns0:f>DATE(YEAR(C18),MONTH(C18),1)</ns0:f>
        <ns0:v>45901.0</ns0:v>
      </ns0:c>
      <ns0:c r="O18" s="4" t="str">
        <ns0:f>TEXT(N18,"yyyy-mm")</ns0:f>
        <ns0:v>2025-09</ns0:v>
      </ns0:c>
    </ns0:row>
    <ns0:row r="19">
      <ns0:c r="A19" s="4" t="inlineStr">
        <ns0:is>
          <ns0:t>SES-0018</ns0:t>
        </ns0:is>
      </ns0:c>
      <ns0:c r="B19" s="4" t="inlineStr">
        <ns0:is>
          <ns0:t>SYN-011</ns0:t>
        </ns0:is>
      </ns0:c>
      <ns0:c r="C19" s="10" t="n">
        <ns0:v>45917</ns0:v>
      </ns0:c>
      <ns0:c r="D19" s="4" t="inlineStr">
        <ns0:is>
          <ns0:t>Synthetic Script 011</ns0:t>
        </ns0:is>
      </ns0:c>
      <ns0:c r="E19" s="4" t="inlineStr">
        <ns0:is>
          <ns0:t>情感</ns0:t>
        </ns0:is>
      </ns0:c>
      <ns0:c r="F19" s="4" t="n">
        <ns0:v>2</ns0:v>
      </ns0:c>
      <ns0:c r="G19" s="4" t="n">
        <ns0:v>6</ns0:v>
      </ns0:c>
      <ns0:c r="H19" s="9" t="n">
        <ns0:v>118</ns0:v>
      </ns0:c>
      <ns0:c r="I19" s="9">
        <ns0:f>G19*H19</ns0:f>
        <ns0:v>708</ns0:v>
      </ns0:c>
      <ns0:c r="J19" s="9">
        <ns0:f>INDEX(Script_List!$H$2:$H$161,MATCH(B19,Script_List!$A$2:$A$161,0))</ns0:f>
        <ns0:v>180</ns0:v>
      </ns0:c>
      <ns0:c r="K19" s="4" t="inlineStr">
        <ns0:is>
          <ns0:t>盒装</ns0:t>
        </ns0:is>
      </ns0:c>
      <ns0:c r="L19" s="9">
        <ns0:f>I19-J19</ns0:f>
        <ns0:v>528</ns0:v>
      </ns0:c>
      <ns0:c r="M19" s="4" t="n">
        <ns0:v>7.7</ns0:v>
      </ns0:c>
      <ns0:c r="N19" s="10">
        <ns0:f>DATE(YEAR(C19),MONTH(C19),1)</ns0:f>
        <ns0:v>45901.0</ns0:v>
      </ns0:c>
      <ns0:c r="O19" s="4" t="str">
        <ns0:f>TEXT(N19,"yyyy-mm")</ns0:f>
        <ns0:v>2025-09</ns0:v>
      </ns0:c>
    </ns0:row>
    <ns0:row r="20">
      <ns0:c r="A20" s="4" t="inlineStr">
        <ns0:is>
          <ns0:t>SES-0019</ns0:t>
        </ns0:is>
      </ns0:c>
      <ns0:c r="B20" s="4" t="inlineStr">
        <ns0:is>
          <ns0:t>SYN-011</ns0:t>
        </ns0:is>
      </ns0:c>
      <ns0:c r="C20" s="10" t="n">
        <ns0:v>45918</ns0:v>
      </ns0:c>
      <ns0:c r="D20" s="4" t="inlineStr">
        <ns0:is>
          <ns0:t>Synthetic Script 011</ns0:t>
        </ns0:is>
      </ns0:c>
      <ns0:c r="E20" s="4" t="inlineStr">
        <ns0:is>
          <ns0:t>情感</ns0:t>
        </ns0:is>
      </ns0:c>
      <ns0:c r="F20" s="4" t="n">
        <ns0:v>2</ns0:v>
      </ns0:c>
      <ns0:c r="G20" s="4" t="n">
        <ns0:v>6</ns0:v>
      </ns0:c>
      <ns0:c r="H20" s="9" t="n">
        <ns0:v>118</ns0:v>
      </ns0:c>
      <ns0:c r="I20" s="9">
        <ns0:f>G20*H20</ns0:f>
        <ns0:v>708</ns0:v>
      </ns0:c>
      <ns0:c r="J20" s="9">
        <ns0:f>INDEX(Script_List!$H$2:$H$161,MATCH(B20,Script_List!$A$2:$A$161,0))</ns0:f>
        <ns0:v>180</ns0:v>
      </ns0:c>
      <ns0:c r="K20" s="4" t="inlineStr">
        <ns0:is>
          <ns0:t>盒装</ns0:t>
        </ns0:is>
      </ns0:c>
      <ns0:c r="L20" s="9">
        <ns0:f>I20-J20</ns0:f>
        <ns0:v>528</ns0:v>
      </ns0:c>
      <ns0:c r="M20" s="4" t="n">
        <ns0:v>7.7</ns0:v>
      </ns0:c>
      <ns0:c r="N20" s="10">
        <ns0:f>DATE(YEAR(C20),MONTH(C20),1)</ns0:f>
        <ns0:v>45901.0</ns0:v>
      </ns0:c>
      <ns0:c r="O20" s="4" t="str">
        <ns0:f>TEXT(N20,"yyyy-mm")</ns0:f>
        <ns0:v>2025-09</ns0:v>
      </ns0:c>
    </ns0:row>
    <ns0:row r="21">
      <ns0:c r="A21" s="4" t="inlineStr">
        <ns0:is>
          <ns0:t>SES-0020</ns0:t>
        </ns0:is>
      </ns0:c>
      <ns0:c r="B21" s="4" t="inlineStr">
        <ns0:is>
          <ns0:t>SYN-012</ns0:t>
        </ns0:is>
      </ns0:c>
      <ns0:c r="C21" s="10" t="n">
        <ns0:v>45919</ns0:v>
      </ns0:c>
      <ns0:c r="D21" s="4" t="inlineStr">
        <ns0:is>
          <ns0:t>Synthetic Script 012</ns0:t>
        </ns0:is>
      </ns0:c>
      <ns0:c r="E21" s="4" t="inlineStr">
        <ns0:is>
          <ns0:t>推理</ns0:t>
        </ns0:is>
      </ns0:c>
      <ns0:c r="F21" s="4" t="n">
        <ns0:v>1</ns0:v>
      </ns0:c>
      <ns0:c r="G21" s="4" t="n">
        <ns0:v>6</ns0:v>
      </ns0:c>
      <ns0:c r="H21" s="9" t="n">
        <ns0:v>119</ns0:v>
      </ns0:c>
      <ns0:c r="I21" s="9">
        <ns0:f>G21*H21</ns0:f>
        <ns0:v>714</ns0:v>
      </ns0:c>
      <ns0:c r="J21" s="9">
        <ns0:f>INDEX(Script_List!$H$2:$H$161,MATCH(B21,Script_List!$A$2:$A$161,0))</ns0:f>
        <ns0:v>187</ns0:v>
      </ns0:c>
      <ns0:c r="K21" s="4" t="inlineStr">
        <ns0:is>
          <ns0:t>城限</ns0:t>
        </ns0:is>
      </ns0:c>
      <ns0:c r="L21" s="9">
        <ns0:f>I21-J21</ns0:f>
        <ns0:v>527</ns0:v>
      </ns0:c>
      <ns0:c r="M21" s="4" t="n">
        <ns0:v>8.4</ns0:v>
      </ns0:c>
      <ns0:c r="N21" s="10">
        <ns0:f>DATE(YEAR(C21),MONTH(C21),1)</ns0:f>
        <ns0:v>45901.0</ns0:v>
      </ns0:c>
      <ns0:c r="O21" s="4" t="str">
        <ns0:f>TEXT(N21,"yyyy-mm")</ns0:f>
        <ns0:v>2025-09</ns0:v>
      </ns0:c>
    </ns0:row>
    <ns0:row r="22">
      <ns0:c r="A22" s="4" t="inlineStr">
        <ns0:is>
          <ns0:t>SES-0021</ns0:t>
        </ns0:is>
      </ns0:c>
      <ns0:c r="B22" s="4" t="inlineStr">
        <ns0:is>
          <ns0:t>SYN-012</ns0:t>
        </ns0:is>
      </ns0:c>
      <ns0:c r="C22" s="10" t="n">
        <ns0:v>45920</ns0:v>
      </ns0:c>
      <ns0:c r="D22" s="4" t="inlineStr">
        <ns0:is>
          <ns0:t>Synthetic Script 012</ns0:t>
        </ns0:is>
      </ns0:c>
      <ns0:c r="E22" s="4" t="inlineStr">
        <ns0:is>
          <ns0:t>推理</ns0:t>
        </ns0:is>
      </ns0:c>
      <ns0:c r="F22" s="4" t="n">
        <ns0:v>1</ns0:v>
      </ns0:c>
      <ns0:c r="G22" s="4" t="n">
        <ns0:v>6</ns0:v>
      </ns0:c>
      <ns0:c r="H22" s="9" t="n">
        <ns0:v>119</ns0:v>
      </ns0:c>
      <ns0:c r="I22" s="9">
        <ns0:f>G22*H22</ns0:f>
        <ns0:v>714</ns0:v>
      </ns0:c>
      <ns0:c r="J22" s="9">
        <ns0:f>INDEX(Script_List!$H$2:$H$161,MATCH(B22,Script_List!$A$2:$A$161,0))</ns0:f>
        <ns0:v>187</ns0:v>
      </ns0:c>
      <ns0:c r="K22" s="4" t="inlineStr">
        <ns0:is>
          <ns0:t>城限</ns0:t>
        </ns0:is>
      </ns0:c>
      <ns0:c r="L22" s="9">
        <ns0:f>I22-J22</ns0:f>
        <ns0:v>527</ns0:v>
      </ns0:c>
      <ns0:c r="M22" s="4" t="n">
        <ns0:v>8.4</ns0:v>
      </ns0:c>
      <ns0:c r="N22" s="10">
        <ns0:f>DATE(YEAR(C22),MONTH(C22),1)</ns0:f>
        <ns0:v>45901.0</ns0:v>
      </ns0:c>
      <ns0:c r="O22" s="4" t="str">
        <ns0:f>TEXT(N22,"yyyy-mm")</ns0:f>
        <ns0:v>2025-09</ns0:v>
      </ns0:c>
    </ns0:row>
    <ns0:row r="23">
      <ns0:c r="A23" s="4" t="inlineStr">
        <ns0:is>
          <ns0:t>SES-0022</ns0:t>
        </ns0:is>
      </ns0:c>
      <ns0:c r="B23" s="4" t="inlineStr">
        <ns0:is>
          <ns0:t>SYN-012</ns0:t>
        </ns0:is>
      </ns0:c>
      <ns0:c r="C23" s="10" t="n">
        <ns0:v>45921</ns0:v>
      </ns0:c>
      <ns0:c r="D23" s="4" t="inlineStr">
        <ns0:is>
          <ns0:t>Synthetic Script 012</ns0:t>
        </ns0:is>
      </ns0:c>
      <ns0:c r="E23" s="4" t="inlineStr">
        <ns0:is>
          <ns0:t>推理</ns0:t>
        </ns0:is>
      </ns0:c>
      <ns0:c r="F23" s="4" t="n">
        <ns0:v>1</ns0:v>
      </ns0:c>
      <ns0:c r="G23" s="4" t="n">
        <ns0:v>6</ns0:v>
      </ns0:c>
      <ns0:c r="H23" s="9" t="n">
        <ns0:v>119</ns0:v>
      </ns0:c>
      <ns0:c r="I23" s="9">
        <ns0:f>G23*H23</ns0:f>
        <ns0:v>714</ns0:v>
      </ns0:c>
      <ns0:c r="J23" s="9">
        <ns0:f>INDEX(Script_List!$H$2:$H$161,MATCH(B23,Script_List!$A$2:$A$161,0))</ns0:f>
        <ns0:v>187</ns0:v>
      </ns0:c>
      <ns0:c r="K23" s="4" t="inlineStr">
        <ns0:is>
          <ns0:t>城限</ns0:t>
        </ns0:is>
      </ns0:c>
      <ns0:c r="L23" s="9">
        <ns0:f>I23-J23</ns0:f>
        <ns0:v>527</ns0:v>
      </ns0:c>
      <ns0:c r="M23" s="4" t="n">
        <ns0:v>8.4</ns0:v>
      </ns0:c>
      <ns0:c r="N23" s="10">
        <ns0:f>DATE(YEAR(C23),MONTH(C23),1)</ns0:f>
        <ns0:v>45901.0</ns0:v>
      </ns0:c>
      <ns0:c r="O23" s="4" t="str">
        <ns0:f>TEXT(N23,"yyyy-mm")</ns0:f>
        <ns0:v>2025-09</ns0:v>
      </ns0:c>
    </ns0:row>
    <ns0:row r="24">
      <ns0:c r="A24" s="4" t="inlineStr">
        <ns0:is>
          <ns0:t>SES-0023</ns0:t>
        </ns0:is>
      </ns0:c>
      <ns0:c r="B24" s="4" t="inlineStr">
        <ns0:is>
          <ns0:t>SYN-012</ns0:t>
        </ns0:is>
      </ns0:c>
      <ns0:c r="C24" s="10" t="n">
        <ns0:v>45922</ns0:v>
      </ns0:c>
      <ns0:c r="D24" s="4" t="inlineStr">
        <ns0:is>
          <ns0:t>Synthetic Script 012</ns0:t>
        </ns0:is>
      </ns0:c>
      <ns0:c r="E24" s="4" t="inlineStr">
        <ns0:is>
          <ns0:t>推理</ns0:t>
        </ns0:is>
      </ns0:c>
      <ns0:c r="F24" s="4" t="n">
        <ns0:v>1</ns0:v>
      </ns0:c>
      <ns0:c r="G24" s="4" t="n">
        <ns0:v>6</ns0:v>
      </ns0:c>
      <ns0:c r="H24" s="9" t="n">
        <ns0:v>119</ns0:v>
      </ns0:c>
      <ns0:c r="I24" s="9">
        <ns0:f>G24*H24</ns0:f>
        <ns0:v>714</ns0:v>
      </ns0:c>
      <ns0:c r="J24" s="9">
        <ns0:f>INDEX(Script_List!$H$2:$H$161,MATCH(B24,Script_List!$A$2:$A$161,0))</ns0:f>
        <ns0:v>187</ns0:v>
      </ns0:c>
      <ns0:c r="K24" s="4" t="inlineStr">
        <ns0:is>
          <ns0:t>城限</ns0:t>
        </ns0:is>
      </ns0:c>
      <ns0:c r="L24" s="9">
        <ns0:f>I24-J24</ns0:f>
        <ns0:v>527</ns0:v>
      </ns0:c>
      <ns0:c r="M24" s="4" t="n">
        <ns0:v>8.4</ns0:v>
      </ns0:c>
      <ns0:c r="N24" s="10">
        <ns0:f>DATE(YEAR(C24),MONTH(C24),1)</ns0:f>
        <ns0:v>45901.0</ns0:v>
      </ns0:c>
      <ns0:c r="O24" s="4" t="str">
        <ns0:f>TEXT(N24,"yyyy-mm")</ns0:f>
        <ns0:v>2025-09</ns0:v>
      </ns0:c>
    </ns0:row>
    <ns0:row r="25">
      <ns0:c r="A25" s="4" t="inlineStr">
        <ns0:is>
          <ns0:t>SES-0024</ns0:t>
        </ns0:is>
      </ns0:c>
      <ns0:c r="B25" s="4" t="inlineStr">
        <ns0:is>
          <ns0:t>SYN-012</ns0:t>
        </ns0:is>
      </ns0:c>
      <ns0:c r="C25" s="10" t="n">
        <ns0:v>45923</ns0:v>
      </ns0:c>
      <ns0:c r="D25" s="4" t="inlineStr">
        <ns0:is>
          <ns0:t>Synthetic Script 012</ns0:t>
        </ns0:is>
      </ns0:c>
      <ns0:c r="E25" s="4" t="inlineStr">
        <ns0:is>
          <ns0:t>推理</ns0:t>
        </ns0:is>
      </ns0:c>
      <ns0:c r="F25" s="4" t="n">
        <ns0:v>1</ns0:v>
      </ns0:c>
      <ns0:c r="G25" s="4" t="n">
        <ns0:v>6</ns0:v>
      </ns0:c>
      <ns0:c r="H25" s="9" t="n">
        <ns0:v>119</ns0:v>
      </ns0:c>
      <ns0:c r="I25" s="9">
        <ns0:f>G25*H25</ns0:f>
        <ns0:v>714</ns0:v>
      </ns0:c>
      <ns0:c r="J25" s="9">
        <ns0:f>INDEX(Script_List!$H$2:$H$161,MATCH(B25,Script_List!$A$2:$A$161,0))</ns0:f>
        <ns0:v>187</ns0:v>
      </ns0:c>
      <ns0:c r="K25" s="4" t="inlineStr">
        <ns0:is>
          <ns0:t>城限</ns0:t>
        </ns0:is>
      </ns0:c>
      <ns0:c r="L25" s="9">
        <ns0:f>I25-J25</ns0:f>
        <ns0:v>527</ns0:v>
      </ns0:c>
      <ns0:c r="M25" s="4" t="n">
        <ns0:v>8.4</ns0:v>
      </ns0:c>
      <ns0:c r="N25" s="10">
        <ns0:f>DATE(YEAR(C25),MONTH(C25),1)</ns0:f>
        <ns0:v>45901.0</ns0:v>
      </ns0:c>
      <ns0:c r="O25" s="4" t="str">
        <ns0:f>TEXT(N25,"yyyy-mm")</ns0:f>
        <ns0:v>2025-09</ns0:v>
      </ns0:c>
    </ns0:row>
    <ns0:row r="26">
      <ns0:c r="A26" s="4" t="inlineStr">
        <ns0:is>
          <ns0:t>SES-0025</ns0:t>
        </ns0:is>
      </ns0:c>
      <ns0:c r="B26" s="4" t="inlineStr">
        <ns0:is>
          <ns0:t>SYN-013</ns0:t>
        </ns0:is>
      </ns0:c>
      <ns0:c r="C26" s="10" t="n">
        <ns0:v>45924</ns0:v>
      </ns0:c>
      <ns0:c r="D26" s="4" t="inlineStr">
        <ns0:is>
          <ns0:t>Synthetic Script 013</ns0:t>
        </ns0:is>
      </ns0:c>
      <ns0:c r="E26" s="4" t="inlineStr">
        <ns0:is>
          <ns0:t>情感</ns0:t>
        </ns0:is>
      </ns0:c>
      <ns0:c r="F26" s="4" t="n">
        <ns0:v>3</ns0:v>
      </ns0:c>
      <ns0:c r="G26" s="4" t="n">
        <ns0:v>6</ns0:v>
      </ns0:c>
      <ns0:c r="H26" s="9" t="n">
        <ns0:v>99</ns0:v>
      </ns0:c>
      <ns0:c r="I26" s="9">
        <ns0:f>G26*H26</ns0:f>
        <ns0:v>594</ns0:v>
      </ns0:c>
      <ns0:c r="J26" s="9">
        <ns0:f>INDEX(Script_List!$H$2:$H$161,MATCH(B26,Script_List!$A$2:$A$161,0))</ns0:f>
        <ns0:v>270</ns0:v>
      </ns0:c>
      <ns0:c r="K26" s="4" t="inlineStr">
        <ns0:is>
          <ns0:t>盒装</ns0:t>
        </ns0:is>
      </ns0:c>
      <ns0:c r="L26" s="9">
        <ns0:f>I26-J26</ns0:f>
        <ns0:v>324</ns0:v>
      </ns0:c>
      <ns0:c r="M26" s="4" t="n">
        <ns0:v>7</ns0:v>
      </ns0:c>
      <ns0:c r="N26" s="10">
        <ns0:f>DATE(YEAR(C26),MONTH(C26),1)</ns0:f>
        <ns0:v>45901.0</ns0:v>
      </ns0:c>
      <ns0:c r="O26" s="4" t="str">
        <ns0:f>TEXT(N26,"yyyy-mm")</ns0:f>
        <ns0:v>2025-09</ns0:v>
      </ns0:c>
    </ns0:row>
    <ns0:row r="27">
      <ns0:c r="A27" s="4" t="inlineStr">
        <ns0:is>
          <ns0:t>SES-0026</ns0:t>
        </ns0:is>
      </ns0:c>
      <ns0:c r="B27" s="4" t="inlineStr">
        <ns0:is>
          <ns0:t>SYN-014</ns0:t>
        </ns0:is>
      </ns0:c>
      <ns0:c r="C27" s="10" t="n">
        <ns0:v>45925</ns0:v>
      </ns0:c>
      <ns0:c r="D27" s="4" t="inlineStr">
        <ns0:is>
          <ns0:t>Synthetic Script 014</ns0:t>
        </ns0:is>
      </ns0:c>
      <ns0:c r="E27" s="4" t="inlineStr">
        <ns0:is>
          <ns0:t>欢乐</ns0:t>
        </ns0:is>
      </ns0:c>
      <ns0:c r="F27" s="4" t="n">
        <ns0:v>3</ns0:v>
      </ns0:c>
      <ns0:c r="G27" s="4" t="n">
        <ns0:v>7</ns0:v>
      </ns0:c>
      <ns0:c r="H27" s="9" t="n">
        <ns0:v>109</ns0:v>
      </ns0:c>
      <ns0:c r="I27" s="9">
        <ns0:f>G27*H27</ns0:f>
        <ns0:v>763</ns0:v>
      </ns0:c>
      <ns0:c r="J27" s="9">
        <ns0:f>INDEX(Script_List!$H$2:$H$161,MATCH(B27,Script_List!$A$2:$A$161,0))</ns0:f>
        <ns0:v>200</ns0:v>
      </ns0:c>
      <ns0:c r="K27" s="4" t="inlineStr">
        <ns0:is>
          <ns0:t>独家</ns0:t>
        </ns0:is>
      </ns0:c>
      <ns0:c r="L27" s="9">
        <ns0:f>I27-J27</ns0:f>
        <ns0:v>563</ns0:v>
      </ns0:c>
      <ns0:c r="M27" s="4" t="n">
        <ns0:v>7.7</ns0:v>
      </ns0:c>
      <ns0:c r="N27" s="10">
        <ns0:f>DATE(YEAR(C27),MONTH(C27),1)</ns0:f>
        <ns0:v>45901.0</ns0:v>
      </ns0:c>
      <ns0:c r="O27" s="4" t="str">
        <ns0:f>TEXT(N27,"yyyy-mm")</ns0:f>
        <ns0:v>2025-09</ns0:v>
      </ns0:c>
    </ns0:row>
    <ns0:row r="28">
      <ns0:c r="A28" s="4" t="inlineStr">
        <ns0:is>
          <ns0:t>SES-0027</ns0:t>
        </ns0:is>
      </ns0:c>
      <ns0:c r="B28" s="4" t="inlineStr">
        <ns0:is>
          <ns0:t>SYN-014</ns0:t>
        </ns0:is>
      </ns0:c>
      <ns0:c r="C28" s="10" t="n">
        <ns0:v>45926</ns0:v>
      </ns0:c>
      <ns0:c r="D28" s="4" t="inlineStr">
        <ns0:is>
          <ns0:t>Synthetic Script 014</ns0:t>
        </ns0:is>
      </ns0:c>
      <ns0:c r="E28" s="4" t="inlineStr">
        <ns0:is>
          <ns0:t>欢乐</ns0:t>
        </ns0:is>
      </ns0:c>
      <ns0:c r="F28" s="4" t="n">
        <ns0:v>3</ns0:v>
      </ns0:c>
      <ns0:c r="G28" s="4" t="n">
        <ns0:v>7</ns0:v>
      </ns0:c>
      <ns0:c r="H28" s="9" t="n">
        <ns0:v>109</ns0:v>
      </ns0:c>
      <ns0:c r="I28" s="9">
        <ns0:f>G28*H28</ns0:f>
        <ns0:v>763</ns0:v>
      </ns0:c>
      <ns0:c r="J28" s="9">
        <ns0:f>INDEX(Script_List!$H$2:$H$161,MATCH(B28,Script_List!$A$2:$A$161,0))</ns0:f>
        <ns0:v>200</ns0:v>
      </ns0:c>
      <ns0:c r="K28" s="4" t="inlineStr">
        <ns0:is>
          <ns0:t>独家</ns0:t>
        </ns0:is>
      </ns0:c>
      <ns0:c r="L28" s="9">
        <ns0:f>I28-J28</ns0:f>
        <ns0:v>563</ns0:v>
      </ns0:c>
      <ns0:c r="M28" s="4" t="n">
        <ns0:v>7.7</ns0:v>
      </ns0:c>
      <ns0:c r="N28" s="10">
        <ns0:f>DATE(YEAR(C28),MONTH(C28),1)</ns0:f>
        <ns0:v>45901.0</ns0:v>
      </ns0:c>
      <ns0:c r="O28" s="4" t="str">
        <ns0:f>TEXT(N28,"yyyy-mm")</ns0:f>
        <ns0:v>2025-09</ns0:v>
      </ns0:c>
    </ns0:row>
    <ns0:row r="29">
      <ns0:c r="A29" s="4" t="inlineStr">
        <ns0:is>
          <ns0:t>SES-0028</ns0:t>
        </ns0:is>
      </ns0:c>
      <ns0:c r="B29" s="4" t="inlineStr">
        <ns0:is>
          <ns0:t>SYN-015</ns0:t>
        </ns0:is>
      </ns0:c>
      <ns0:c r="C29" s="10" t="n">
        <ns0:v>45927</ns0:v>
      </ns0:c>
      <ns0:c r="D29" s="4" t="inlineStr">
        <ns0:is>
          <ns0:t>Synthetic Script 015</ns0:t>
        </ns0:is>
      </ns0:c>
      <ns0:c r="E29" s="4" t="inlineStr">
        <ns0:is>
          <ns0:t>推理</ns0:t>
        </ns0:is>
      </ns0:c>
      <ns0:c r="F29" s="4" t="n">
        <ns0:v>2</ns0:v>
      </ns0:c>
      <ns0:c r="G29" s="4" t="n">
        <ns0:v>8</ns0:v>
      </ns0:c>
      <ns0:c r="H29" s="9" t="n">
        <ns0:v>95</ns0:v>
      </ns0:c>
      <ns0:c r="I29" s="9">
        <ns0:f>G29*H29</ns0:f>
        <ns0:v>760</ns0:v>
      </ns0:c>
      <ns0:c r="J29" s="9">
        <ns0:f>INDEX(Script_List!$H$2:$H$161,MATCH(B29,Script_List!$A$2:$A$161,0))</ns0:f>
        <ns0:v>200</ns0:v>
      </ns0:c>
      <ns0:c r="K29" s="4" t="inlineStr">
        <ns0:is>
          <ns0:t>城限</ns0:t>
        </ns0:is>
      </ns0:c>
      <ns0:c r="L29" s="9">
        <ns0:f>I29-J29</ns0:f>
        <ns0:v>560</ns0:v>
      </ns0:c>
      <ns0:c r="M29" s="4" t="n">
        <ns0:v>8.4</ns0:v>
      </ns0:c>
      <ns0:c r="N29" s="10">
        <ns0:f>DATE(YEAR(C29),MONTH(C29),1)</ns0:f>
        <ns0:v>45901.0</ns0:v>
      </ns0:c>
      <ns0:c r="O29" s="4" t="str">
        <ns0:f>TEXT(N29,"yyyy-mm")</ns0:f>
        <ns0:v>2025-09</ns0:v>
      </ns0:c>
    </ns0:row>
    <ns0:row r="30">
      <ns0:c r="A30" s="4" t="inlineStr">
        <ns0:is>
          <ns0:t>SES-0029</ns0:t>
        </ns0:is>
      </ns0:c>
      <ns0:c r="B30" s="4" t="inlineStr">
        <ns0:is>
          <ns0:t>SYN-015</ns0:t>
        </ns0:is>
      </ns0:c>
      <ns0:c r="C30" s="10" t="n">
        <ns0:v>45928</ns0:v>
      </ns0:c>
      <ns0:c r="D30" s="4" t="inlineStr">
        <ns0:is>
          <ns0:t>Synthetic Script 015</ns0:t>
        </ns0:is>
      </ns0:c>
      <ns0:c r="E30" s="4" t="inlineStr">
        <ns0:is>
          <ns0:t>推理</ns0:t>
        </ns0:is>
      </ns0:c>
      <ns0:c r="F30" s="4" t="n">
        <ns0:v>2</ns0:v>
      </ns0:c>
      <ns0:c r="G30" s="4" t="n">
        <ns0:v>8</ns0:v>
      </ns0:c>
      <ns0:c r="H30" s="9" t="n">
        <ns0:v>95</ns0:v>
      </ns0:c>
      <ns0:c r="I30" s="9">
        <ns0:f>G30*H30</ns0:f>
        <ns0:v>760</ns0:v>
      </ns0:c>
      <ns0:c r="J30" s="9">
        <ns0:f>INDEX(Script_List!$H$2:$H$161,MATCH(B30,Script_List!$A$2:$A$161,0))</ns0:f>
        <ns0:v>200</ns0:v>
      </ns0:c>
      <ns0:c r="K30" s="4" t="inlineStr">
        <ns0:is>
          <ns0:t>城限</ns0:t>
        </ns0:is>
      </ns0:c>
      <ns0:c r="L30" s="9">
        <ns0:f>I30-J30</ns0:f>
        <ns0:v>560</ns0:v>
      </ns0:c>
      <ns0:c r="M30" s="4" t="n">
        <ns0:v>8.4</ns0:v>
      </ns0:c>
      <ns0:c r="N30" s="10">
        <ns0:f>DATE(YEAR(C30),MONTH(C30),1)</ns0:f>
        <ns0:v>45901.0</ns0:v>
      </ns0:c>
      <ns0:c r="O30" s="4" t="str">
        <ns0:f>TEXT(N30,"yyyy-mm")</ns0:f>
        <ns0:v>2025-09</ns0:v>
      </ns0:c>
    </ns0:row>
    <ns0:row r="31">
      <ns0:c r="A31" s="4" t="inlineStr">
        <ns0:is>
          <ns0:t>SES-0030</ns0:t>
        </ns0:is>
      </ns0:c>
      <ns0:c r="B31" s="4" t="inlineStr">
        <ns0:is>
          <ns0:t>SYN-015</ns0:t>
        </ns0:is>
      </ns0:c>
      <ns0:c r="C31" s="10" t="n">
        <ns0:v>45929</ns0:v>
      </ns0:c>
      <ns0:c r="D31" s="4" t="inlineStr">
        <ns0:is>
          <ns0:t>Synthetic Script 015</ns0:t>
        </ns0:is>
      </ns0:c>
      <ns0:c r="E31" s="4" t="inlineStr">
        <ns0:is>
          <ns0:t>推理</ns0:t>
        </ns0:is>
      </ns0:c>
      <ns0:c r="F31" s="4" t="n">
        <ns0:v>2</ns0:v>
      </ns0:c>
      <ns0:c r="G31" s="4" t="n">
        <ns0:v>8</ns0:v>
      </ns0:c>
      <ns0:c r="H31" s="9" t="n">
        <ns0:v>95</ns0:v>
      </ns0:c>
      <ns0:c r="I31" s="9">
        <ns0:f>G31*H31</ns0:f>
        <ns0:v>760</ns0:v>
      </ns0:c>
      <ns0:c r="J31" s="9">
        <ns0:f>INDEX(Script_List!$H$2:$H$161,MATCH(B31,Script_List!$A$2:$A$161,0))</ns0:f>
        <ns0:v>200</ns0:v>
      </ns0:c>
      <ns0:c r="K31" s="4" t="inlineStr">
        <ns0:is>
          <ns0:t>城限</ns0:t>
        </ns0:is>
      </ns0:c>
      <ns0:c r="L31" s="9">
        <ns0:f>I31-J31</ns0:f>
        <ns0:v>560</ns0:v>
      </ns0:c>
      <ns0:c r="M31" s="4" t="n">
        <ns0:v>8.4</ns0:v>
      </ns0:c>
      <ns0:c r="N31" s="10">
        <ns0:f>DATE(YEAR(C31),MONTH(C31),1)</ns0:f>
        <ns0:v>45901.0</ns0:v>
      </ns0:c>
      <ns0:c r="O31" s="4" t="str">
        <ns0:f>TEXT(N31,"yyyy-mm")</ns0:f>
        <ns0:v>2025-09</ns0:v>
      </ns0:c>
    </ns0:row>
    <ns0:row r="32">
      <ns0:c r="A32" s="4" t="inlineStr">
        <ns0:is>
          <ns0:t>SES-0031</ns0:t>
        </ns0:is>
      </ns0:c>
      <ns0:c r="B32" s="4" t="inlineStr">
        <ns0:is>
          <ns0:t>SYN-015</ns0:t>
        </ns0:is>
      </ns0:c>
      <ns0:c r="C32" s="10" t="n">
        <ns0:v>45930</ns0:v>
      </ns0:c>
      <ns0:c r="D32" s="4" t="inlineStr">
        <ns0:is>
          <ns0:t>Synthetic Script 015</ns0:t>
        </ns0:is>
      </ns0:c>
      <ns0:c r="E32" s="4" t="inlineStr">
        <ns0:is>
          <ns0:t>推理</ns0:t>
        </ns0:is>
      </ns0:c>
      <ns0:c r="F32" s="4" t="n">
        <ns0:v>2</ns0:v>
      </ns0:c>
      <ns0:c r="G32" s="4" t="n">
        <ns0:v>8</ns0:v>
      </ns0:c>
      <ns0:c r="H32" s="9" t="n">
        <ns0:v>95</ns0:v>
      </ns0:c>
      <ns0:c r="I32" s="9">
        <ns0:f>G32*H32</ns0:f>
        <ns0:v>760</ns0:v>
      </ns0:c>
      <ns0:c r="J32" s="9">
        <ns0:f>INDEX(Script_List!$H$2:$H$161,MATCH(B32,Script_List!$A$2:$A$161,0))</ns0:f>
        <ns0:v>200</ns0:v>
      </ns0:c>
      <ns0:c r="K32" s="4" t="inlineStr">
        <ns0:is>
          <ns0:t>城限</ns0:t>
        </ns0:is>
      </ns0:c>
      <ns0:c r="L32" s="9">
        <ns0:f>I32-J32</ns0:f>
        <ns0:v>560</ns0:v>
      </ns0:c>
      <ns0:c r="M32" s="4" t="n">
        <ns0:v>8.4</ns0:v>
      </ns0:c>
      <ns0:c r="N32" s="10">
        <ns0:f>DATE(YEAR(C32),MONTH(C32),1)</ns0:f>
        <ns0:v>45901.0</ns0:v>
      </ns0:c>
      <ns0:c r="O32" s="4" t="str">
        <ns0:f>TEXT(N32,"yyyy-mm")</ns0:f>
        <ns0:v>2025-09</ns0:v>
      </ns0:c>
    </ns0:row>
    <ns0:row r="33">
      <ns0:c r="A33" s="4" t="inlineStr">
        <ns0:is>
          <ns0:t>SES-0032</ns0:t>
        </ns0:is>
      </ns0:c>
      <ns0:c r="B33" s="4" t="inlineStr">
        <ns0:is>
          <ns0:t>SYN-015</ns0:t>
        </ns0:is>
      </ns0:c>
      <ns0:c r="C33" s="10" t="n">
        <ns0:v>45931</ns0:v>
      </ns0:c>
      <ns0:c r="D33" s="4" t="inlineStr">
        <ns0:is>
          <ns0:t>Synthetic Script 015</ns0:t>
        </ns0:is>
      </ns0:c>
      <ns0:c r="E33" s="4" t="inlineStr">
        <ns0:is>
          <ns0:t>推理</ns0:t>
        </ns0:is>
      </ns0:c>
      <ns0:c r="F33" s="4" t="n">
        <ns0:v>2</ns0:v>
      </ns0:c>
      <ns0:c r="G33" s="4" t="n">
        <ns0:v>8</ns0:v>
      </ns0:c>
      <ns0:c r="H33" s="9" t="n">
        <ns0:v>95</ns0:v>
      </ns0:c>
      <ns0:c r="I33" s="9">
        <ns0:f>G33*H33</ns0:f>
        <ns0:v>760</ns0:v>
      </ns0:c>
      <ns0:c r="J33" s="9">
        <ns0:f>INDEX(Script_List!$H$2:$H$161,MATCH(B33,Script_List!$A$2:$A$161,0))</ns0:f>
        <ns0:v>200</ns0:v>
      </ns0:c>
      <ns0:c r="K33" s="4" t="inlineStr">
        <ns0:is>
          <ns0:t>城限</ns0:t>
        </ns0:is>
      </ns0:c>
      <ns0:c r="L33" s="9">
        <ns0:f>I33-J33</ns0:f>
        <ns0:v>560</ns0:v>
      </ns0:c>
      <ns0:c r="M33" s="4" t="n">
        <ns0:v>8.4</ns0:v>
      </ns0:c>
      <ns0:c r="N33" s="10">
        <ns0:f>DATE(YEAR(C33),MONTH(C33),1)</ns0:f>
        <ns0:v>45931.0</ns0:v>
      </ns0:c>
      <ns0:c r="O33" s="4" t="str">
        <ns0:f>TEXT(N33,"yyyy-mm")</ns0:f>
        <ns0:v>2025-10</ns0:v>
      </ns0:c>
    </ns0:row>
    <ns0:row r="34">
      <ns0:c r="A34" s="4" t="inlineStr">
        <ns0:is>
          <ns0:t>SES-0033</ns0:t>
        </ns0:is>
      </ns0:c>
      <ns0:c r="B34" s="4" t="inlineStr">
        <ns0:is>
          <ns0:t>SYN-015</ns0:t>
        </ns0:is>
      </ns0:c>
      <ns0:c r="C34" s="10" t="n">
        <ns0:v>45932</ns0:v>
      </ns0:c>
      <ns0:c r="D34" s="4" t="inlineStr">
        <ns0:is>
          <ns0:t>Synthetic Script 015</ns0:t>
        </ns0:is>
      </ns0:c>
      <ns0:c r="E34" s="4" t="inlineStr">
        <ns0:is>
          <ns0:t>推理</ns0:t>
        </ns0:is>
      </ns0:c>
      <ns0:c r="F34" s="4" t="n">
        <ns0:v>2</ns0:v>
      </ns0:c>
      <ns0:c r="G34" s="4" t="n">
        <ns0:v>8</ns0:v>
      </ns0:c>
      <ns0:c r="H34" s="9" t="n">
        <ns0:v>95</ns0:v>
      </ns0:c>
      <ns0:c r="I34" s="9">
        <ns0:f>G34*H34</ns0:f>
        <ns0:v>760</ns0:v>
      </ns0:c>
      <ns0:c r="J34" s="9">
        <ns0:f>INDEX(Script_List!$H$2:$H$161,MATCH(B34,Script_List!$A$2:$A$161,0))</ns0:f>
        <ns0:v>200</ns0:v>
      </ns0:c>
      <ns0:c r="K34" s="4" t="inlineStr">
        <ns0:is>
          <ns0:t>城限</ns0:t>
        </ns0:is>
      </ns0:c>
      <ns0:c r="L34" s="9">
        <ns0:f>I34-J34</ns0:f>
        <ns0:v>560</ns0:v>
      </ns0:c>
      <ns0:c r="M34" s="4" t="n">
        <ns0:v>8.4</ns0:v>
      </ns0:c>
      <ns0:c r="N34" s="10">
        <ns0:f>DATE(YEAR(C34),MONTH(C34),1)</ns0:f>
        <ns0:v>45931.0</ns0:v>
      </ns0:c>
      <ns0:c r="O34" s="4" t="str">
        <ns0:f>TEXT(N34,"yyyy-mm")</ns0:f>
        <ns0:v>2025-10</ns0:v>
      </ns0:c>
    </ns0:row>
    <ns0:row r="35">
      <ns0:c r="A35" s="4" t="inlineStr">
        <ns0:is>
          <ns0:t>SES-0034</ns0:t>
        </ns0:is>
      </ns0:c>
      <ns0:c r="B35" s="4" t="inlineStr">
        <ns0:is>
          <ns0:t>SYN-015</ns0:t>
        </ns0:is>
      </ns0:c>
      <ns0:c r="C35" s="10" t="n">
        <ns0:v>45933</ns0:v>
      </ns0:c>
      <ns0:c r="D35" s="4" t="inlineStr">
        <ns0:is>
          <ns0:t>Synthetic Script 015</ns0:t>
        </ns0:is>
      </ns0:c>
      <ns0:c r="E35" s="4" t="inlineStr">
        <ns0:is>
          <ns0:t>推理</ns0:t>
        </ns0:is>
      </ns0:c>
      <ns0:c r="F35" s="4" t="n">
        <ns0:v>2</ns0:v>
      </ns0:c>
      <ns0:c r="G35" s="4" t="n">
        <ns0:v>8</ns0:v>
      </ns0:c>
      <ns0:c r="H35" s="9" t="n">
        <ns0:v>95</ns0:v>
      </ns0:c>
      <ns0:c r="I35" s="9">
        <ns0:f>G35*H35</ns0:f>
        <ns0:v>760</ns0:v>
      </ns0:c>
      <ns0:c r="J35" s="9">
        <ns0:f>INDEX(Script_List!$H$2:$H$161,MATCH(B35,Script_List!$A$2:$A$161,0))</ns0:f>
        <ns0:v>200</ns0:v>
      </ns0:c>
      <ns0:c r="K35" s="4" t="inlineStr">
        <ns0:is>
          <ns0:t>城限</ns0:t>
        </ns0:is>
      </ns0:c>
      <ns0:c r="L35" s="9">
        <ns0:f>I35-J35</ns0:f>
        <ns0:v>560</ns0:v>
      </ns0:c>
      <ns0:c r="M35" s="4" t="n">
        <ns0:v>8.4</ns0:v>
      </ns0:c>
      <ns0:c r="N35" s="10">
        <ns0:f>DATE(YEAR(C35),MONTH(C35),1)</ns0:f>
        <ns0:v>45931.0</ns0:v>
      </ns0:c>
      <ns0:c r="O35" s="4" t="str">
        <ns0:f>TEXT(N35,"yyyy-mm")</ns0:f>
        <ns0:v>2025-10</ns0:v>
      </ns0:c>
    </ns0:row>
    <ns0:row r="36">
      <ns0:c r="A36" s="4" t="inlineStr">
        <ns0:is>
          <ns0:t>SES-0035</ns0:t>
        </ns0:is>
      </ns0:c>
      <ns0:c r="B36" s="4" t="inlineStr">
        <ns0:is>
          <ns0:t>SYN-016</ns0:t>
        </ns0:is>
      </ns0:c>
      <ns0:c r="C36" s="10" t="n">
        <ns0:v>45934</ns0:v>
      </ns0:c>
      <ns0:c r="D36" s="4" t="inlineStr">
        <ns0:is>
          <ns0:t>Synthetic Script 016</ns0:t>
        </ns0:is>
      </ns0:c>
      <ns0:c r="E36" s="4" t="inlineStr">
        <ns0:is>
          <ns0:t>情感</ns0:t>
        </ns0:is>
      </ns0:c>
      <ns0:c r="F36" s="4" t="n">
        <ns0:v>2</ns0:v>
      </ns0:c>
      <ns0:c r="G36" s="4" t="n">
        <ns0:v>6</ns0:v>
      </ns0:c>
      <ns0:c r="H36" s="9" t="n">
        <ns0:v>138</ns0:v>
      </ns0:c>
      <ns0:c r="I36" s="9">
        <ns0:f>G36*H36</ns0:f>
        <ns0:v>828</ns0:v>
      </ns0:c>
      <ns0:c r="J36" s="9">
        <ns0:f>INDEX(Script_List!$H$2:$H$161,MATCH(B36,Script_List!$A$2:$A$161,0))</ns0:f>
        <ns0:v>180</ns0:v>
      </ns0:c>
      <ns0:c r="K36" s="4" t="inlineStr">
        <ns0:is>
          <ns0:t>盒装</ns0:t>
        </ns0:is>
      </ns0:c>
      <ns0:c r="L36" s="9">
        <ns0:f>I36-J36</ns0:f>
        <ns0:v>648</ns0:v>
      </ns0:c>
      <ns0:c r="M36" s="4" t="n">
        <ns0:v>7</ns0:v>
      </ns0:c>
      <ns0:c r="N36" s="10">
        <ns0:f>DATE(YEAR(C36),MONTH(C36),1)</ns0:f>
        <ns0:v>45931.0</ns0:v>
      </ns0:c>
      <ns0:c r="O36" s="4" t="str">
        <ns0:f>TEXT(N36,"yyyy-mm")</ns0:f>
        <ns0:v>2025-10</ns0:v>
      </ns0:c>
    </ns0:row>
    <ns0:row r="37">
      <ns0:c r="A37" s="4" t="inlineStr">
        <ns0:is>
          <ns0:t>SES-0036</ns0:t>
        </ns0:is>
      </ns0:c>
      <ns0:c r="B37" s="4" t="inlineStr">
        <ns0:is>
          <ns0:t>SYN-017</ns0:t>
        </ns0:is>
      </ns0:c>
      <ns0:c r="C37" s="10" t="n">
        <ns0:v>45935</ns0:v>
      </ns0:c>
      <ns0:c r="D37" s="4" t="inlineStr">
        <ns0:is>
          <ns0:t>Synthetic Script 017</ns0:t>
        </ns0:is>
      </ns0:c>
      <ns0:c r="E37" s="4" t="inlineStr">
        <ns0:is>
          <ns0:t>机制</ns0:t>
        </ns0:is>
      </ns0:c>
      <ns0:c r="F37" s="4" t="n">
        <ns0:v>1</ns0:v>
      </ns0:c>
      <ns0:c r="G37" s="4" t="n">
        <ns0:v>6</ns0:v>
      </ns0:c>
      <ns0:c r="H37" s="9" t="n">
        <ns0:v>109</ns0:v>
      </ns0:c>
      <ns0:c r="I37" s="9">
        <ns0:f>G37*H37</ns0:f>
        <ns0:v>654</ns0:v>
      </ns0:c>
      <ns0:c r="J37" s="9">
        <ns0:f>INDEX(Script_List!$H$2:$H$161,MATCH(B37,Script_List!$A$2:$A$161,0))</ns0:f>
        <ns0:v>172</ns0:v>
      </ns0:c>
      <ns0:c r="K37" s="4" t="inlineStr">
        <ns0:is>
          <ns0:t>城限</ns0:t>
        </ns0:is>
      </ns0:c>
      <ns0:c r="L37" s="9">
        <ns0:f>I37-J37</ns0:f>
        <ns0:v>482</ns0:v>
      </ns0:c>
      <ns0:c r="M37" s="4" t="n">
        <ns0:v>7.7</ns0:v>
      </ns0:c>
      <ns0:c r="N37" s="10">
        <ns0:f>DATE(YEAR(C37),MONTH(C37),1)</ns0:f>
        <ns0:v>45931.0</ns0:v>
      </ns0:c>
      <ns0:c r="O37" s="4" t="str">
        <ns0:f>TEXT(N37,"yyyy-mm")</ns0:f>
        <ns0:v>2025-10</ns0:v>
      </ns0:c>
    </ns0:row>
    <ns0:row r="38">
      <ns0:c r="A38" s="4" t="inlineStr">
        <ns0:is>
          <ns0:t>SES-0037</ns0:t>
        </ns0:is>
      </ns0:c>
      <ns0:c r="B38" s="4" t="inlineStr">
        <ns0:is>
          <ns0:t>SYN-017</ns0:t>
        </ns0:is>
      </ns0:c>
      <ns0:c r="C38" s="10" t="n">
        <ns0:v>45936</ns0:v>
      </ns0:c>
      <ns0:c r="D38" s="4" t="inlineStr">
        <ns0:is>
          <ns0:t>Synthetic Script 017</ns0:t>
        </ns0:is>
      </ns0:c>
      <ns0:c r="E38" s="4" t="inlineStr">
        <ns0:is>
          <ns0:t>机制</ns0:t>
        </ns0:is>
      </ns0:c>
      <ns0:c r="F38" s="4" t="n">
        <ns0:v>1</ns0:v>
      </ns0:c>
      <ns0:c r="G38" s="4" t="n">
        <ns0:v>6</ns0:v>
      </ns0:c>
      <ns0:c r="H38" s="9" t="n">
        <ns0:v>109</ns0:v>
      </ns0:c>
      <ns0:c r="I38" s="9">
        <ns0:f>G38*H38</ns0:f>
        <ns0:v>654</ns0:v>
      </ns0:c>
      <ns0:c r="J38" s="9">
        <ns0:f>INDEX(Script_List!$H$2:$H$161,MATCH(B38,Script_List!$A$2:$A$161,0))</ns0:f>
        <ns0:v>172</ns0:v>
      </ns0:c>
      <ns0:c r="K38" s="4" t="inlineStr">
        <ns0:is>
          <ns0:t>城限</ns0:t>
        </ns0:is>
      </ns0:c>
      <ns0:c r="L38" s="9">
        <ns0:f>I38-J38</ns0:f>
        <ns0:v>482</ns0:v>
      </ns0:c>
      <ns0:c r="M38" s="4" t="n">
        <ns0:v>7.7</ns0:v>
      </ns0:c>
      <ns0:c r="N38" s="10">
        <ns0:f>DATE(YEAR(C38),MONTH(C38),1)</ns0:f>
        <ns0:v>45931.0</ns0:v>
      </ns0:c>
      <ns0:c r="O38" s="4" t="str">
        <ns0:f>TEXT(N38,"yyyy-mm")</ns0:f>
        <ns0:v>2025-10</ns0:v>
      </ns0:c>
    </ns0:row>
    <ns0:row r="39">
      <ns0:c r="A39" s="4" t="inlineStr">
        <ns0:is>
          <ns0:t>SES-0038</ns0:t>
        </ns0:is>
      </ns0:c>
      <ns0:c r="B39" s="4" t="inlineStr">
        <ns0:is>
          <ns0:t>SYN-017</ns0:t>
        </ns0:is>
      </ns0:c>
      <ns0:c r="C39" s="10" t="n">
        <ns0:v>45937</ns0:v>
      </ns0:c>
      <ns0:c r="D39" s="4" t="inlineStr">
        <ns0:is>
          <ns0:t>Synthetic Script 017</ns0:t>
        </ns0:is>
      </ns0:c>
      <ns0:c r="E39" s="4" t="inlineStr">
        <ns0:is>
          <ns0:t>机制</ns0:t>
        </ns0:is>
      </ns0:c>
      <ns0:c r="F39" s="4" t="n">
        <ns0:v>1</ns0:v>
      </ns0:c>
      <ns0:c r="G39" s="4" t="n">
        <ns0:v>6</ns0:v>
      </ns0:c>
      <ns0:c r="H39" s="9" t="n">
        <ns0:v>109</ns0:v>
      </ns0:c>
      <ns0:c r="I39" s="9">
        <ns0:f>G39*H39</ns0:f>
        <ns0:v>654</ns0:v>
      </ns0:c>
      <ns0:c r="J39" s="9">
        <ns0:f>INDEX(Script_List!$H$2:$H$161,MATCH(B39,Script_List!$A$2:$A$161,0))</ns0:f>
        <ns0:v>172</ns0:v>
      </ns0:c>
      <ns0:c r="K39" s="4" t="inlineStr">
        <ns0:is>
          <ns0:t>城限</ns0:t>
        </ns0:is>
      </ns0:c>
      <ns0:c r="L39" s="9">
        <ns0:f>I39-J39</ns0:f>
        <ns0:v>482</ns0:v>
      </ns0:c>
      <ns0:c r="M39" s="4" t="n">
        <ns0:v>7.7</ns0:v>
      </ns0:c>
      <ns0:c r="N39" s="10">
        <ns0:f>DATE(YEAR(C39),MONTH(C39),1)</ns0:f>
        <ns0:v>45931.0</ns0:v>
      </ns0:c>
      <ns0:c r="O39" s="4" t="str">
        <ns0:f>TEXT(N39,"yyyy-mm")</ns0:f>
        <ns0:v>2025-10</ns0:v>
      </ns0:c>
    </ns0:row>
    <ns0:row r="40">
      <ns0:c r="A40" s="4" t="inlineStr">
        <ns0:is>
          <ns0:t>SES-0039</ns0:t>
        </ns0:is>
      </ns0:c>
      <ns0:c r="B40" s="4" t="inlineStr">
        <ns0:is>
          <ns0:t>SYN-018</ns0:t>
        </ns0:is>
      </ns0:c>
      <ns0:c r="C40" s="10" t="n">
        <ns0:v>45938</ns0:v>
      </ns0:c>
      <ns0:c r="D40" s="4" t="inlineStr">
        <ns0:is>
          <ns0:t>Synthetic Script 018</ns0:t>
        </ns0:is>
      </ns0:c>
      <ns0:c r="E40" s="4" t="inlineStr">
        <ns0:is>
          <ns0:t>推理</ns0:t>
        </ns0:is>
      </ns0:c>
      <ns0:c r="F40" s="4" t="n">
        <ns0:v>1</ns0:v>
      </ns0:c>
      <ns0:c r="G40" s="4" t="n">
        <ns0:v>6</ns0:v>
      </ns0:c>
      <ns0:c r="H40" s="9" t="n">
        <ns0:v>75</ns0:v>
      </ns0:c>
      <ns0:c r="I40" s="9">
        <ns0:f>G40*H40</ns0:f>
        <ns0:v>450</ns0:v>
      </ns0:c>
      <ns0:c r="J40" s="9">
        <ns0:f>INDEX(Script_List!$H$2:$H$161,MATCH(B40,Script_List!$A$2:$A$161,0))</ns0:f>
        <ns0:v>118</ns0:v>
      </ns0:c>
      <ns0:c r="K40" s="4" t="inlineStr">
        <ns0:is>
          <ns0:t>盒装</ns0:t>
        </ns0:is>
      </ns0:c>
      <ns0:c r="L40" s="9">
        <ns0:f>I40-J40</ns0:f>
        <ns0:v>332</ns0:v>
      </ns0:c>
      <ns0:c r="M40" s="4" t="n">
        <ns0:v>8.4</ns0:v>
      </ns0:c>
      <ns0:c r="N40" s="10">
        <ns0:f>DATE(YEAR(C40),MONTH(C40),1)</ns0:f>
        <ns0:v>45931.0</ns0:v>
      </ns0:c>
      <ns0:c r="O40" s="4" t="str">
        <ns0:f>TEXT(N40,"yyyy-mm")</ns0:f>
        <ns0:v>2025-10</ns0:v>
      </ns0:c>
    </ns0:row>
    <ns0:row r="41">
      <ns0:c r="A41" s="4" t="inlineStr">
        <ns0:is>
          <ns0:t>SES-0040</ns0:t>
        </ns0:is>
      </ns0:c>
      <ns0:c r="B41" s="4" t="inlineStr">
        <ns0:is>
          <ns0:t>SYN-018</ns0:t>
        </ns0:is>
      </ns0:c>
      <ns0:c r="C41" s="10" t="n">
        <ns0:v>45939</ns0:v>
      </ns0:c>
      <ns0:c r="D41" s="4" t="inlineStr">
        <ns0:is>
          <ns0:t>Synthetic Script 018</ns0:t>
        </ns0:is>
      </ns0:c>
      <ns0:c r="E41" s="4" t="inlineStr">
        <ns0:is>
          <ns0:t>推理</ns0:t>
        </ns0:is>
      </ns0:c>
      <ns0:c r="F41" s="4" t="n">
        <ns0:v>1</ns0:v>
      </ns0:c>
      <ns0:c r="G41" s="4" t="n">
        <ns0:v>6</ns0:v>
      </ns0:c>
      <ns0:c r="H41" s="9" t="n">
        <ns0:v>75</ns0:v>
      </ns0:c>
      <ns0:c r="I41" s="9">
        <ns0:f>G41*H41</ns0:f>
        <ns0:v>450</ns0:v>
      </ns0:c>
      <ns0:c r="J41" s="9">
        <ns0:f>INDEX(Script_List!$H$2:$H$161,MATCH(B41,Script_List!$A$2:$A$161,0))</ns0:f>
        <ns0:v>118</ns0:v>
      </ns0:c>
      <ns0:c r="K41" s="4" t="inlineStr">
        <ns0:is>
          <ns0:t>盒装</ns0:t>
        </ns0:is>
      </ns0:c>
      <ns0:c r="L41" s="9">
        <ns0:f>I41-J41</ns0:f>
        <ns0:v>332</ns0:v>
      </ns0:c>
      <ns0:c r="M41" s="4" t="n">
        <ns0:v>8.4</ns0:v>
      </ns0:c>
      <ns0:c r="N41" s="10">
        <ns0:f>DATE(YEAR(C41),MONTH(C41),1)</ns0:f>
        <ns0:v>45931.0</ns0:v>
      </ns0:c>
      <ns0:c r="O41" s="4" t="str">
        <ns0:f>TEXT(N41,"yyyy-mm")</ns0:f>
        <ns0:v>2025-10</ns0:v>
      </ns0:c>
    </ns0:row>
    <ns0:row r="42">
      <ns0:c r="A42" s="4" t="inlineStr">
        <ns0:is>
          <ns0:t>SES-0041</ns0:t>
        </ns0:is>
      </ns0:c>
      <ns0:c r="B42" s="4" t="inlineStr">
        <ns0:is>
          <ns0:t>SYN-018</ns0:t>
        </ns0:is>
      </ns0:c>
      <ns0:c r="C42" s="10" t="n">
        <ns0:v>45940</ns0:v>
      </ns0:c>
      <ns0:c r="D42" s="4" t="inlineStr">
        <ns0:is>
          <ns0:t>Synthetic Script 018</ns0:t>
        </ns0:is>
      </ns0:c>
      <ns0:c r="E42" s="4" t="inlineStr">
        <ns0:is>
          <ns0:t>推理</ns0:t>
        </ns0:is>
      </ns0:c>
      <ns0:c r="F42" s="4" t="n">
        <ns0:v>1</ns0:v>
      </ns0:c>
      <ns0:c r="G42" s="4" t="n">
        <ns0:v>6</ns0:v>
      </ns0:c>
      <ns0:c r="H42" s="9" t="n">
        <ns0:v>75</ns0:v>
      </ns0:c>
      <ns0:c r="I42" s="9">
        <ns0:f>G42*H42</ns0:f>
        <ns0:v>450</ns0:v>
      </ns0:c>
      <ns0:c r="J42" s="9">
        <ns0:f>INDEX(Script_List!$H$2:$H$161,MATCH(B42,Script_List!$A$2:$A$161,0))</ns0:f>
        <ns0:v>118</ns0:v>
      </ns0:c>
      <ns0:c r="K42" s="4" t="inlineStr">
        <ns0:is>
          <ns0:t>盒装</ns0:t>
        </ns0:is>
      </ns0:c>
      <ns0:c r="L42" s="9">
        <ns0:f>I42-J42</ns0:f>
        <ns0:v>332</ns0:v>
      </ns0:c>
      <ns0:c r="M42" s="4" t="n">
        <ns0:v>8.4</ns0:v>
      </ns0:c>
      <ns0:c r="N42" s="10">
        <ns0:f>DATE(YEAR(C42),MONTH(C42),1)</ns0:f>
        <ns0:v>45931.0</ns0:v>
      </ns0:c>
      <ns0:c r="O42" s="4" t="str">
        <ns0:f>TEXT(N42,"yyyy-mm")</ns0:f>
        <ns0:v>2025-10</ns0:v>
      </ns0:c>
    </ns0:row>
    <ns0:row r="43">
      <ns0:c r="A43" s="4" t="inlineStr">
        <ns0:is>
          <ns0:t>SES-0042</ns0:t>
        </ns0:is>
      </ns0:c>
      <ns0:c r="B43" s="4" t="inlineStr">
        <ns0:is>
          <ns0:t>SYN-018</ns0:t>
        </ns0:is>
      </ns0:c>
      <ns0:c r="C43" s="10" t="n">
        <ns0:v>45941</ns0:v>
      </ns0:c>
      <ns0:c r="D43" s="4" t="inlineStr">
        <ns0:is>
          <ns0:t>Synthetic Script 018</ns0:t>
        </ns0:is>
      </ns0:c>
      <ns0:c r="E43" s="4" t="inlineStr">
        <ns0:is>
          <ns0:t>推理</ns0:t>
        </ns0:is>
      </ns0:c>
      <ns0:c r="F43" s="4" t="n">
        <ns0:v>1</ns0:v>
      </ns0:c>
      <ns0:c r="G43" s="4" t="n">
        <ns0:v>6</ns0:v>
      </ns0:c>
      <ns0:c r="H43" s="9" t="n">
        <ns0:v>75</ns0:v>
      </ns0:c>
      <ns0:c r="I43" s="9">
        <ns0:f>G43*H43</ns0:f>
        <ns0:v>450</ns0:v>
      </ns0:c>
      <ns0:c r="J43" s="9">
        <ns0:f>INDEX(Script_List!$H$2:$H$161,MATCH(B43,Script_List!$A$2:$A$161,0))</ns0:f>
        <ns0:v>118</ns0:v>
      </ns0:c>
      <ns0:c r="K43" s="4" t="inlineStr">
        <ns0:is>
          <ns0:t>盒装</ns0:t>
        </ns0:is>
      </ns0:c>
      <ns0:c r="L43" s="9">
        <ns0:f>I43-J43</ns0:f>
        <ns0:v>332</ns0:v>
      </ns0:c>
      <ns0:c r="M43" s="4" t="n">
        <ns0:v>8.4</ns0:v>
      </ns0:c>
      <ns0:c r="N43" s="10">
        <ns0:f>DATE(YEAR(C43),MONTH(C43),1)</ns0:f>
        <ns0:v>45931.0</ns0:v>
      </ns0:c>
      <ns0:c r="O43" s="4" t="str">
        <ns0:f>TEXT(N43,"yyyy-mm")</ns0:f>
        <ns0:v>2025-10</ns0:v>
      </ns0:c>
    </ns0:row>
    <ns0:row r="44">
      <ns0:c r="A44" s="4" t="inlineStr">
        <ns0:is>
          <ns0:t>SES-0043</ns0:t>
        </ns0:is>
      </ns0:c>
      <ns0:c r="B44" s="4" t="inlineStr">
        <ns0:is>
          <ns0:t>SYN-018</ns0:t>
        </ns0:is>
      </ns0:c>
      <ns0:c r="C44" s="10" t="n">
        <ns0:v>45942</ns0:v>
      </ns0:c>
      <ns0:c r="D44" s="4" t="inlineStr">
        <ns0:is>
          <ns0:t>Synthetic Script 018</ns0:t>
        </ns0:is>
      </ns0:c>
      <ns0:c r="E44" s="4" t="inlineStr">
        <ns0:is>
          <ns0:t>推理</ns0:t>
        </ns0:is>
      </ns0:c>
      <ns0:c r="F44" s="4" t="n">
        <ns0:v>1</ns0:v>
      </ns0:c>
      <ns0:c r="G44" s="4" t="n">
        <ns0:v>6</ns0:v>
      </ns0:c>
      <ns0:c r="H44" s="9" t="n">
        <ns0:v>75</ns0:v>
      </ns0:c>
      <ns0:c r="I44" s="9">
        <ns0:f>G44*H44</ns0:f>
        <ns0:v>450</ns0:v>
      </ns0:c>
      <ns0:c r="J44" s="9">
        <ns0:f>INDEX(Script_List!$H$2:$H$161,MATCH(B44,Script_List!$A$2:$A$161,0))</ns0:f>
        <ns0:v>118</ns0:v>
      </ns0:c>
      <ns0:c r="K44" s="4" t="inlineStr">
        <ns0:is>
          <ns0:t>盒装</ns0:t>
        </ns0:is>
      </ns0:c>
      <ns0:c r="L44" s="9">
        <ns0:f>I44-J44</ns0:f>
        <ns0:v>332</ns0:v>
      </ns0:c>
      <ns0:c r="M44" s="4" t="n">
        <ns0:v>8.4</ns0:v>
      </ns0:c>
      <ns0:c r="N44" s="10">
        <ns0:f>DATE(YEAR(C44),MONTH(C44),1)</ns0:f>
        <ns0:v>45931.0</ns0:v>
      </ns0:c>
      <ns0:c r="O44" s="4" t="str">
        <ns0:f>TEXT(N44,"yyyy-mm")</ns0:f>
        <ns0:v>2025-10</ns0:v>
      </ns0:c>
    </ns0:row>
    <ns0:row r="45">
      <ns0:c r="A45" s="4" t="inlineStr">
        <ns0:is>
          <ns0:t>SES-0044</ns0:t>
        </ns0:is>
      </ns0:c>
      <ns0:c r="B45" s="4" t="inlineStr">
        <ns0:is>
          <ns0:t>SYN-018</ns0:t>
        </ns0:is>
      </ns0:c>
      <ns0:c r="C45" s="10" t="n">
        <ns0:v>45943</ns0:v>
      </ns0:c>
      <ns0:c r="D45" s="4" t="inlineStr">
        <ns0:is>
          <ns0:t>Synthetic Script 018</ns0:t>
        </ns0:is>
      </ns0:c>
      <ns0:c r="E45" s="4" t="inlineStr">
        <ns0:is>
          <ns0:t>推理</ns0:t>
        </ns0:is>
      </ns0:c>
      <ns0:c r="F45" s="4" t="n">
        <ns0:v>1</ns0:v>
      </ns0:c>
      <ns0:c r="G45" s="4" t="n">
        <ns0:v>6</ns0:v>
      </ns0:c>
      <ns0:c r="H45" s="9" t="n">
        <ns0:v>75</ns0:v>
      </ns0:c>
      <ns0:c r="I45" s="9">
        <ns0:f>G45*H45</ns0:f>
        <ns0:v>450</ns0:v>
      </ns0:c>
      <ns0:c r="J45" s="9">
        <ns0:f>INDEX(Script_List!$H$2:$H$161,MATCH(B45,Script_List!$A$2:$A$161,0))</ns0:f>
        <ns0:v>118</ns0:v>
      </ns0:c>
      <ns0:c r="K45" s="4" t="inlineStr">
        <ns0:is>
          <ns0:t>盒装</ns0:t>
        </ns0:is>
      </ns0:c>
      <ns0:c r="L45" s="9">
        <ns0:f>I45-J45</ns0:f>
        <ns0:v>332</ns0:v>
      </ns0:c>
      <ns0:c r="M45" s="4" t="n">
        <ns0:v>8.4</ns0:v>
      </ns0:c>
      <ns0:c r="N45" s="10">
        <ns0:f>DATE(YEAR(C45),MONTH(C45),1)</ns0:f>
        <ns0:v>45931.0</ns0:v>
      </ns0:c>
      <ns0:c r="O45" s="4" t="str">
        <ns0:f>TEXT(N45,"yyyy-mm")</ns0:f>
        <ns0:v>2025-10</ns0:v>
      </ns0:c>
    </ns0:row>
    <ns0:row r="46">
      <ns0:c r="A46" s="4" t="inlineStr">
        <ns0:is>
          <ns0:t>SES-0045</ns0:t>
        </ns0:is>
      </ns0:c>
      <ns0:c r="B46" s="4" t="inlineStr">
        <ns0:is>
          <ns0:t>SYN-018</ns0:t>
        </ns0:is>
      </ns0:c>
      <ns0:c r="C46" s="10" t="n">
        <ns0:v>45944</ns0:v>
      </ns0:c>
      <ns0:c r="D46" s="4" t="inlineStr">
        <ns0:is>
          <ns0:t>Synthetic Script 018</ns0:t>
        </ns0:is>
      </ns0:c>
      <ns0:c r="E46" s="4" t="inlineStr">
        <ns0:is>
          <ns0:t>推理</ns0:t>
        </ns0:is>
      </ns0:c>
      <ns0:c r="F46" s="4" t="n">
        <ns0:v>1</ns0:v>
      </ns0:c>
      <ns0:c r="G46" s="4" t="n">
        <ns0:v>6</ns0:v>
      </ns0:c>
      <ns0:c r="H46" s="9" t="n">
        <ns0:v>75</ns0:v>
      </ns0:c>
      <ns0:c r="I46" s="9">
        <ns0:f>G46*H46</ns0:f>
        <ns0:v>450</ns0:v>
      </ns0:c>
      <ns0:c r="J46" s="9">
        <ns0:f>INDEX(Script_List!$H$2:$H$161,MATCH(B46,Script_List!$A$2:$A$161,0))</ns0:f>
        <ns0:v>118</ns0:v>
      </ns0:c>
      <ns0:c r="K46" s="4" t="inlineStr">
        <ns0:is>
          <ns0:t>盒装</ns0:t>
        </ns0:is>
      </ns0:c>
      <ns0:c r="L46" s="9">
        <ns0:f>I46-J46</ns0:f>
        <ns0:v>332</ns0:v>
      </ns0:c>
      <ns0:c r="M46" s="4" t="n">
        <ns0:v>8.4</ns0:v>
      </ns0:c>
      <ns0:c r="N46" s="10">
        <ns0:f>DATE(YEAR(C46),MONTH(C46),1)</ns0:f>
        <ns0:v>45931.0</ns0:v>
      </ns0:c>
      <ns0:c r="O46" s="4" t="str">
        <ns0:f>TEXT(N46,"yyyy-mm")</ns0:f>
        <ns0:v>2025-10</ns0:v>
      </ns0:c>
    </ns0:row>
    <ns0:row r="47">
      <ns0:c r="A47" s="4" t="inlineStr">
        <ns0:is>
          <ns0:t>SES-0046</ns0:t>
        </ns0:is>
      </ns0:c>
      <ns0:c r="B47" s="4" t="inlineStr">
        <ns0:is>
          <ns0:t>SYN-018</ns0:t>
        </ns0:is>
      </ns0:c>
      <ns0:c r="C47" s="10" t="n">
        <ns0:v>45945</ns0:v>
      </ns0:c>
      <ns0:c r="D47" s="4" t="inlineStr">
        <ns0:is>
          <ns0:t>Synthetic Script 018</ns0:t>
        </ns0:is>
      </ns0:c>
      <ns0:c r="E47" s="4" t="inlineStr">
        <ns0:is>
          <ns0:t>推理</ns0:t>
        </ns0:is>
      </ns0:c>
      <ns0:c r="F47" s="4" t="n">
        <ns0:v>1</ns0:v>
      </ns0:c>
      <ns0:c r="G47" s="4" t="n">
        <ns0:v>6</ns0:v>
      </ns0:c>
      <ns0:c r="H47" s="9" t="n">
        <ns0:v>75</ns0:v>
      </ns0:c>
      <ns0:c r="I47" s="9">
        <ns0:f>G47*H47</ns0:f>
        <ns0:v>450</ns0:v>
      </ns0:c>
      <ns0:c r="J47" s="9">
        <ns0:f>INDEX(Script_List!$H$2:$H$161,MATCH(B47,Script_List!$A$2:$A$161,0))</ns0:f>
        <ns0:v>118</ns0:v>
      </ns0:c>
      <ns0:c r="K47" s="4" t="inlineStr">
        <ns0:is>
          <ns0:t>盒装</ns0:t>
        </ns0:is>
      </ns0:c>
      <ns0:c r="L47" s="9">
        <ns0:f>I47-J47</ns0:f>
        <ns0:v>332</ns0:v>
      </ns0:c>
      <ns0:c r="M47" s="4" t="n">
        <ns0:v>8.4</ns0:v>
      </ns0:c>
      <ns0:c r="N47" s="10">
        <ns0:f>DATE(YEAR(C47),MONTH(C47),1)</ns0:f>
        <ns0:v>45931.0</ns0:v>
      </ns0:c>
      <ns0:c r="O47" s="4" t="str">
        <ns0:f>TEXT(N47,"yyyy-mm")</ns0:f>
        <ns0:v>2025-10</ns0:v>
      </ns0:c>
    </ns0:row>
    <ns0:row r="48">
      <ns0:c r="A48" s="4" t="inlineStr">
        <ns0:is>
          <ns0:t>SES-0047</ns0:t>
        </ns0:is>
      </ns0:c>
      <ns0:c r="B48" s="4" t="inlineStr">
        <ns0:is>
          <ns0:t>SYN-018</ns0:t>
        </ns0:is>
      </ns0:c>
      <ns0:c r="C48" s="10" t="n">
        <ns0:v>45946</ns0:v>
      </ns0:c>
      <ns0:c r="D48" s="4" t="inlineStr">
        <ns0:is>
          <ns0:t>Synthetic Script 018</ns0:t>
        </ns0:is>
      </ns0:c>
      <ns0:c r="E48" s="4" t="inlineStr">
        <ns0:is>
          <ns0:t>推理</ns0:t>
        </ns0:is>
      </ns0:c>
      <ns0:c r="F48" s="4" t="n">
        <ns0:v>1</ns0:v>
      </ns0:c>
      <ns0:c r="G48" s="4" t="n">
        <ns0:v>6</ns0:v>
      </ns0:c>
      <ns0:c r="H48" s="9" t="n">
        <ns0:v>75</ns0:v>
      </ns0:c>
      <ns0:c r="I48" s="9">
        <ns0:f>G48*H48</ns0:f>
        <ns0:v>450</ns0:v>
      </ns0:c>
      <ns0:c r="J48" s="9">
        <ns0:f>INDEX(Script_List!$H$2:$H$161,MATCH(B48,Script_List!$A$2:$A$161,0))</ns0:f>
        <ns0:v>118</ns0:v>
      </ns0:c>
      <ns0:c r="K48" s="4" t="inlineStr">
        <ns0:is>
          <ns0:t>盒装</ns0:t>
        </ns0:is>
      </ns0:c>
      <ns0:c r="L48" s="9">
        <ns0:f>I48-J48</ns0:f>
        <ns0:v>332</ns0:v>
      </ns0:c>
      <ns0:c r="M48" s="4" t="n">
        <ns0:v>8.4</ns0:v>
      </ns0:c>
      <ns0:c r="N48" s="10">
        <ns0:f>DATE(YEAR(C48),MONTH(C48),1)</ns0:f>
        <ns0:v>45931.0</ns0:v>
      </ns0:c>
      <ns0:c r="O48" s="4" t="str">
        <ns0:f>TEXT(N48,"yyyy-mm")</ns0:f>
        <ns0:v>2025-10</ns0:v>
      </ns0:c>
    </ns0:row>
    <ns0:row r="49">
      <ns0:c r="A49" s="4" t="inlineStr">
        <ns0:is>
          <ns0:t>SES-0048</ns0:t>
        </ns0:is>
      </ns0:c>
      <ns0:c r="B49" s="4" t="inlineStr">
        <ns0:is>
          <ns0:t>SYN-018</ns0:t>
        </ns0:is>
      </ns0:c>
      <ns0:c r="C49" s="10" t="n">
        <ns0:v>45947</ns0:v>
      </ns0:c>
      <ns0:c r="D49" s="4" t="inlineStr">
        <ns0:is>
          <ns0:t>Synthetic Script 018</ns0:t>
        </ns0:is>
      </ns0:c>
      <ns0:c r="E49" s="4" t="inlineStr">
        <ns0:is>
          <ns0:t>推理</ns0:t>
        </ns0:is>
      </ns0:c>
      <ns0:c r="F49" s="4" t="n">
        <ns0:v>1</ns0:v>
      </ns0:c>
      <ns0:c r="G49" s="4" t="n">
        <ns0:v>6</ns0:v>
      </ns0:c>
      <ns0:c r="H49" s="9" t="n">
        <ns0:v>75</ns0:v>
      </ns0:c>
      <ns0:c r="I49" s="9">
        <ns0:f>G49*H49</ns0:f>
        <ns0:v>450</ns0:v>
      </ns0:c>
      <ns0:c r="J49" s="9">
        <ns0:f>INDEX(Script_List!$H$2:$H$161,MATCH(B49,Script_List!$A$2:$A$161,0))</ns0:f>
        <ns0:v>118</ns0:v>
      </ns0:c>
      <ns0:c r="K49" s="4" t="inlineStr">
        <ns0:is>
          <ns0:t>盒装</ns0:t>
        </ns0:is>
      </ns0:c>
      <ns0:c r="L49" s="9">
        <ns0:f>I49-J49</ns0:f>
        <ns0:v>332</ns0:v>
      </ns0:c>
      <ns0:c r="M49" s="4" t="n">
        <ns0:v>8.4</ns0:v>
      </ns0:c>
      <ns0:c r="N49" s="10">
        <ns0:f>DATE(YEAR(C49),MONTH(C49),1)</ns0:f>
        <ns0:v>45931.0</ns0:v>
      </ns0:c>
      <ns0:c r="O49" s="4" t="str">
        <ns0:f>TEXT(N49,"yyyy-mm")</ns0:f>
        <ns0:v>2025-10</ns0:v>
      </ns0:c>
    </ns0:row>
    <ns0:row r="50">
      <ns0:c r="A50" s="4" t="inlineStr">
        <ns0:is>
          <ns0:t>SES-0049</ns0:t>
        </ns0:is>
      </ns0:c>
      <ns0:c r="B50" s="4" t="inlineStr">
        <ns0:is>
          <ns0:t>SYN-019</ns0:t>
        </ns0:is>
      </ns0:c>
      <ns0:c r="C50" s="10" t="n">
        <ns0:v>45947</ns0:v>
      </ns0:c>
      <ns0:c r="D50" s="4" t="inlineStr">
        <ns0:is>
          <ns0:t>Synthetic Script 019</ns0:t>
        </ns0:is>
      </ns0:c>
      <ns0:c r="E50" s="4" t="inlineStr">
        <ns0:is>
          <ns0:t>欢乐</ns0:t>
        </ns0:is>
      </ns0:c>
      <ns0:c r="F50" s="4" t="n">
        <ns0:v>3</ns0:v>
      </ns0:c>
      <ns0:c r="G50" s="4" t="n">
        <ns0:v>7</ns0:v>
      </ns0:c>
      <ns0:c r="H50" s="9" t="n">
        <ns0:v>118</ns0:v>
      </ns0:c>
      <ns0:c r="I50" s="9">
        <ns0:f>G50*H50</ns0:f>
        <ns0:v>826</ns0:v>
      </ns0:c>
      <ns0:c r="J50" s="9">
        <ns0:f>INDEX(Script_List!$H$2:$H$161,MATCH(B50,Script_List!$A$2:$A$161,0))</ns0:f>
        <ns0:v>217</ns0:v>
      </ns0:c>
      <ns0:c r="K50" s="4" t="inlineStr">
        <ns0:is>
          <ns0:t>独家</ns0:t>
        </ns0:is>
      </ns0:c>
      <ns0:c r="L50" s="9">
        <ns0:f>I50-J50</ns0:f>
        <ns0:v>609</ns0:v>
      </ns0:c>
      <ns0:c r="M50" s="4" t="n">
        <ns0:v>7</ns0:v>
      </ns0:c>
      <ns0:c r="N50" s="10">
        <ns0:f>DATE(YEAR(C50),MONTH(C50),1)</ns0:f>
        <ns0:v>45931.0</ns0:v>
      </ns0:c>
      <ns0:c r="O50" s="4" t="str">
        <ns0:f>TEXT(N50,"yyyy-mm")</ns0:f>
        <ns0:v>2025-10</ns0:v>
      </ns0:c>
    </ns0:row>
    <ns0:row r="51">
      <ns0:c r="A51" s="4" t="inlineStr">
        <ns0:is>
          <ns0:t>SES-0050</ns0:t>
        </ns0:is>
      </ns0:c>
      <ns0:c r="B51" s="4" t="inlineStr">
        <ns0:is>
          <ns0:t>SYN-020</ns0:t>
        </ns0:is>
      </ns0:c>
      <ns0:c r="C51" s="10" t="n">
        <ns0:v>45948</ns0:v>
      </ns0:c>
      <ns0:c r="D51" s="4" t="inlineStr">
        <ns0:is>
          <ns0:t>Synthetic Script 020</ns0:t>
        </ns0:is>
      </ns0:c>
      <ns0:c r="E51" s="4" t="inlineStr">
        <ns0:is>
          <ns0:t>情感</ns0:t>
        </ns0:is>
      </ns0:c>
      <ns0:c r="F51" s="4" t="n">
        <ns0:v>6</ns0:v>
      </ns0:c>
      <ns0:c r="G51" s="4" t="n">
        <ns0:v>8</ns0:v>
      </ns0:c>
      <ns0:c r="H51" s="9" t="n">
        <ns0:v>138</ns0:v>
      </ns0:c>
      <ns0:c r="I51" s="9">
        <ns0:f>G51*H51</ns0:f>
        <ns0:v>1104</ns0:v>
      </ns0:c>
      <ns0:c r="J51" s="9">
        <ns0:f>INDEX(Script_List!$H$2:$H$161,MATCH(B51,Script_List!$A$2:$A$161,0))</ns0:f>
        <ns0:v>540</ns0:v>
      </ns0:c>
      <ns0:c r="K51" s="4" t="inlineStr">
        <ns0:is>
          <ns0:t>盒装</ns0:t>
        </ns0:is>
      </ns0:c>
      <ns0:c r="L51" s="9">
        <ns0:f>I51-J51</ns0:f>
        <ns0:v>564</ns0:v>
      </ns0:c>
      <ns0:c r="M51" s="4" t="n">
        <ns0:v>7.7</ns0:v>
      </ns0:c>
      <ns0:c r="N51" s="10">
        <ns0:f>DATE(YEAR(C51),MONTH(C51),1)</ns0:f>
        <ns0:v>45931.0</ns0:v>
      </ns0:c>
      <ns0:c r="O51" s="4" t="str">
        <ns0:f>TEXT(N51,"yyyy-mm")</ns0:f>
        <ns0:v>2025-10</ns0:v>
      </ns0:c>
    </ns0:row>
    <ns0:row r="52">
      <ns0:c r="A52" s="4" t="inlineStr">
        <ns0:is>
          <ns0:t>SES-0051</ns0:t>
        </ns0:is>
      </ns0:c>
      <ns0:c r="B52" s="4" t="inlineStr">
        <ns0:is>
          <ns0:t>SYN-020</ns0:t>
        </ns0:is>
      </ns0:c>
      <ns0:c r="C52" s="10" t="n">
        <ns0:v>45949</ns0:v>
      </ns0:c>
      <ns0:c r="D52" s="4" t="inlineStr">
        <ns0:is>
          <ns0:t>Synthetic Script 020</ns0:t>
        </ns0:is>
      </ns0:c>
      <ns0:c r="E52" s="4" t="inlineStr">
        <ns0:is>
          <ns0:t>情感</ns0:t>
        </ns0:is>
      </ns0:c>
      <ns0:c r="F52" s="4" t="n">
        <ns0:v>6</ns0:v>
      </ns0:c>
      <ns0:c r="G52" s="4" t="n">
        <ns0:v>8</ns0:v>
      </ns0:c>
      <ns0:c r="H52" s="9" t="n">
        <ns0:v>138</ns0:v>
      </ns0:c>
      <ns0:c r="I52" s="9">
        <ns0:f>G52*H52</ns0:f>
        <ns0:v>1104</ns0:v>
      </ns0:c>
      <ns0:c r="J52" s="9">
        <ns0:f>INDEX(Script_List!$H$2:$H$161,MATCH(B52,Script_List!$A$2:$A$161,0))</ns0:f>
        <ns0:v>540</ns0:v>
      </ns0:c>
      <ns0:c r="K52" s="4" t="inlineStr">
        <ns0:is>
          <ns0:t>盒装</ns0:t>
        </ns0:is>
      </ns0:c>
      <ns0:c r="L52" s="9">
        <ns0:f>I52-J52</ns0:f>
        <ns0:v>564</ns0:v>
      </ns0:c>
      <ns0:c r="M52" s="4" t="n">
        <ns0:v>7.7</ns0:v>
      </ns0:c>
      <ns0:c r="N52" s="10">
        <ns0:f>DATE(YEAR(C52),MONTH(C52),1)</ns0:f>
        <ns0:v>45931.0</ns0:v>
      </ns0:c>
      <ns0:c r="O52" s="4" t="str">
        <ns0:f>TEXT(N52,"yyyy-mm")</ns0:f>
        <ns0:v>2025-10</ns0:v>
      </ns0:c>
    </ns0:row>
    <ns0:row r="53">
      <ns0:c r="A53" s="4" t="inlineStr">
        <ns0:is>
          <ns0:t>SES-0052</ns0:t>
        </ns0:is>
      </ns0:c>
      <ns0:c r="B53" s="4" t="inlineStr">
        <ns0:is>
          <ns0:t>SYN-020</ns0:t>
        </ns0:is>
      </ns0:c>
      <ns0:c r="C53" s="10" t="n">
        <ns0:v>45950</ns0:v>
      </ns0:c>
      <ns0:c r="D53" s="4" t="inlineStr">
        <ns0:is>
          <ns0:t>Synthetic Script 020</ns0:t>
        </ns0:is>
      </ns0:c>
      <ns0:c r="E53" s="4" t="inlineStr">
        <ns0:is>
          <ns0:t>情感</ns0:t>
        </ns0:is>
      </ns0:c>
      <ns0:c r="F53" s="4" t="n">
        <ns0:v>6</ns0:v>
      </ns0:c>
      <ns0:c r="G53" s="4" t="n">
        <ns0:v>8</ns0:v>
      </ns0:c>
      <ns0:c r="H53" s="9" t="n">
        <ns0:v>138</ns0:v>
      </ns0:c>
      <ns0:c r="I53" s="9">
        <ns0:f>G53*H53</ns0:f>
        <ns0:v>1104</ns0:v>
      </ns0:c>
      <ns0:c r="J53" s="9">
        <ns0:f>INDEX(Script_List!$H$2:$H$161,MATCH(B53,Script_List!$A$2:$A$161,0))</ns0:f>
        <ns0:v>540</ns0:v>
      </ns0:c>
      <ns0:c r="K53" s="4" t="inlineStr">
        <ns0:is>
          <ns0:t>盒装</ns0:t>
        </ns0:is>
      </ns0:c>
      <ns0:c r="L53" s="9">
        <ns0:f>I53-J53</ns0:f>
        <ns0:v>564</ns0:v>
      </ns0:c>
      <ns0:c r="M53" s="4" t="n">
        <ns0:v>7.7</ns0:v>
      </ns0:c>
      <ns0:c r="N53" s="10">
        <ns0:f>DATE(YEAR(C53),MONTH(C53),1)</ns0:f>
        <ns0:v>45931.0</ns0:v>
      </ns0:c>
      <ns0:c r="O53" s="4" t="str">
        <ns0:f>TEXT(N53,"yyyy-mm")</ns0:f>
        <ns0:v>2025-10</ns0:v>
      </ns0:c>
    </ns0:row>
    <ns0:row r="54">
      <ns0:c r="A54" s="4" t="inlineStr">
        <ns0:is>
          <ns0:t>SES-0053</ns0:t>
        </ns0:is>
      </ns0:c>
      <ns0:c r="B54" s="4" t="inlineStr">
        <ns0:is>
          <ns0:t>SYN-022</ns0:t>
        </ns0:is>
      </ns0:c>
      <ns0:c r="C54" s="10" t="n">
        <ns0:v>45951</ns0:v>
      </ns0:c>
      <ns0:c r="D54" s="4" t="inlineStr">
        <ns0:is>
          <ns0:t>Synthetic Script 022</ns0:t>
        </ns0:is>
      </ns0:c>
      <ns0:c r="E54" s="4" t="inlineStr">
        <ns0:is>
          <ns0:t>推理</ns0:t>
        </ns0:is>
      </ns0:c>
      <ns0:c r="F54" s="4" t="n">
        <ns0:v>1</ns0:v>
      </ns0:c>
      <ns0:c r="G54" s="4" t="n">
        <ns0:v>6</ns0:v>
      </ns0:c>
      <ns0:c r="H54" s="9" t="n">
        <ns0:v>75</ns0:v>
      </ns0:c>
      <ns0:c r="I54" s="9">
        <ns0:f>G54*H54</ns0:f>
        <ns0:v>450</ns0:v>
      </ns0:c>
      <ns0:c r="J54" s="9">
        <ns0:f>INDEX(Script_List!$H$2:$H$161,MATCH(B54,Script_List!$A$2:$A$161,0))</ns0:f>
        <ns0:v>118</ns0:v>
      </ns0:c>
      <ns0:c r="K54" s="4" t="inlineStr">
        <ns0:is>
          <ns0:t>城限</ns0:t>
        </ns0:is>
      </ns0:c>
      <ns0:c r="L54" s="9">
        <ns0:f>I54-J54</ns0:f>
        <ns0:v>332</ns0:v>
      </ns0:c>
      <ns0:c r="M54" s="4" t="n">
        <ns0:v>7</ns0:v>
      </ns0:c>
      <ns0:c r="N54" s="10">
        <ns0:f>DATE(YEAR(C54),MONTH(C54),1)</ns0:f>
        <ns0:v>45931.0</ns0:v>
      </ns0:c>
      <ns0:c r="O54" s="4" t="str">
        <ns0:f>TEXT(N54,"yyyy-mm")</ns0:f>
        <ns0:v>2025-10</ns0:v>
      </ns0:c>
    </ns0:row>
    <ns0:row r="55">
      <ns0:c r="A55" s="4" t="inlineStr">
        <ns0:is>
          <ns0:t>SES-0054</ns0:t>
        </ns0:is>
      </ns0:c>
      <ns0:c r="B55" s="4" t="inlineStr">
        <ns0:is>
          <ns0:t>SYN-023</ns0:t>
        </ns0:is>
      </ns0:c>
      <ns0:c r="C55" s="10" t="n">
        <ns0:v>45952</ns0:v>
      </ns0:c>
      <ns0:c r="D55" s="4" t="inlineStr">
        <ns0:is>
          <ns0:t>Synthetic Script 023</ns0:t>
        </ns0:is>
      </ns0:c>
      <ns0:c r="E55" s="4" t="inlineStr">
        <ns0:is>
          <ns0:t>情感</ns0:t>
        </ns0:is>
      </ns0:c>
      <ns0:c r="F55" s="4" t="n">
        <ns0:v>3</ns0:v>
      </ns0:c>
      <ns0:c r="G55" s="4" t="n">
        <ns0:v>6</ns0:v>
      </ns0:c>
      <ns0:c r="H55" s="9" t="n">
        <ns0:v>118</ns0:v>
      </ns0:c>
      <ns0:c r="I55" s="9">
        <ns0:f>G55*H55</ns0:f>
        <ns0:v>708</ns0:v>
      </ns0:c>
      <ns0:c r="J55" s="9">
        <ns0:f>INDEX(Script_List!$H$2:$H$161,MATCH(B55,Script_List!$A$2:$A$161,0))</ns0:f>
        <ns0:v>270</ns0:v>
      </ns0:c>
      <ns0:c r="K55" s="4" t="inlineStr">
        <ns0:is>
          <ns0:t>盒装</ns0:t>
        </ns0:is>
      </ns0:c>
      <ns0:c r="L55" s="9">
        <ns0:f>I55-J55</ns0:f>
        <ns0:v>438</ns0:v>
      </ns0:c>
      <ns0:c r="M55" s="4" t="n">
        <ns0:v>7.7</ns0:v>
      </ns0:c>
      <ns0:c r="N55" s="10">
        <ns0:f>DATE(YEAR(C55),MONTH(C55),1)</ns0:f>
        <ns0:v>45931.0</ns0:v>
      </ns0:c>
      <ns0:c r="O55" s="4" t="str">
        <ns0:f>TEXT(N55,"yyyy-mm")</ns0:f>
        <ns0:v>2025-10</ns0:v>
      </ns0:c>
    </ns0:row>
    <ns0:row r="56">
      <ns0:c r="A56" s="4" t="inlineStr">
        <ns0:is>
          <ns0:t>SES-0055</ns0:t>
        </ns0:is>
      </ns0:c>
      <ns0:c r="B56" s="4" t="inlineStr">
        <ns0:is>
          <ns0:t>SYN-023</ns0:t>
        </ns0:is>
      </ns0:c>
      <ns0:c r="C56" s="10" t="n">
        <ns0:v>45953</ns0:v>
      </ns0:c>
      <ns0:c r="D56" s="4" t="inlineStr">
        <ns0:is>
          <ns0:t>Synthetic Script 023</ns0:t>
        </ns0:is>
      </ns0:c>
      <ns0:c r="E56" s="4" t="inlineStr">
        <ns0:is>
          <ns0:t>情感</ns0:t>
        </ns0:is>
      </ns0:c>
      <ns0:c r="F56" s="4" t="n">
        <ns0:v>3</ns0:v>
      </ns0:c>
      <ns0:c r="G56" s="4" t="n">
        <ns0:v>6</ns0:v>
      </ns0:c>
      <ns0:c r="H56" s="9" t="n">
        <ns0:v>118</ns0:v>
      </ns0:c>
      <ns0:c r="I56" s="9">
        <ns0:f>G56*H56</ns0:f>
        <ns0:v>708</ns0:v>
      </ns0:c>
      <ns0:c r="J56" s="9">
        <ns0:f>INDEX(Script_List!$H$2:$H$161,MATCH(B56,Script_List!$A$2:$A$161,0))</ns0:f>
        <ns0:v>270</ns0:v>
      </ns0:c>
      <ns0:c r="K56" s="4" t="inlineStr">
        <ns0:is>
          <ns0:t>盒装</ns0:t>
        </ns0:is>
      </ns0:c>
      <ns0:c r="L56" s="9">
        <ns0:f>I56-J56</ns0:f>
        <ns0:v>438</ns0:v>
      </ns0:c>
      <ns0:c r="M56" s="4" t="n">
        <ns0:v>7.7</ns0:v>
      </ns0:c>
      <ns0:c r="N56" s="10">
        <ns0:f>DATE(YEAR(C56),MONTH(C56),1)</ns0:f>
        <ns0:v>45931.0</ns0:v>
      </ns0:c>
      <ns0:c r="O56" s="4" t="str">
        <ns0:f>TEXT(N56,"yyyy-mm")</ns0:f>
        <ns0:v>2025-10</ns0:v>
      </ns0:c>
    </ns0:row>
    <ns0:row r="57">
      <ns0:c r="A57" s="4" t="inlineStr">
        <ns0:is>
          <ns0:t>SES-0056</ns0:t>
        </ns0:is>
      </ns0:c>
      <ns0:c r="B57" s="4" t="inlineStr">
        <ns0:is>
          <ns0:t>SYN-023</ns0:t>
        </ns0:is>
      </ns0:c>
      <ns0:c r="C57" s="10" t="n">
        <ns0:v>45954</ns0:v>
      </ns0:c>
      <ns0:c r="D57" s="4" t="inlineStr">
        <ns0:is>
          <ns0:t>Synthetic Script 023</ns0:t>
        </ns0:is>
      </ns0:c>
      <ns0:c r="E57" s="4" t="inlineStr">
        <ns0:is>
          <ns0:t>情感</ns0:t>
        </ns0:is>
      </ns0:c>
      <ns0:c r="F57" s="4" t="n">
        <ns0:v>3</ns0:v>
      </ns0:c>
      <ns0:c r="G57" s="4" t="n">
        <ns0:v>6</ns0:v>
      </ns0:c>
      <ns0:c r="H57" s="9" t="n">
        <ns0:v>118</ns0:v>
      </ns0:c>
      <ns0:c r="I57" s="9">
        <ns0:f>G57*H57</ns0:f>
        <ns0:v>708</ns0:v>
      </ns0:c>
      <ns0:c r="J57" s="9">
        <ns0:f>INDEX(Script_List!$H$2:$H$161,MATCH(B57,Script_List!$A$2:$A$161,0))</ns0:f>
        <ns0:v>270</ns0:v>
      </ns0:c>
      <ns0:c r="K57" s="4" t="inlineStr">
        <ns0:is>
          <ns0:t>盒装</ns0:t>
        </ns0:is>
      </ns0:c>
      <ns0:c r="L57" s="9">
        <ns0:f>I57-J57</ns0:f>
        <ns0:v>438</ns0:v>
      </ns0:c>
      <ns0:c r="M57" s="4" t="n">
        <ns0:v>7.7</ns0:v>
      </ns0:c>
      <ns0:c r="N57" s="10">
        <ns0:f>DATE(YEAR(C57),MONTH(C57),1)</ns0:f>
        <ns0:v>45931.0</ns0:v>
      </ns0:c>
      <ns0:c r="O57" s="4" t="str">
        <ns0:f>TEXT(N57,"yyyy-mm")</ns0:f>
        <ns0:v>2025-10</ns0:v>
      </ns0:c>
    </ns0:row>
    <ns0:row r="58">
      <ns0:c r="A58" s="4" t="inlineStr">
        <ns0:is>
          <ns0:t>SES-0057</ns0:t>
        </ns0:is>
      </ns0:c>
      <ns0:c r="B58" s="4" t="inlineStr">
        <ns0:is>
          <ns0:t>SYN-025</ns0:t>
        </ns0:is>
      </ns0:c>
      <ns0:c r="C58" s="10" t="n">
        <ns0:v>45955</ns0:v>
      </ns0:c>
      <ns0:c r="D58" s="4" t="inlineStr">
        <ns0:is>
          <ns0:t>Synthetic Script 025</ns0:t>
        </ns0:is>
      </ns0:c>
      <ns0:c r="E58" s="4" t="inlineStr">
        <ns0:is>
          <ns0:t>推理</ns0:t>
        </ns0:is>
      </ns0:c>
      <ns0:c r="F58" s="4" t="n">
        <ns0:v>2</ns0:v>
      </ns0:c>
      <ns0:c r="G58" s="4" t="n">
        <ns0:v>8</ns0:v>
      </ns0:c>
      <ns0:c r="H58" s="9" t="n">
        <ns0:v>65</ns0:v>
      </ns0:c>
      <ns0:c r="I58" s="9">
        <ns0:f>G58*H58</ns0:f>
        <ns0:v>520</ns0:v>
      </ns0:c>
      <ns0:c r="J58" s="9">
        <ns0:f>INDEX(Script_List!$H$2:$H$161,MATCH(B58,Script_List!$A$2:$A$161,0))</ns0:f>
        <ns0:v>137</ns0:v>
      </ns0:c>
      <ns0:c r="K58" s="4" t="inlineStr">
        <ns0:is>
          <ns0:t>城限</ns0:t>
        </ns0:is>
      </ns0:c>
      <ns0:c r="L58" s="9">
        <ns0:f>I58-J58</ns0:f>
        <ns0:v>383</ns0:v>
      </ns0:c>
      <ns0:c r="M58" s="4" t="n">
        <ns0:v>7</ns0:v>
      </ns0:c>
      <ns0:c r="N58" s="10">
        <ns0:f>DATE(YEAR(C58),MONTH(C58),1)</ns0:f>
        <ns0:v>45931.0</ns0:v>
      </ns0:c>
      <ns0:c r="O58" s="4" t="str">
        <ns0:f>TEXT(N58,"yyyy-mm")</ns0:f>
        <ns0:v>2025-10</ns0:v>
      </ns0:c>
    </ns0:row>
    <ns0:row r="59">
      <ns0:c r="A59" s="4" t="inlineStr">
        <ns0:is>
          <ns0:t>SES-0058</ns0:t>
        </ns0:is>
      </ns0:c>
      <ns0:c r="B59" s="4" t="inlineStr">
        <ns0:is>
          <ns0:t>SYN-025</ns0:t>
        </ns0:is>
      </ns0:c>
      <ns0:c r="C59" s="10" t="n">
        <ns0:v>45956</ns0:v>
      </ns0:c>
      <ns0:c r="D59" s="4" t="inlineStr">
        <ns0:is>
          <ns0:t>Synthetic Script 025</ns0:t>
        </ns0:is>
      </ns0:c>
      <ns0:c r="E59" s="4" t="inlineStr">
        <ns0:is>
          <ns0:t>推理</ns0:t>
        </ns0:is>
      </ns0:c>
      <ns0:c r="F59" s="4" t="n">
        <ns0:v>2</ns0:v>
      </ns0:c>
      <ns0:c r="G59" s="4" t="n">
        <ns0:v>8</ns0:v>
      </ns0:c>
      <ns0:c r="H59" s="9" t="n">
        <ns0:v>65</ns0:v>
      </ns0:c>
      <ns0:c r="I59" s="9">
        <ns0:f>G59*H59</ns0:f>
        <ns0:v>520</ns0:v>
      </ns0:c>
      <ns0:c r="J59" s="9">
        <ns0:f>INDEX(Script_List!$H$2:$H$161,MATCH(B59,Script_List!$A$2:$A$161,0))</ns0:f>
        <ns0:v>137</ns0:v>
      </ns0:c>
      <ns0:c r="K59" s="4" t="inlineStr">
        <ns0:is>
          <ns0:t>城限</ns0:t>
        </ns0:is>
      </ns0:c>
      <ns0:c r="L59" s="9">
        <ns0:f>I59-J59</ns0:f>
        <ns0:v>383</ns0:v>
      </ns0:c>
      <ns0:c r="M59" s="4" t="n">
        <ns0:v>7</ns0:v>
      </ns0:c>
      <ns0:c r="N59" s="10">
        <ns0:f>DATE(YEAR(C59),MONTH(C59),1)</ns0:f>
        <ns0:v>45931.0</ns0:v>
      </ns0:c>
      <ns0:c r="O59" s="4" t="str">
        <ns0:f>TEXT(N59,"yyyy-mm")</ns0:f>
        <ns0:v>2025-10</ns0:v>
      </ns0:c>
    </ns0:row>
    <ns0:row r="60">
      <ns0:c r="A60" s="4" t="inlineStr">
        <ns0:is>
          <ns0:t>SES-0059</ns0:t>
        </ns0:is>
      </ns0:c>
      <ns0:c r="B60" s="4" t="inlineStr">
        <ns0:is>
          <ns0:t>SYN-026</ns0:t>
        </ns0:is>
      </ns0:c>
      <ns0:c r="C60" s="10" t="n">
        <ns0:v>45957</ns0:v>
      </ns0:c>
      <ns0:c r="D60" s="4" t="inlineStr">
        <ns0:is>
          <ns0:t>Synthetic Script 026</ns0:t>
        </ns0:is>
      </ns0:c>
      <ns0:c r="E60" s="4" t="inlineStr">
        <ns0:is>
          <ns0:t>情感</ns0:t>
        </ns0:is>
      </ns0:c>
      <ns0:c r="F60" s="4" t="n">
        <ns0:v>2</ns0:v>
      </ns0:c>
      <ns0:c r="G60" s="4" t="n">
        <ns0:v>6</ns0:v>
      </ns0:c>
      <ns0:c r="H60" s="9" t="n">
        <ns0:v>109</ns0:v>
      </ns0:c>
      <ns0:c r="I60" s="9">
        <ns0:f>G60*H60</ns0:f>
        <ns0:v>654</ns0:v>
      </ns0:c>
      <ns0:c r="J60" s="9">
        <ns0:f>INDEX(Script_List!$H$2:$H$161,MATCH(B60,Script_List!$A$2:$A$161,0))</ns0:f>
        <ns0:v>180</ns0:v>
      </ns0:c>
      <ns0:c r="K60" s="4" t="inlineStr">
        <ns0:is>
          <ns0:t>盒装</ns0:t>
        </ns0:is>
      </ns0:c>
      <ns0:c r="L60" s="9">
        <ns0:f>I60-J60</ns0:f>
        <ns0:v>474</ns0:v>
      </ns0:c>
      <ns0:c r="M60" s="4" t="n">
        <ns0:v>7.7</ns0:v>
      </ns0:c>
      <ns0:c r="N60" s="10">
        <ns0:f>DATE(YEAR(C60),MONTH(C60),1)</ns0:f>
        <ns0:v>45931.0</ns0:v>
      </ns0:c>
      <ns0:c r="O60" s="4" t="str">
        <ns0:f>TEXT(N60,"yyyy-mm")</ns0:f>
        <ns0:v>2025-10</ns0:v>
      </ns0:c>
    </ns0:row>
    <ns0:row r="61">
      <ns0:c r="A61" s="4" t="inlineStr">
        <ns0:is>
          <ns0:t>SES-0060</ns0:t>
        </ns0:is>
      </ns0:c>
      <ns0:c r="B61" s="4" t="inlineStr">
        <ns0:is>
          <ns0:t>SYN-026</ns0:t>
        </ns0:is>
      </ns0:c>
      <ns0:c r="C61" s="10" t="n">
        <ns0:v>45958</ns0:v>
      </ns0:c>
      <ns0:c r="D61" s="4" t="inlineStr">
        <ns0:is>
          <ns0:t>Synthetic Script 026</ns0:t>
        </ns0:is>
      </ns0:c>
      <ns0:c r="E61" s="4" t="inlineStr">
        <ns0:is>
          <ns0:t>情感</ns0:t>
        </ns0:is>
      </ns0:c>
      <ns0:c r="F61" s="4" t="n">
        <ns0:v>2</ns0:v>
      </ns0:c>
      <ns0:c r="G61" s="4" t="n">
        <ns0:v>6</ns0:v>
      </ns0:c>
      <ns0:c r="H61" s="9" t="n">
        <ns0:v>109</ns0:v>
      </ns0:c>
      <ns0:c r="I61" s="9">
        <ns0:f>G61*H61</ns0:f>
        <ns0:v>654</ns0:v>
      </ns0:c>
      <ns0:c r="J61" s="9">
        <ns0:f>INDEX(Script_List!$H$2:$H$161,MATCH(B61,Script_List!$A$2:$A$161,0))</ns0:f>
        <ns0:v>180</ns0:v>
      </ns0:c>
      <ns0:c r="K61" s="4" t="inlineStr">
        <ns0:is>
          <ns0:t>盒装</ns0:t>
        </ns0:is>
      </ns0:c>
      <ns0:c r="L61" s="9">
        <ns0:f>I61-J61</ns0:f>
        <ns0:v>474</ns0:v>
      </ns0:c>
      <ns0:c r="M61" s="4" t="n">
        <ns0:v>7.7</ns0:v>
      </ns0:c>
      <ns0:c r="N61" s="10">
        <ns0:f>DATE(YEAR(C61),MONTH(C61),1)</ns0:f>
        <ns0:v>45931.0</ns0:v>
      </ns0:c>
      <ns0:c r="O61" s="4" t="str">
        <ns0:f>TEXT(N61,"yyyy-mm")</ns0:f>
        <ns0:v>2025-10</ns0:v>
      </ns0:c>
    </ns0:row>
    <ns0:row r="62">
      <ns0:c r="A62" s="4" t="inlineStr">
        <ns0:is>
          <ns0:t>SES-0061</ns0:t>
        </ns0:is>
      </ns0:c>
      <ns0:c r="B62" s="4" t="inlineStr">
        <ns0:is>
          <ns0:t>SYN-026</ns0:t>
        </ns0:is>
      </ns0:c>
      <ns0:c r="C62" s="10" t="n">
        <ns0:v>45959</ns0:v>
      </ns0:c>
      <ns0:c r="D62" s="4" t="inlineStr">
        <ns0:is>
          <ns0:t>Synthetic Script 026</ns0:t>
        </ns0:is>
      </ns0:c>
      <ns0:c r="E62" s="4" t="inlineStr">
        <ns0:is>
          <ns0:t>情感</ns0:t>
        </ns0:is>
      </ns0:c>
      <ns0:c r="F62" s="4" t="n">
        <ns0:v>2</ns0:v>
      </ns0:c>
      <ns0:c r="G62" s="4" t="n">
        <ns0:v>6</ns0:v>
      </ns0:c>
      <ns0:c r="H62" s="9" t="n">
        <ns0:v>109</ns0:v>
      </ns0:c>
      <ns0:c r="I62" s="9">
        <ns0:f>G62*H62</ns0:f>
        <ns0:v>654</ns0:v>
      </ns0:c>
      <ns0:c r="J62" s="9">
        <ns0:f>INDEX(Script_List!$H$2:$H$161,MATCH(B62,Script_List!$A$2:$A$161,0))</ns0:f>
        <ns0:v>180</ns0:v>
      </ns0:c>
      <ns0:c r="K62" s="4" t="inlineStr">
        <ns0:is>
          <ns0:t>盒装</ns0:t>
        </ns0:is>
      </ns0:c>
      <ns0:c r="L62" s="9">
        <ns0:f>I62-J62</ns0:f>
        <ns0:v>474</ns0:v>
      </ns0:c>
      <ns0:c r="M62" s="4" t="n">
        <ns0:v>7.7</ns0:v>
      </ns0:c>
      <ns0:c r="N62" s="10">
        <ns0:f>DATE(YEAR(C62),MONTH(C62),1)</ns0:f>
        <ns0:v>45931.0</ns0:v>
      </ns0:c>
      <ns0:c r="O62" s="4" t="str">
        <ns0:f>TEXT(N62,"yyyy-mm")</ns0:f>
        <ns0:v>2025-10</ns0:v>
      </ns0:c>
    </ns0:row>
    <ns0:row r="63">
      <ns0:c r="A63" s="4" t="inlineStr">
        <ns0:is>
          <ns0:t>SES-0062</ns0:t>
        </ns0:is>
      </ns0:c>
      <ns0:c r="B63" s="4" t="inlineStr">
        <ns0:is>
          <ns0:t>SYN-026</ns0:t>
        </ns0:is>
      </ns0:c>
      <ns0:c r="C63" s="10" t="n">
        <ns0:v>45960</ns0:v>
      </ns0:c>
      <ns0:c r="D63" s="4" t="inlineStr">
        <ns0:is>
          <ns0:t>Synthetic Script 026</ns0:t>
        </ns0:is>
      </ns0:c>
      <ns0:c r="E63" s="4" t="inlineStr">
        <ns0:is>
          <ns0:t>情感</ns0:t>
        </ns0:is>
      </ns0:c>
      <ns0:c r="F63" s="4" t="n">
        <ns0:v>2</ns0:v>
      </ns0:c>
      <ns0:c r="G63" s="4" t="n">
        <ns0:v>6</ns0:v>
      </ns0:c>
      <ns0:c r="H63" s="9" t="n">
        <ns0:v>109</ns0:v>
      </ns0:c>
      <ns0:c r="I63" s="9">
        <ns0:f>G63*H63</ns0:f>
        <ns0:v>654</ns0:v>
      </ns0:c>
      <ns0:c r="J63" s="9">
        <ns0:f>INDEX(Script_List!$H$2:$H$161,MATCH(B63,Script_List!$A$2:$A$161,0))</ns0:f>
        <ns0:v>180</ns0:v>
      </ns0:c>
      <ns0:c r="K63" s="4" t="inlineStr">
        <ns0:is>
          <ns0:t>盒装</ns0:t>
        </ns0:is>
      </ns0:c>
      <ns0:c r="L63" s="9">
        <ns0:f>I63-J63</ns0:f>
        <ns0:v>474</ns0:v>
      </ns0:c>
      <ns0:c r="M63" s="4" t="n">
        <ns0:v>7.7</ns0:v>
      </ns0:c>
      <ns0:c r="N63" s="10">
        <ns0:f>DATE(YEAR(C63),MONTH(C63),1)</ns0:f>
        <ns0:v>45931.0</ns0:v>
      </ns0:c>
      <ns0:c r="O63" s="4" t="str">
        <ns0:f>TEXT(N63,"yyyy-mm")</ns0:f>
        <ns0:v>2025-10</ns0:v>
      </ns0:c>
    </ns0:row>
    <ns0:row r="64">
      <ns0:c r="A64" s="4" t="inlineStr">
        <ns0:is>
          <ns0:t>SES-0063</ns0:t>
        </ns0:is>
      </ns0:c>
      <ns0:c r="B64" s="4" t="inlineStr">
        <ns0:is>
          <ns0:t>SYN-028</ns0:t>
        </ns0:is>
      </ns0:c>
      <ns0:c r="C64" s="10" t="n">
        <ns0:v>45961</ns0:v>
      </ns0:c>
      <ns0:c r="D64" s="4" t="inlineStr">
        <ns0:is>
          <ns0:t>Synthetic Script 028</ns0:t>
        </ns0:is>
      </ns0:c>
      <ns0:c r="E64" s="4" t="inlineStr">
        <ns0:is>
          <ns0:t>推理</ns0:t>
        </ns0:is>
      </ns0:c>
      <ns0:c r="F64" s="4" t="n">
        <ns0:v>1</ns0:v>
      </ns0:c>
      <ns0:c r="G64" s="4" t="n">
        <ns0:v>6</ns0:v>
      </ns0:c>
      <ns0:c r="H64" s="9" t="n">
        <ns0:v>119</ns0:v>
      </ns0:c>
      <ns0:c r="I64" s="9">
        <ns0:f>G64*H64</ns0:f>
        <ns0:v>714</ns0:v>
      </ns0:c>
      <ns0:c r="J64" s="9">
        <ns0:f>INDEX(Script_List!$H$2:$H$161,MATCH(B64,Script_List!$A$2:$A$161,0))</ns0:f>
        <ns0:v>187</ns0:v>
      </ns0:c>
      <ns0:c r="K64" s="4" t="inlineStr">
        <ns0:is>
          <ns0:t>盒装</ns0:t>
        </ns0:is>
      </ns0:c>
      <ns0:c r="L64" s="9">
        <ns0:f>I64-J64</ns0:f>
        <ns0:v>527</ns0:v>
      </ns0:c>
      <ns0:c r="M64" s="4" t="n">
        <ns0:v>7</ns0:v>
      </ns0:c>
      <ns0:c r="N64" s="10">
        <ns0:f>DATE(YEAR(C64),MONTH(C64),1)</ns0:f>
        <ns0:v>45931.0</ns0:v>
      </ns0:c>
      <ns0:c r="O64" s="4" t="str">
        <ns0:f>TEXT(N64,"yyyy-mm")</ns0:f>
        <ns0:v>2025-10</ns0:v>
      </ns0:c>
    </ns0:row>
    <ns0:row r="65">
      <ns0:c r="A65" s="4" t="inlineStr">
        <ns0:is>
          <ns0:t>SES-0064</ns0:t>
        </ns0:is>
      </ns0:c>
      <ns0:c r="B65" s="4" t="inlineStr">
        <ns0:is>
          <ns0:t>SYN-028</ns0:t>
        </ns0:is>
      </ns0:c>
      <ns0:c r="C65" s="10" t="n">
        <ns0:v>45962</ns0:v>
      </ns0:c>
      <ns0:c r="D65" s="4" t="inlineStr">
        <ns0:is>
          <ns0:t>Synthetic Script 028</ns0:t>
        </ns0:is>
      </ns0:c>
      <ns0:c r="E65" s="4" t="inlineStr">
        <ns0:is>
          <ns0:t>推理</ns0:t>
        </ns0:is>
      </ns0:c>
      <ns0:c r="F65" s="4" t="n">
        <ns0:v>1</ns0:v>
      </ns0:c>
      <ns0:c r="G65" s="4" t="n">
        <ns0:v>6</ns0:v>
      </ns0:c>
      <ns0:c r="H65" s="9" t="n">
        <ns0:v>119</ns0:v>
      </ns0:c>
      <ns0:c r="I65" s="9">
        <ns0:f>G65*H65</ns0:f>
        <ns0:v>714</ns0:v>
      </ns0:c>
      <ns0:c r="J65" s="9">
        <ns0:f>INDEX(Script_List!$H$2:$H$161,MATCH(B65,Script_List!$A$2:$A$161,0))</ns0:f>
        <ns0:v>187</ns0:v>
      </ns0:c>
      <ns0:c r="K65" s="4" t="inlineStr">
        <ns0:is>
          <ns0:t>盒装</ns0:t>
        </ns0:is>
      </ns0:c>
      <ns0:c r="L65" s="9">
        <ns0:f>I65-J65</ns0:f>
        <ns0:v>527</ns0:v>
      </ns0:c>
      <ns0:c r="M65" s="4" t="n">
        <ns0:v>7</ns0:v>
      </ns0:c>
      <ns0:c r="N65" s="10">
        <ns0:f>DATE(YEAR(C65),MONTH(C65),1)</ns0:f>
        <ns0:v>45962.0</ns0:v>
      </ns0:c>
      <ns0:c r="O65" s="4" t="str">
        <ns0:f>TEXT(N65,"yyyy-mm")</ns0:f>
        <ns0:v>2025-11</ns0:v>
      </ns0:c>
    </ns0:row>
    <ns0:row r="66">
      <ns0:c r="A66" s="4" t="inlineStr">
        <ns0:is>
          <ns0:t>SES-0065</ns0:t>
        </ns0:is>
      </ns0:c>
      <ns0:c r="B66" s="4" t="inlineStr">
        <ns0:is>
          <ns0:t>SYN-029</ns0:t>
        </ns0:is>
      </ns0:c>
      <ns0:c r="C66" s="10" t="n">
        <ns0:v>45963</ns0:v>
      </ns0:c>
      <ns0:c r="D66" s="4" t="inlineStr">
        <ns0:is>
          <ns0:t>Synthetic Script 029</ns0:t>
        </ns0:is>
      </ns0:c>
      <ns0:c r="E66" s="4" t="inlineStr">
        <ns0:is>
          <ns0:t>欢乐</ns0:t>
        </ns0:is>
      </ns0:c>
      <ns0:c r="F66" s="4" t="n">
        <ns0:v>3</ns0:v>
      </ns0:c>
      <ns0:c r="G66" s="4" t="n">
        <ns0:v>7</ns0:v>
      </ns0:c>
      <ns0:c r="H66" s="9" t="n">
        <ns0:v>95</ns0:v>
      </ns0:c>
      <ns0:c r="I66" s="9">
        <ns0:f>G66*H66</ns0:f>
        <ns0:v>665</ns0:v>
      </ns0:c>
      <ns0:c r="J66" s="9">
        <ns0:f>INDEX(Script_List!$H$2:$H$161,MATCH(B66,Script_List!$A$2:$A$161,0))</ns0:f>
        <ns0:v>175</ns0:v>
      </ns0:c>
      <ns0:c r="K66" s="4" t="inlineStr">
        <ns0:is>
          <ns0:t>独家</ns0:t>
        </ns0:is>
      </ns0:c>
      <ns0:c r="L66" s="9">
        <ns0:f>I66-J66</ns0:f>
        <ns0:v>490</ns0:v>
      </ns0:c>
      <ns0:c r="M66" s="4" t="n">
        <ns0:v>7.7</ns0:v>
      </ns0:c>
      <ns0:c r="N66" s="10">
        <ns0:f>DATE(YEAR(C66),MONTH(C66),1)</ns0:f>
        <ns0:v>45962.0</ns0:v>
      </ns0:c>
      <ns0:c r="O66" s="4" t="str">
        <ns0:f>TEXT(N66,"yyyy-mm")</ns0:f>
        <ns0:v>2025-11</ns0:v>
      </ns0:c>
    </ns0:row>
    <ns0:row r="67">
      <ns0:c r="A67" s="4" t="inlineStr">
        <ns0:is>
          <ns0:t>SES-0066</ns0:t>
        </ns0:is>
      </ns0:c>
      <ns0:c r="B67" s="4" t="inlineStr">
        <ns0:is>
          <ns0:t>SYN-029</ns0:t>
        </ns0:is>
      </ns0:c>
      <ns0:c r="C67" s="10" t="n">
        <ns0:v>45964</ns0:v>
      </ns0:c>
      <ns0:c r="D67" s="4" t="inlineStr">
        <ns0:is>
          <ns0:t>Synthetic Script 029</ns0:t>
        </ns0:is>
      </ns0:c>
      <ns0:c r="E67" s="4" t="inlineStr">
        <ns0:is>
          <ns0:t>欢乐</ns0:t>
        </ns0:is>
      </ns0:c>
      <ns0:c r="F67" s="4" t="n">
        <ns0:v>3</ns0:v>
      </ns0:c>
      <ns0:c r="G67" s="4" t="n">
        <ns0:v>7</ns0:v>
      </ns0:c>
      <ns0:c r="H67" s="9" t="n">
        <ns0:v>95</ns0:v>
      </ns0:c>
      <ns0:c r="I67" s="9">
        <ns0:f>G67*H67</ns0:f>
        <ns0:v>665</ns0:v>
      </ns0:c>
      <ns0:c r="J67" s="9">
        <ns0:f>INDEX(Script_List!$H$2:$H$161,MATCH(B67,Script_List!$A$2:$A$161,0))</ns0:f>
        <ns0:v>175</ns0:v>
      </ns0:c>
      <ns0:c r="K67" s="4" t="inlineStr">
        <ns0:is>
          <ns0:t>独家</ns0:t>
        </ns0:is>
      </ns0:c>
      <ns0:c r="L67" s="9">
        <ns0:f>I67-J67</ns0:f>
        <ns0:v>490</ns0:v>
      </ns0:c>
      <ns0:c r="M67" s="4" t="n">
        <ns0:v>7.7</ns0:v>
      </ns0:c>
      <ns0:c r="N67" s="10">
        <ns0:f>DATE(YEAR(C67),MONTH(C67),1)</ns0:f>
        <ns0:v>45962.0</ns0:v>
      </ns0:c>
      <ns0:c r="O67" s="4" t="str">
        <ns0:f>TEXT(N67,"yyyy-mm")</ns0:f>
        <ns0:v>2025-11</ns0:v>
      </ns0:c>
    </ns0:row>
    <ns0:row r="68">
      <ns0:c r="A68" s="4" t="inlineStr">
        <ns0:is>
          <ns0:t>SES-0067</ns0:t>
        </ns0:is>
      </ns0:c>
      <ns0:c r="B68" s="4" t="inlineStr">
        <ns0:is>
          <ns0:t>SYN-029</ns0:t>
        </ns0:is>
      </ns0:c>
      <ns0:c r="C68" s="10" t="n">
        <ns0:v>45965</ns0:v>
      </ns0:c>
      <ns0:c r="D68" s="4" t="inlineStr">
        <ns0:is>
          <ns0:t>Synthetic Script 029</ns0:t>
        </ns0:is>
      </ns0:c>
      <ns0:c r="E68" s="4" t="inlineStr">
        <ns0:is>
          <ns0:t>欢乐</ns0:t>
        </ns0:is>
      </ns0:c>
      <ns0:c r="F68" s="4" t="n">
        <ns0:v>3</ns0:v>
      </ns0:c>
      <ns0:c r="G68" s="4" t="n">
        <ns0:v>7</ns0:v>
      </ns0:c>
      <ns0:c r="H68" s="9" t="n">
        <ns0:v>95</ns0:v>
      </ns0:c>
      <ns0:c r="I68" s="9">
        <ns0:f>G68*H68</ns0:f>
        <ns0:v>665</ns0:v>
      </ns0:c>
      <ns0:c r="J68" s="9">
        <ns0:f>INDEX(Script_List!$H$2:$H$161,MATCH(B68,Script_List!$A$2:$A$161,0))</ns0:f>
        <ns0:v>175</ns0:v>
      </ns0:c>
      <ns0:c r="K68" s="4" t="inlineStr">
        <ns0:is>
          <ns0:t>独家</ns0:t>
        </ns0:is>
      </ns0:c>
      <ns0:c r="L68" s="9">
        <ns0:f>I68-J68</ns0:f>
        <ns0:v>490</ns0:v>
      </ns0:c>
      <ns0:c r="M68" s="4" t="n">
        <ns0:v>7.7</ns0:v>
      </ns0:c>
      <ns0:c r="N68" s="10">
        <ns0:f>DATE(YEAR(C68),MONTH(C68),1)</ns0:f>
        <ns0:v>45962.0</ns0:v>
      </ns0:c>
      <ns0:c r="O68" s="4" t="str">
        <ns0:f>TEXT(N68,"yyyy-mm")</ns0:f>
        <ns0:v>2025-11</ns0:v>
      </ns0:c>
    </ns0:row>
    <ns0:row r="69">
      <ns0:c r="A69" s="4" t="inlineStr">
        <ns0:is>
          <ns0:t>SES-0068</ns0:t>
        </ns0:is>
      </ns0:c>
      <ns0:c r="B69" s="4" t="inlineStr">
        <ns0:is>
          <ns0:t>SYN-029</ns0:t>
        </ns0:is>
      </ns0:c>
      <ns0:c r="C69" s="10" t="n">
        <ns0:v>45966</ns0:v>
      </ns0:c>
      <ns0:c r="D69" s="4" t="inlineStr">
        <ns0:is>
          <ns0:t>Synthetic Script 029</ns0:t>
        </ns0:is>
      </ns0:c>
      <ns0:c r="E69" s="4" t="inlineStr">
        <ns0:is>
          <ns0:t>欢乐</ns0:t>
        </ns0:is>
      </ns0:c>
      <ns0:c r="F69" s="4" t="n">
        <ns0:v>3</ns0:v>
      </ns0:c>
      <ns0:c r="G69" s="4" t="n">
        <ns0:v>7</ns0:v>
      </ns0:c>
      <ns0:c r="H69" s="9" t="n">
        <ns0:v>95</ns0:v>
      </ns0:c>
      <ns0:c r="I69" s="9">
        <ns0:f>G69*H69</ns0:f>
        <ns0:v>665</ns0:v>
      </ns0:c>
      <ns0:c r="J69" s="9">
        <ns0:f>INDEX(Script_List!$H$2:$H$161,MATCH(B69,Script_List!$A$2:$A$161,0))</ns0:f>
        <ns0:v>175</ns0:v>
      </ns0:c>
      <ns0:c r="K69" s="4" t="inlineStr">
        <ns0:is>
          <ns0:t>独家</ns0:t>
        </ns0:is>
      </ns0:c>
      <ns0:c r="L69" s="9">
        <ns0:f>I69-J69</ns0:f>
        <ns0:v>490</ns0:v>
      </ns0:c>
      <ns0:c r="M69" s="4" t="n">
        <ns0:v>7.7</ns0:v>
      </ns0:c>
      <ns0:c r="N69" s="10">
        <ns0:f>DATE(YEAR(C69),MONTH(C69),1)</ns0:f>
        <ns0:v>45962.0</ns0:v>
      </ns0:c>
      <ns0:c r="O69" s="4" t="str">
        <ns0:f>TEXT(N69,"yyyy-mm")</ns0:f>
        <ns0:v>2025-11</ns0:v>
      </ns0:c>
    </ns0:row>
    <ns0:row r="70">
      <ns0:c r="A70" s="4" t="inlineStr">
        <ns0:is>
          <ns0:t>SES-0069</ns0:t>
        </ns0:is>
      </ns0:c>
      <ns0:c r="B70" s="4" t="inlineStr">
        <ns0:is>
          <ns0:t>SYN-030</ns0:t>
        </ns0:is>
      </ns0:c>
      <ns0:c r="C70" s="10" t="n">
        <ns0:v>45967</ns0:v>
      </ns0:c>
      <ns0:c r="D70" s="4" t="inlineStr">
        <ns0:is>
          <ns0:t>Synthetic Script 030</ns0:t>
        </ns0:is>
      </ns0:c>
      <ns0:c r="E70" s="4" t="inlineStr">
        <ns0:is>
          <ns0:t>情感</ns0:t>
        </ns0:is>
      </ns0:c>
      <ns0:c r="F70" s="4" t="n">
        <ns0:v>6</ns0:v>
      </ns0:c>
      <ns0:c r="G70" s="4" t="n">
        <ns0:v>8</ns0:v>
      </ns0:c>
      <ns0:c r="H70" s="9" t="n">
        <ns0:v>109</ns0:v>
      </ns0:c>
      <ns0:c r="I70" s="9">
        <ns0:f>G70*H70</ns0:f>
        <ns0:v>872</ns0:v>
      </ns0:c>
      <ns0:c r="J70" s="9">
        <ns0:f>INDEX(Script_List!$H$2:$H$161,MATCH(B70,Script_List!$A$2:$A$161,0))</ns0:f>
        <ns0:v>540</ns0:v>
      </ns0:c>
      <ns0:c r="K70" s="4" t="inlineStr">
        <ns0:is>
          <ns0:t>盒装</ns0:t>
        </ns0:is>
      </ns0:c>
      <ns0:c r="L70" s="9">
        <ns0:f>I70-J70</ns0:f>
        <ns0:v>332</ns0:v>
      </ns0:c>
      <ns0:c r="M70" s="4" t="n">
        <ns0:v>8.4</ns0:v>
      </ns0:c>
      <ns0:c r="N70" s="10">
        <ns0:f>DATE(YEAR(C70),MONTH(C70),1)</ns0:f>
        <ns0:v>45962.0</ns0:v>
      </ns0:c>
      <ns0:c r="O70" s="4" t="str">
        <ns0:f>TEXT(N70,"yyyy-mm")</ns0:f>
        <ns0:v>2025-11</ns0:v>
      </ns0:c>
    </ns0:row>
    <ns0:row r="71">
      <ns0:c r="A71" s="4" t="inlineStr">
        <ns0:is>
          <ns0:t>SES-0070</ns0:t>
        </ns0:is>
      </ns0:c>
      <ns0:c r="B71" s="4" t="inlineStr">
        <ns0:is>
          <ns0:t>SYN-031</ns0:t>
        </ns0:is>
      </ns0:c>
      <ns0:c r="C71" s="10" t="n">
        <ns0:v>45968</ns0:v>
      </ns0:c>
      <ns0:c r="D71" s="4" t="inlineStr">
        <ns0:is>
          <ns0:t>Synthetic Script 031</ns0:t>
        </ns0:is>
      </ns0:c>
      <ns0:c r="E71" s="4" t="inlineStr">
        <ns0:is>
          <ns0:t>情感</ns0:t>
        </ns0:is>
      </ns0:c>
      <ns0:c r="F71" s="4" t="n">
        <ns0:v>2</ns0:v>
      </ns0:c>
      <ns0:c r="G71" s="4" t="n">
        <ns0:v>6</ns0:v>
      </ns0:c>
      <ns0:c r="H71" s="9" t="n">
        <ns0:v>118</ns0:v>
      </ns0:c>
      <ns0:c r="I71" s="9">
        <ns0:f>G71*H71</ns0:f>
        <ns0:v>708</ns0:v>
      </ns0:c>
      <ns0:c r="J71" s="9">
        <ns0:f>INDEX(Script_List!$H$2:$H$161,MATCH(B71,Script_List!$A$2:$A$161,0))</ns0:f>
        <ns0:v>180</ns0:v>
      </ns0:c>
      <ns0:c r="K71" s="4" t="inlineStr">
        <ns0:is>
          <ns0:t>盒装</ns0:t>
        </ns0:is>
      </ns0:c>
      <ns0:c r="L71" s="9">
        <ns0:f>I71-J71</ns0:f>
        <ns0:v>528</ns0:v>
      </ns0:c>
      <ns0:c r="M71" s="4" t="n">
        <ns0:v>7</ns0:v>
      </ns0:c>
      <ns0:c r="N71" s="10">
        <ns0:f>DATE(YEAR(C71),MONTH(C71),1)</ns0:f>
        <ns0:v>45962.0</ns0:v>
      </ns0:c>
      <ns0:c r="O71" s="4" t="str">
        <ns0:f>TEXT(N71,"yyyy-mm")</ns0:f>
        <ns0:v>2025-11</ns0:v>
      </ns0:c>
    </ns0:row>
    <ns0:row r="72">
      <ns0:c r="A72" s="4" t="inlineStr">
        <ns0:is>
          <ns0:t>SES-0071</ns0:t>
        </ns0:is>
      </ns0:c>
      <ns0:c r="B72" s="4" t="inlineStr">
        <ns0:is>
          <ns0:t>SYN-031</ns0:t>
        </ns0:is>
      </ns0:c>
      <ns0:c r="C72" s="10" t="n">
        <ns0:v>45969</ns0:v>
      </ns0:c>
      <ns0:c r="D72" s="4" t="inlineStr">
        <ns0:is>
          <ns0:t>Synthetic Script 031</ns0:t>
        </ns0:is>
      </ns0:c>
      <ns0:c r="E72" s="4" t="inlineStr">
        <ns0:is>
          <ns0:t>情感</ns0:t>
        </ns0:is>
      </ns0:c>
      <ns0:c r="F72" s="4" t="n">
        <ns0:v>2</ns0:v>
      </ns0:c>
      <ns0:c r="G72" s="4" t="n">
        <ns0:v>6</ns0:v>
      </ns0:c>
      <ns0:c r="H72" s="9" t="n">
        <ns0:v>118</ns0:v>
      </ns0:c>
      <ns0:c r="I72" s="9">
        <ns0:f>G72*H72</ns0:f>
        <ns0:v>708</ns0:v>
      </ns0:c>
      <ns0:c r="J72" s="9">
        <ns0:f>INDEX(Script_List!$H$2:$H$161,MATCH(B72,Script_List!$A$2:$A$161,0))</ns0:f>
        <ns0:v>180</ns0:v>
      </ns0:c>
      <ns0:c r="K72" s="4" t="inlineStr">
        <ns0:is>
          <ns0:t>盒装</ns0:t>
        </ns0:is>
      </ns0:c>
      <ns0:c r="L72" s="9">
        <ns0:f>I72-J72</ns0:f>
        <ns0:v>528</ns0:v>
      </ns0:c>
      <ns0:c r="M72" s="4" t="n">
        <ns0:v>7</ns0:v>
      </ns0:c>
      <ns0:c r="N72" s="10">
        <ns0:f>DATE(YEAR(C72),MONTH(C72),1)</ns0:f>
        <ns0:v>45962.0</ns0:v>
      </ns0:c>
      <ns0:c r="O72" s="4" t="str">
        <ns0:f>TEXT(N72,"yyyy-mm")</ns0:f>
        <ns0:v>2025-11</ns0:v>
      </ns0:c>
    </ns0:row>
    <ns0:row r="73">
      <ns0:c r="A73" s="4" t="inlineStr">
        <ns0:is>
          <ns0:t>SES-0072</ns0:t>
        </ns0:is>
      </ns0:c>
      <ns0:c r="B73" s="4" t="inlineStr">
        <ns0:is>
          <ns0:t>SYN-032</ns0:t>
        </ns0:is>
      </ns0:c>
      <ns0:c r="C73" s="10" t="n">
        <ns0:v>45970</ns0:v>
      </ns0:c>
      <ns0:c r="D73" s="4" t="inlineStr">
        <ns0:is>
          <ns0:t>Synthetic Script 032</ns0:t>
        </ns0:is>
      </ns0:c>
      <ns0:c r="E73" s="4" t="inlineStr">
        <ns0:is>
          <ns0:t>推理</ns0:t>
        </ns0:is>
      </ns0:c>
      <ns0:c r="F73" s="4" t="n">
        <ns0:v>1</ns0:v>
      </ns0:c>
      <ns0:c r="G73" s="4" t="n">
        <ns0:v>6</ns0:v>
      </ns0:c>
      <ns0:c r="H73" s="9" t="n">
        <ns0:v>119</ns0:v>
      </ns0:c>
      <ns0:c r="I73" s="9">
        <ns0:f>G73*H73</ns0:f>
        <ns0:v>714</ns0:v>
      </ns0:c>
      <ns0:c r="J73" s="9">
        <ns0:f>INDEX(Script_List!$H$2:$H$161,MATCH(B73,Script_List!$A$2:$A$161,0))</ns0:f>
        <ns0:v>187</ns0:v>
      </ns0:c>
      <ns0:c r="K73" s="4" t="inlineStr">
        <ns0:is>
          <ns0:t>城限</ns0:t>
        </ns0:is>
      </ns0:c>
      <ns0:c r="L73" s="9">
        <ns0:f>I73-J73</ns0:f>
        <ns0:v>527</ns0:v>
      </ns0:c>
      <ns0:c r="M73" s="4" t="n">
        <ns0:v>7.7</ns0:v>
      </ns0:c>
      <ns0:c r="N73" s="10">
        <ns0:f>DATE(YEAR(C73),MONTH(C73),1)</ns0:f>
        <ns0:v>45962.0</ns0:v>
      </ns0:c>
      <ns0:c r="O73" s="4" t="str">
        <ns0:f>TEXT(N73,"yyyy-mm")</ns0:f>
        <ns0:v>2025-11</ns0:v>
      </ns0:c>
    </ns0:row>
    <ns0:row r="74">
      <ns0:c r="A74" s="4" t="inlineStr">
        <ns0:is>
          <ns0:t>SES-0073</ns0:t>
        </ns0:is>
      </ns0:c>
      <ns0:c r="B74" s="4" t="inlineStr">
        <ns0:is>
          <ns0:t>SYN-032</ns0:t>
        </ns0:is>
      </ns0:c>
      <ns0:c r="C74" s="10" t="n">
        <ns0:v>45971</ns0:v>
      </ns0:c>
      <ns0:c r="D74" s="4" t="inlineStr">
        <ns0:is>
          <ns0:t>Synthetic Script 032</ns0:t>
        </ns0:is>
      </ns0:c>
      <ns0:c r="E74" s="4" t="inlineStr">
        <ns0:is>
          <ns0:t>推理</ns0:t>
        </ns0:is>
      </ns0:c>
      <ns0:c r="F74" s="4" t="n">
        <ns0:v>1</ns0:v>
      </ns0:c>
      <ns0:c r="G74" s="4" t="n">
        <ns0:v>6</ns0:v>
      </ns0:c>
      <ns0:c r="H74" s="9" t="n">
        <ns0:v>119</ns0:v>
      </ns0:c>
      <ns0:c r="I74" s="9">
        <ns0:f>G74*H74</ns0:f>
        <ns0:v>714</ns0:v>
      </ns0:c>
      <ns0:c r="J74" s="9">
        <ns0:f>INDEX(Script_List!$H$2:$H$161,MATCH(B74,Script_List!$A$2:$A$161,0))</ns0:f>
        <ns0:v>187</ns0:v>
      </ns0:c>
      <ns0:c r="K74" s="4" t="inlineStr">
        <ns0:is>
          <ns0:t>城限</ns0:t>
        </ns0:is>
      </ns0:c>
      <ns0:c r="L74" s="9">
        <ns0:f>I74-J74</ns0:f>
        <ns0:v>527</ns0:v>
      </ns0:c>
      <ns0:c r="M74" s="4" t="n">
        <ns0:v>7.7</ns0:v>
      </ns0:c>
      <ns0:c r="N74" s="10">
        <ns0:f>DATE(YEAR(C74),MONTH(C74),1)</ns0:f>
        <ns0:v>45962.0</ns0:v>
      </ns0:c>
      <ns0:c r="O74" s="4" t="str">
        <ns0:f>TEXT(N74,"yyyy-mm")</ns0:f>
        <ns0:v>2025-11</ns0:v>
      </ns0:c>
    </ns0:row>
    <ns0:row r="75">
      <ns0:c r="A75" s="4" t="inlineStr">
        <ns0:is>
          <ns0:t>SES-0074</ns0:t>
        </ns0:is>
      </ns0:c>
      <ns0:c r="B75" s="4" t="inlineStr">
        <ns0:is>
          <ns0:t>SYN-032</ns0:t>
        </ns0:is>
      </ns0:c>
      <ns0:c r="C75" s="10" t="n">
        <ns0:v>45972</ns0:v>
      </ns0:c>
      <ns0:c r="D75" s="4" t="inlineStr">
        <ns0:is>
          <ns0:t>Synthetic Script 032</ns0:t>
        </ns0:is>
      </ns0:c>
      <ns0:c r="E75" s="4" t="inlineStr">
        <ns0:is>
          <ns0:t>推理</ns0:t>
        </ns0:is>
      </ns0:c>
      <ns0:c r="F75" s="4" t="n">
        <ns0:v>1</ns0:v>
      </ns0:c>
      <ns0:c r="G75" s="4" t="n">
        <ns0:v>6</ns0:v>
      </ns0:c>
      <ns0:c r="H75" s="9" t="n">
        <ns0:v>119</ns0:v>
      </ns0:c>
      <ns0:c r="I75" s="9">
        <ns0:f>G75*H75</ns0:f>
        <ns0:v>714</ns0:v>
      </ns0:c>
      <ns0:c r="J75" s="9">
        <ns0:f>INDEX(Script_List!$H$2:$H$161,MATCH(B75,Script_List!$A$2:$A$161,0))</ns0:f>
        <ns0:v>187</ns0:v>
      </ns0:c>
      <ns0:c r="K75" s="4" t="inlineStr">
        <ns0:is>
          <ns0:t>城限</ns0:t>
        </ns0:is>
      </ns0:c>
      <ns0:c r="L75" s="9">
        <ns0:f>I75-J75</ns0:f>
        <ns0:v>527</ns0:v>
      </ns0:c>
      <ns0:c r="M75" s="4" t="n">
        <ns0:v>7.7</ns0:v>
      </ns0:c>
      <ns0:c r="N75" s="10">
        <ns0:f>DATE(YEAR(C75),MONTH(C75),1)</ns0:f>
        <ns0:v>45962.0</ns0:v>
      </ns0:c>
      <ns0:c r="O75" s="4" t="str">
        <ns0:f>TEXT(N75,"yyyy-mm")</ns0:f>
        <ns0:v>2025-11</ns0:v>
      </ns0:c>
    </ns0:row>
    <ns0:row r="76">
      <ns0:c r="A76" s="4" t="inlineStr">
        <ns0:is>
          <ns0:t>SES-0075</ns0:t>
        </ns0:is>
      </ns0:c>
      <ns0:c r="B76" s="4" t="inlineStr">
        <ns0:is>
          <ns0:t>SYN-032</ns0:t>
        </ns0:is>
      </ns0:c>
      <ns0:c r="C76" s="10" t="n">
        <ns0:v>45973</ns0:v>
      </ns0:c>
      <ns0:c r="D76" s="4" t="inlineStr">
        <ns0:is>
          <ns0:t>Synthetic Script 032</ns0:t>
        </ns0:is>
      </ns0:c>
      <ns0:c r="E76" s="4" t="inlineStr">
        <ns0:is>
          <ns0:t>推理</ns0:t>
        </ns0:is>
      </ns0:c>
      <ns0:c r="F76" s="4" t="n">
        <ns0:v>1</ns0:v>
      </ns0:c>
      <ns0:c r="G76" s="4" t="n">
        <ns0:v>6</ns0:v>
      </ns0:c>
      <ns0:c r="H76" s="9" t="n">
        <ns0:v>119</ns0:v>
      </ns0:c>
      <ns0:c r="I76" s="9">
        <ns0:f>G76*H76</ns0:f>
        <ns0:v>714</ns0:v>
      </ns0:c>
      <ns0:c r="J76" s="9">
        <ns0:f>INDEX(Script_List!$H$2:$H$161,MATCH(B76,Script_List!$A$2:$A$161,0))</ns0:f>
        <ns0:v>187</ns0:v>
      </ns0:c>
      <ns0:c r="K76" s="4" t="inlineStr">
        <ns0:is>
          <ns0:t>城限</ns0:t>
        </ns0:is>
      </ns0:c>
      <ns0:c r="L76" s="9">
        <ns0:f>I76-J76</ns0:f>
        <ns0:v>527</ns0:v>
      </ns0:c>
      <ns0:c r="M76" s="4" t="n">
        <ns0:v>7.7</ns0:v>
      </ns0:c>
      <ns0:c r="N76" s="10">
        <ns0:f>DATE(YEAR(C76),MONTH(C76),1)</ns0:f>
        <ns0:v>45962.0</ns0:v>
      </ns0:c>
      <ns0:c r="O76" s="4" t="str">
        <ns0:f>TEXT(N76,"yyyy-mm")</ns0:f>
        <ns0:v>2025-11</ns0:v>
      </ns0:c>
    </ns0:row>
    <ns0:row r="77">
      <ns0:c r="A77" s="4" t="inlineStr">
        <ns0:is>
          <ns0:t>SES-0076</ns0:t>
        </ns0:is>
      </ns0:c>
      <ns0:c r="B77" s="4" t="inlineStr">
        <ns0:is>
          <ns0:t>SYN-032</ns0:t>
        </ns0:is>
      </ns0:c>
      <ns0:c r="C77" s="10" t="n">
        <ns0:v>45974</ns0:v>
      </ns0:c>
      <ns0:c r="D77" s="4" t="inlineStr">
        <ns0:is>
          <ns0:t>Synthetic Script 032</ns0:t>
        </ns0:is>
      </ns0:c>
      <ns0:c r="E77" s="4" t="inlineStr">
        <ns0:is>
          <ns0:t>推理</ns0:t>
        </ns0:is>
      </ns0:c>
      <ns0:c r="F77" s="4" t="n">
        <ns0:v>1</ns0:v>
      </ns0:c>
      <ns0:c r="G77" s="4" t="n">
        <ns0:v>6</ns0:v>
      </ns0:c>
      <ns0:c r="H77" s="9" t="n">
        <ns0:v>119</ns0:v>
      </ns0:c>
      <ns0:c r="I77" s="9">
        <ns0:f>G77*H77</ns0:f>
        <ns0:v>714</ns0:v>
      </ns0:c>
      <ns0:c r="J77" s="9">
        <ns0:f>INDEX(Script_List!$H$2:$H$161,MATCH(B77,Script_List!$A$2:$A$161,0))</ns0:f>
        <ns0:v>187</ns0:v>
      </ns0:c>
      <ns0:c r="K77" s="4" t="inlineStr">
        <ns0:is>
          <ns0:t>城限</ns0:t>
        </ns0:is>
      </ns0:c>
      <ns0:c r="L77" s="9">
        <ns0:f>I77-J77</ns0:f>
        <ns0:v>527</ns0:v>
      </ns0:c>
      <ns0:c r="M77" s="4" t="n">
        <ns0:v>7.7</ns0:v>
      </ns0:c>
      <ns0:c r="N77" s="10">
        <ns0:f>DATE(YEAR(C77),MONTH(C77),1)</ns0:f>
        <ns0:v>45962.0</ns0:v>
      </ns0:c>
      <ns0:c r="O77" s="4" t="str">
        <ns0:f>TEXT(N77,"yyyy-mm")</ns0:f>
        <ns0:v>2025-11</ns0:v>
      </ns0:c>
    </ns0:row>
    <ns0:row r="78">
      <ns0:c r="A78" s="4" t="inlineStr">
        <ns0:is>
          <ns0:t>SES-0077</ns0:t>
        </ns0:is>
      </ns0:c>
      <ns0:c r="B78" s="4" t="inlineStr">
        <ns0:is>
          <ns0:t>SYN-033</ns0:t>
        </ns0:is>
      </ns0:c>
      <ns0:c r="C78" s="10" t="n">
        <ns0:v>45975</ns0:v>
      </ns0:c>
      <ns0:c r="D78" s="4" t="inlineStr">
        <ns0:is>
          <ns0:t>Synthetic Script 033</ns0:t>
        </ns0:is>
      </ns0:c>
      <ns0:c r="E78" s="4" t="inlineStr">
        <ns0:is>
          <ns0:t>情感</ns0:t>
        </ns0:is>
      </ns0:c>
      <ns0:c r="F78" s="4" t="n">
        <ns0:v>3</ns0:v>
      </ns0:c>
      <ns0:c r="G78" s="4" t="n">
        <ns0:v>6</ns0:v>
      </ns0:c>
      <ns0:c r="H78" s="9" t="n">
        <ns0:v>99</ns0:v>
      </ns0:c>
      <ns0:c r="I78" s="9">
        <ns0:f>G78*H78</ns0:f>
        <ns0:v>594</ns0:v>
      </ns0:c>
      <ns0:c r="J78" s="9">
        <ns0:f>INDEX(Script_List!$H$2:$H$161,MATCH(B78,Script_List!$A$2:$A$161,0))</ns0:f>
        <ns0:v>270</ns0:v>
      </ns0:c>
      <ns0:c r="K78" s="4" t="inlineStr">
        <ns0:is>
          <ns0:t>盒装</ns0:t>
        </ns0:is>
      </ns0:c>
      <ns0:c r="L78" s="9">
        <ns0:f>I78-J78</ns0:f>
        <ns0:v>324</ns0:v>
      </ns0:c>
      <ns0:c r="M78" s="4" t="n">
        <ns0:v>8.4</ns0:v>
      </ns0:c>
      <ns0:c r="N78" s="10">
        <ns0:f>DATE(YEAR(C78),MONTH(C78),1)</ns0:f>
        <ns0:v>45962.0</ns0:v>
      </ns0:c>
      <ns0:c r="O78" s="4" t="str">
        <ns0:f>TEXT(N78,"yyyy-mm")</ns0:f>
        <ns0:v>2025-11</ns0:v>
      </ns0:c>
    </ns0:row>
    <ns0:row r="79">
      <ns0:c r="A79" s="4" t="inlineStr">
        <ns0:is>
          <ns0:t>SES-0078</ns0:t>
        </ns0:is>
      </ns0:c>
      <ns0:c r="B79" s="4" t="inlineStr">
        <ns0:is>
          <ns0:t>SYN-034</ns0:t>
        </ns0:is>
      </ns0:c>
      <ns0:c r="C79" s="10" t="n">
        <ns0:v>45976</ns0:v>
      </ns0:c>
      <ns0:c r="D79" s="4" t="inlineStr">
        <ns0:is>
          <ns0:t>Synthetic Script 034</ns0:t>
        </ns0:is>
      </ns0:c>
      <ns0:c r="E79" s="4" t="inlineStr">
        <ns0:is>
          <ns0:t>欢乐</ns0:t>
        </ns0:is>
      </ns0:c>
      <ns0:c r="F79" s="4" t="n">
        <ns0:v>3</ns0:v>
      </ns0:c>
      <ns0:c r="G79" s="4" t="n">
        <ns0:v>7</ns0:v>
      </ns0:c>
      <ns0:c r="H79" s="9" t="n">
        <ns0:v>109</ns0:v>
      </ns0:c>
      <ns0:c r="I79" s="9">
        <ns0:f>G79*H79</ns0:f>
        <ns0:v>763</ns0:v>
      </ns0:c>
      <ns0:c r="J79" s="9">
        <ns0:f>INDEX(Script_List!$H$2:$H$161,MATCH(B79,Script_List!$A$2:$A$161,0))</ns0:f>
        <ns0:v>200</ns0:v>
      </ns0:c>
      <ns0:c r="K79" s="4" t="inlineStr">
        <ns0:is>
          <ns0:t>独家</ns0:t>
        </ns0:is>
      </ns0:c>
      <ns0:c r="L79" s="9">
        <ns0:f>I79-J79</ns0:f>
        <ns0:v>563</ns0:v>
      </ns0:c>
      <ns0:c r="M79" s="4" t="n">
        <ns0:v>7</ns0:v>
      </ns0:c>
      <ns0:c r="N79" s="10">
        <ns0:f>DATE(YEAR(C79),MONTH(C79),1)</ns0:f>
        <ns0:v>45962.0</ns0:v>
      </ns0:c>
      <ns0:c r="O79" s="4" t="str">
        <ns0:f>TEXT(N79,"yyyy-mm")</ns0:f>
        <ns0:v>2025-11</ns0:v>
      </ns0:c>
    </ns0:row>
    <ns0:row r="80">
      <ns0:c r="A80" s="4" t="inlineStr">
        <ns0:is>
          <ns0:t>SES-0079</ns0:t>
        </ns0:is>
      </ns0:c>
      <ns0:c r="B80" s="4" t="inlineStr">
        <ns0:is>
          <ns0:t>SYN-034</ns0:t>
        </ns0:is>
      </ns0:c>
      <ns0:c r="C80" s="10" t="n">
        <ns0:v>45977</ns0:v>
      </ns0:c>
      <ns0:c r="D80" s="4" t="inlineStr">
        <ns0:is>
          <ns0:t>Synthetic Script 034</ns0:t>
        </ns0:is>
      </ns0:c>
      <ns0:c r="E80" s="4" t="inlineStr">
        <ns0:is>
          <ns0:t>欢乐</ns0:t>
        </ns0:is>
      </ns0:c>
      <ns0:c r="F80" s="4" t="n">
        <ns0:v>3</ns0:v>
      </ns0:c>
      <ns0:c r="G80" s="4" t="n">
        <ns0:v>7</ns0:v>
      </ns0:c>
      <ns0:c r="H80" s="9" t="n">
        <ns0:v>109</ns0:v>
      </ns0:c>
      <ns0:c r="I80" s="9">
        <ns0:f>G80*H80</ns0:f>
        <ns0:v>763</ns0:v>
      </ns0:c>
      <ns0:c r="J80" s="9">
        <ns0:f>INDEX(Script_List!$H$2:$H$161,MATCH(B80,Script_List!$A$2:$A$161,0))</ns0:f>
        <ns0:v>200</ns0:v>
      </ns0:c>
      <ns0:c r="K80" s="4" t="inlineStr">
        <ns0:is>
          <ns0:t>独家</ns0:t>
        </ns0:is>
      </ns0:c>
      <ns0:c r="L80" s="9">
        <ns0:f>I80-J80</ns0:f>
        <ns0:v>563</ns0:v>
      </ns0:c>
      <ns0:c r="M80" s="4" t="n">
        <ns0:v>7</ns0:v>
      </ns0:c>
      <ns0:c r="N80" s="10">
        <ns0:f>DATE(YEAR(C80),MONTH(C80),1)</ns0:f>
        <ns0:v>45962.0</ns0:v>
      </ns0:c>
      <ns0:c r="O80" s="4" t="str">
        <ns0:f>TEXT(N80,"yyyy-mm")</ns0:f>
        <ns0:v>2025-11</ns0:v>
      </ns0:c>
    </ns0:row>
    <ns0:row r="81">
      <ns0:c r="A81" s="4" t="inlineStr">
        <ns0:is>
          <ns0:t>SES-0080</ns0:t>
        </ns0:is>
      </ns0:c>
      <ns0:c r="B81" s="4" t="inlineStr">
        <ns0:is>
          <ns0:t>SYN-035</ns0:t>
        </ns0:is>
      </ns0:c>
      <ns0:c r="C81" s="10" t="n">
        <ns0:v>45978</ns0:v>
      </ns0:c>
      <ns0:c r="D81" s="4" t="inlineStr">
        <ns0:is>
          <ns0:t>Synthetic Script 035</ns0:t>
        </ns0:is>
      </ns0:c>
      <ns0:c r="E81" s="4" t="inlineStr">
        <ns0:is>
          <ns0:t>推理</ns0:t>
        </ns0:is>
      </ns0:c>
      <ns0:c r="F81" s="4" t="n">
        <ns0:v>2</ns0:v>
      </ns0:c>
      <ns0:c r="G81" s="4" t="n">
        <ns0:v>8</ns0:v>
      </ns0:c>
      <ns0:c r="H81" s="9" t="n">
        <ns0:v>95</ns0:v>
      </ns0:c>
      <ns0:c r="I81" s="9">
        <ns0:f>G81*H81</ns0:f>
        <ns0:v>760</ns0:v>
      </ns0:c>
      <ns0:c r="J81" s="9">
        <ns0:f>INDEX(Script_List!$H$2:$H$161,MATCH(B81,Script_List!$A$2:$A$161,0))</ns0:f>
        <ns0:v>200</ns0:v>
      </ns0:c>
      <ns0:c r="K81" s="4" t="inlineStr">
        <ns0:is>
          <ns0:t>城限</ns0:t>
        </ns0:is>
      </ns0:c>
      <ns0:c r="L81" s="9">
        <ns0:f>I81-J81</ns0:f>
        <ns0:v>560</ns0:v>
      </ns0:c>
      <ns0:c r="M81" s="4" t="n">
        <ns0:v>7.7</ns0:v>
      </ns0:c>
      <ns0:c r="N81" s="10">
        <ns0:f>DATE(YEAR(C81),MONTH(C81),1)</ns0:f>
        <ns0:v>45962.0</ns0:v>
      </ns0:c>
      <ns0:c r="O81" s="4" t="str">
        <ns0:f>TEXT(N81,"yyyy-mm")</ns0:f>
        <ns0:v>2025-11</ns0:v>
      </ns0:c>
    </ns0:row>
    <ns0:row r="82">
      <ns0:c r="A82" s="4" t="inlineStr">
        <ns0:is>
          <ns0:t>SES-0081</ns0:t>
        </ns0:is>
      </ns0:c>
      <ns0:c r="B82" s="4" t="inlineStr">
        <ns0:is>
          <ns0:t>SYN-035</ns0:t>
        </ns0:is>
      </ns0:c>
      <ns0:c r="C82" s="10" t="n">
        <ns0:v>45978</ns0:v>
      </ns0:c>
      <ns0:c r="D82" s="4" t="inlineStr">
        <ns0:is>
          <ns0:t>Synthetic Script 035</ns0:t>
        </ns0:is>
      </ns0:c>
      <ns0:c r="E82" s="4" t="inlineStr">
        <ns0:is>
          <ns0:t>推理</ns0:t>
        </ns0:is>
      </ns0:c>
      <ns0:c r="F82" s="4" t="n">
        <ns0:v>2</ns0:v>
      </ns0:c>
      <ns0:c r="G82" s="4" t="n">
        <ns0:v>8</ns0:v>
      </ns0:c>
      <ns0:c r="H82" s="9" t="n">
        <ns0:v>95</ns0:v>
      </ns0:c>
      <ns0:c r="I82" s="9">
        <ns0:f>G82*H82</ns0:f>
        <ns0:v>760</ns0:v>
      </ns0:c>
      <ns0:c r="J82" s="9">
        <ns0:f>INDEX(Script_List!$H$2:$H$161,MATCH(B82,Script_List!$A$2:$A$161,0))</ns0:f>
        <ns0:v>200</ns0:v>
      </ns0:c>
      <ns0:c r="K82" s="4" t="inlineStr">
        <ns0:is>
          <ns0:t>城限</ns0:t>
        </ns0:is>
      </ns0:c>
      <ns0:c r="L82" s="9">
        <ns0:f>I82-J82</ns0:f>
        <ns0:v>560</ns0:v>
      </ns0:c>
      <ns0:c r="M82" s="4" t="n">
        <ns0:v>7.7</ns0:v>
      </ns0:c>
      <ns0:c r="N82" s="10">
        <ns0:f>DATE(YEAR(C82),MONTH(C82),1)</ns0:f>
        <ns0:v>45962.0</ns0:v>
      </ns0:c>
      <ns0:c r="O82" s="4" t="str">
        <ns0:f>TEXT(N82,"yyyy-mm")</ns0:f>
        <ns0:v>2025-11</ns0:v>
      </ns0:c>
    </ns0:row>
    <ns0:row r="83">
      <ns0:c r="A83" s="4" t="inlineStr">
        <ns0:is>
          <ns0:t>SES-0082</ns0:t>
        </ns0:is>
      </ns0:c>
      <ns0:c r="B83" s="4" t="inlineStr">
        <ns0:is>
          <ns0:t>SYN-035</ns0:t>
        </ns0:is>
      </ns0:c>
      <ns0:c r="C83" s="10" t="n">
        <ns0:v>45979</ns0:v>
      </ns0:c>
      <ns0:c r="D83" s="4" t="inlineStr">
        <ns0:is>
          <ns0:t>Synthetic Script 035</ns0:t>
        </ns0:is>
      </ns0:c>
      <ns0:c r="E83" s="4" t="inlineStr">
        <ns0:is>
          <ns0:t>推理</ns0:t>
        </ns0:is>
      </ns0:c>
      <ns0:c r="F83" s="4" t="n">
        <ns0:v>2</ns0:v>
      </ns0:c>
      <ns0:c r="G83" s="4" t="n">
        <ns0:v>8</ns0:v>
      </ns0:c>
      <ns0:c r="H83" s="9" t="n">
        <ns0:v>95</ns0:v>
      </ns0:c>
      <ns0:c r="I83" s="9">
        <ns0:f>G83*H83</ns0:f>
        <ns0:v>760</ns0:v>
      </ns0:c>
      <ns0:c r="J83" s="9">
        <ns0:f>INDEX(Script_List!$H$2:$H$161,MATCH(B83,Script_List!$A$2:$A$161,0))</ns0:f>
        <ns0:v>200</ns0:v>
      </ns0:c>
      <ns0:c r="K83" s="4" t="inlineStr">
        <ns0:is>
          <ns0:t>城限</ns0:t>
        </ns0:is>
      </ns0:c>
      <ns0:c r="L83" s="9">
        <ns0:f>I83-J83</ns0:f>
        <ns0:v>560</ns0:v>
      </ns0:c>
      <ns0:c r="M83" s="4" t="n">
        <ns0:v>7.7</ns0:v>
      </ns0:c>
      <ns0:c r="N83" s="10">
        <ns0:f>DATE(YEAR(C83),MONTH(C83),1)</ns0:f>
        <ns0:v>45962.0</ns0:v>
      </ns0:c>
      <ns0:c r="O83" s="4" t="str">
        <ns0:f>TEXT(N83,"yyyy-mm")</ns0:f>
        <ns0:v>2025-11</ns0:v>
      </ns0:c>
    </ns0:row>
    <ns0:row r="84">
      <ns0:c r="A84" s="4" t="inlineStr">
        <ns0:is>
          <ns0:t>SES-0083</ns0:t>
        </ns0:is>
      </ns0:c>
      <ns0:c r="B84" s="4" t="inlineStr">
        <ns0:is>
          <ns0:t>SYN-035</ns0:t>
        </ns0:is>
      </ns0:c>
      <ns0:c r="C84" s="10" t="n">
        <ns0:v>45980</ns0:v>
      </ns0:c>
      <ns0:c r="D84" s="4" t="inlineStr">
        <ns0:is>
          <ns0:t>Synthetic Script 035</ns0:t>
        </ns0:is>
      </ns0:c>
      <ns0:c r="E84" s="4" t="inlineStr">
        <ns0:is>
          <ns0:t>推理</ns0:t>
        </ns0:is>
      </ns0:c>
      <ns0:c r="F84" s="4" t="n">
        <ns0:v>2</ns0:v>
      </ns0:c>
      <ns0:c r="G84" s="4" t="n">
        <ns0:v>8</ns0:v>
      </ns0:c>
      <ns0:c r="H84" s="9" t="n">
        <ns0:v>95</ns0:v>
      </ns0:c>
      <ns0:c r="I84" s="9">
        <ns0:f>G84*H84</ns0:f>
        <ns0:v>760</ns0:v>
      </ns0:c>
      <ns0:c r="J84" s="9">
        <ns0:f>INDEX(Script_List!$H$2:$H$161,MATCH(B84,Script_List!$A$2:$A$161,0))</ns0:f>
        <ns0:v>200</ns0:v>
      </ns0:c>
      <ns0:c r="K84" s="4" t="inlineStr">
        <ns0:is>
          <ns0:t>城限</ns0:t>
        </ns0:is>
      </ns0:c>
      <ns0:c r="L84" s="9">
        <ns0:f>I84-J84</ns0:f>
        <ns0:v>560</ns0:v>
      </ns0:c>
      <ns0:c r="M84" s="4" t="n">
        <ns0:v>7.7</ns0:v>
      </ns0:c>
      <ns0:c r="N84" s="10">
        <ns0:f>DATE(YEAR(C84),MONTH(C84),1)</ns0:f>
        <ns0:v>45962.0</ns0:v>
      </ns0:c>
      <ns0:c r="O84" s="4" t="str">
        <ns0:f>TEXT(N84,"yyyy-mm")</ns0:f>
        <ns0:v>2025-11</ns0:v>
      </ns0:c>
    </ns0:row>
    <ns0:row r="85">
      <ns0:c r="A85" s="4" t="inlineStr">
        <ns0:is>
          <ns0:t>SES-0084</ns0:t>
        </ns0:is>
      </ns0:c>
      <ns0:c r="B85" s="4" t="inlineStr">
        <ns0:is>
          <ns0:t>SYN-035</ns0:t>
        </ns0:is>
      </ns0:c>
      <ns0:c r="C85" s="10" t="n">
        <ns0:v>45981</ns0:v>
      </ns0:c>
      <ns0:c r="D85" s="4" t="inlineStr">
        <ns0:is>
          <ns0:t>Synthetic Script 035</ns0:t>
        </ns0:is>
      </ns0:c>
      <ns0:c r="E85" s="4" t="inlineStr">
        <ns0:is>
          <ns0:t>推理</ns0:t>
        </ns0:is>
      </ns0:c>
      <ns0:c r="F85" s="4" t="n">
        <ns0:v>2</ns0:v>
      </ns0:c>
      <ns0:c r="G85" s="4" t="n">
        <ns0:v>8</ns0:v>
      </ns0:c>
      <ns0:c r="H85" s="9" t="n">
        <ns0:v>95</ns0:v>
      </ns0:c>
      <ns0:c r="I85" s="9">
        <ns0:f>G85*H85</ns0:f>
        <ns0:v>760</ns0:v>
      </ns0:c>
      <ns0:c r="J85" s="9">
        <ns0:f>INDEX(Script_List!$H$2:$H$161,MATCH(B85,Script_List!$A$2:$A$161,0))</ns0:f>
        <ns0:v>200</ns0:v>
      </ns0:c>
      <ns0:c r="K85" s="4" t="inlineStr">
        <ns0:is>
          <ns0:t>城限</ns0:t>
        </ns0:is>
      </ns0:c>
      <ns0:c r="L85" s="9">
        <ns0:f>I85-J85</ns0:f>
        <ns0:v>560</ns0:v>
      </ns0:c>
      <ns0:c r="M85" s="4" t="n">
        <ns0:v>7.7</ns0:v>
      </ns0:c>
      <ns0:c r="N85" s="10">
        <ns0:f>DATE(YEAR(C85),MONTH(C85),1)</ns0:f>
        <ns0:v>45962.0</ns0:v>
      </ns0:c>
      <ns0:c r="O85" s="4" t="str">
        <ns0:f>TEXT(N85,"yyyy-mm")</ns0:f>
        <ns0:v>2025-11</ns0:v>
      </ns0:c>
    </ns0:row>
    <ns0:row r="86">
      <ns0:c r="A86" s="4" t="inlineStr">
        <ns0:is>
          <ns0:t>SES-0085</ns0:t>
        </ns0:is>
      </ns0:c>
      <ns0:c r="B86" s="4" t="inlineStr">
        <ns0:is>
          <ns0:t>SYN-035</ns0:t>
        </ns0:is>
      </ns0:c>
      <ns0:c r="C86" s="10" t="n">
        <ns0:v>45982</ns0:v>
      </ns0:c>
      <ns0:c r="D86" s="4" t="inlineStr">
        <ns0:is>
          <ns0:t>Synthetic Script 035</ns0:t>
        </ns0:is>
      </ns0:c>
      <ns0:c r="E86" s="4" t="inlineStr">
        <ns0:is>
          <ns0:t>推理</ns0:t>
        </ns0:is>
      </ns0:c>
      <ns0:c r="F86" s="4" t="n">
        <ns0:v>2</ns0:v>
      </ns0:c>
      <ns0:c r="G86" s="4" t="n">
        <ns0:v>8</ns0:v>
      </ns0:c>
      <ns0:c r="H86" s="9" t="n">
        <ns0:v>95</ns0:v>
      </ns0:c>
      <ns0:c r="I86" s="9">
        <ns0:f>G86*H86</ns0:f>
        <ns0:v>760</ns0:v>
      </ns0:c>
      <ns0:c r="J86" s="9">
        <ns0:f>INDEX(Script_List!$H$2:$H$161,MATCH(B86,Script_List!$A$2:$A$161,0))</ns0:f>
        <ns0:v>200</ns0:v>
      </ns0:c>
      <ns0:c r="K86" s="4" t="inlineStr">
        <ns0:is>
          <ns0:t>城限</ns0:t>
        </ns0:is>
      </ns0:c>
      <ns0:c r="L86" s="9">
        <ns0:f>I86-J86</ns0:f>
        <ns0:v>560</ns0:v>
      </ns0:c>
      <ns0:c r="M86" s="4" t="n">
        <ns0:v>7.7</ns0:v>
      </ns0:c>
      <ns0:c r="N86" s="10">
        <ns0:f>DATE(YEAR(C86),MONTH(C86),1)</ns0:f>
        <ns0:v>45962.0</ns0:v>
      </ns0:c>
      <ns0:c r="O86" s="4" t="str">
        <ns0:f>TEXT(N86,"yyyy-mm")</ns0:f>
        <ns0:v>2025-11</ns0:v>
      </ns0:c>
    </ns0:row>
    <ns0:row r="87">
      <ns0:c r="A87" s="4" t="inlineStr">
        <ns0:is>
          <ns0:t>SES-0086</ns0:t>
        </ns0:is>
      </ns0:c>
      <ns0:c r="B87" s="4" t="inlineStr">
        <ns0:is>
          <ns0:t>SYN-035</ns0:t>
        </ns0:is>
      </ns0:c>
      <ns0:c r="C87" s="10" t="n">
        <ns0:v>45983</ns0:v>
      </ns0:c>
      <ns0:c r="D87" s="4" t="inlineStr">
        <ns0:is>
          <ns0:t>Synthetic Script 035</ns0:t>
        </ns0:is>
      </ns0:c>
      <ns0:c r="E87" s="4" t="inlineStr">
        <ns0:is>
          <ns0:t>推理</ns0:t>
        </ns0:is>
      </ns0:c>
      <ns0:c r="F87" s="4" t="n">
        <ns0:v>2</ns0:v>
      </ns0:c>
      <ns0:c r="G87" s="4" t="n">
        <ns0:v>8</ns0:v>
      </ns0:c>
      <ns0:c r="H87" s="9" t="n">
        <ns0:v>95</ns0:v>
      </ns0:c>
      <ns0:c r="I87" s="9">
        <ns0:f>G87*H87</ns0:f>
        <ns0:v>760</ns0:v>
      </ns0:c>
      <ns0:c r="J87" s="9">
        <ns0:f>INDEX(Script_List!$H$2:$H$161,MATCH(B87,Script_List!$A$2:$A$161,0))</ns0:f>
        <ns0:v>200</ns0:v>
      </ns0:c>
      <ns0:c r="K87" s="4" t="inlineStr">
        <ns0:is>
          <ns0:t>城限</ns0:t>
        </ns0:is>
      </ns0:c>
      <ns0:c r="L87" s="9">
        <ns0:f>I87-J87</ns0:f>
        <ns0:v>560</ns0:v>
      </ns0:c>
      <ns0:c r="M87" s="4" t="n">
        <ns0:v>7.7</ns0:v>
      </ns0:c>
      <ns0:c r="N87" s="10">
        <ns0:f>DATE(YEAR(C87),MONTH(C87),1)</ns0:f>
        <ns0:v>45962.0</ns0:v>
      </ns0:c>
      <ns0:c r="O87" s="4" t="str">
        <ns0:f>TEXT(N87,"yyyy-mm")</ns0:f>
        <ns0:v>2025-11</ns0:v>
      </ns0:c>
    </ns0:row>
    <ns0:row r="88">
      <ns0:c r="A88" s="4" t="inlineStr">
        <ns0:is>
          <ns0:t>SES-0087</ns0:t>
        </ns0:is>
      </ns0:c>
      <ns0:c r="B88" s="4" t="inlineStr">
        <ns0:is>
          <ns0:t>SYN-036</ns0:t>
        </ns0:is>
      </ns0:c>
      <ns0:c r="C88" s="10" t="n">
        <ns0:v>45984</ns0:v>
      </ns0:c>
      <ns0:c r="D88" s="4" t="inlineStr">
        <ns0:is>
          <ns0:t>Synthetic Script 036</ns0:t>
        </ns0:is>
      </ns0:c>
      <ns0:c r="E88" s="4" t="inlineStr">
        <ns0:is>
          <ns0:t>情感</ns0:t>
        </ns0:is>
      </ns0:c>
      <ns0:c r="F88" s="4" t="n">
        <ns0:v>2</ns0:v>
      </ns0:c>
      <ns0:c r="G88" s="4" t="n">
        <ns0:v>6</ns0:v>
      </ns0:c>
      <ns0:c r="H88" s="9" t="n">
        <ns0:v>138</ns0:v>
      </ns0:c>
      <ns0:c r="I88" s="9">
        <ns0:f>G88*H88</ns0:f>
        <ns0:v>828</ns0:v>
      </ns0:c>
      <ns0:c r="J88" s="9">
        <ns0:f>INDEX(Script_List!$H$2:$H$161,MATCH(B88,Script_List!$A$2:$A$161,0))</ns0:f>
        <ns0:v>180</ns0:v>
      </ns0:c>
      <ns0:c r="K88" s="4" t="inlineStr">
        <ns0:is>
          <ns0:t>盒装</ns0:t>
        </ns0:is>
      </ns0:c>
      <ns0:c r="L88" s="9">
        <ns0:f>I88-J88</ns0:f>
        <ns0:v>648</ns0:v>
      </ns0:c>
      <ns0:c r="M88" s="4" t="n">
        <ns0:v>8.4</ns0:v>
      </ns0:c>
      <ns0:c r="N88" s="10">
        <ns0:f>DATE(YEAR(C88),MONTH(C88),1)</ns0:f>
        <ns0:v>45962.0</ns0:v>
      </ns0:c>
      <ns0:c r="O88" s="4" t="str">
        <ns0:f>TEXT(N88,"yyyy-mm")</ns0:f>
        <ns0:v>2025-11</ns0:v>
      </ns0:c>
    </ns0:row>
    <ns0:row r="89">
      <ns0:c r="A89" s="4" t="inlineStr">
        <ns0:is>
          <ns0:t>SES-0088</ns0:t>
        </ns0:is>
      </ns0:c>
      <ns0:c r="B89" s="4" t="inlineStr">
        <ns0:is>
          <ns0:t>SYN-037</ns0:t>
        </ns0:is>
      </ns0:c>
      <ns0:c r="C89" s="10" t="n">
        <ns0:v>45985</ns0:v>
      </ns0:c>
      <ns0:c r="D89" s="4" t="inlineStr">
        <ns0:is>
          <ns0:t>Synthetic Script 037</ns0:t>
        </ns0:is>
      </ns0:c>
      <ns0:c r="E89" s="4" t="inlineStr">
        <ns0:is>
          <ns0:t>机制</ns0:t>
        </ns0:is>
      </ns0:c>
      <ns0:c r="F89" s="4" t="n">
        <ns0:v>1</ns0:v>
      </ns0:c>
      <ns0:c r="G89" s="4" t="n">
        <ns0:v>6</ns0:v>
      </ns0:c>
      <ns0:c r="H89" s="9" t="n">
        <ns0:v>109</ns0:v>
      </ns0:c>
      <ns0:c r="I89" s="9">
        <ns0:f>G89*H89</ns0:f>
        <ns0:v>654</ns0:v>
      </ns0:c>
      <ns0:c r="J89" s="9">
        <ns0:f>INDEX(Script_List!$H$2:$H$161,MATCH(B89,Script_List!$A$2:$A$161,0))</ns0:f>
        <ns0:v>172</ns0:v>
      </ns0:c>
      <ns0:c r="K89" s="4" t="inlineStr">
        <ns0:is>
          <ns0:t>城限</ns0:t>
        </ns0:is>
      </ns0:c>
      <ns0:c r="L89" s="9">
        <ns0:f>I89-J89</ns0:f>
        <ns0:v>482</ns0:v>
      </ns0:c>
      <ns0:c r="M89" s="4" t="n">
        <ns0:v>7</ns0:v>
      </ns0:c>
      <ns0:c r="N89" s="10">
        <ns0:f>DATE(YEAR(C89),MONTH(C89),1)</ns0:f>
        <ns0:v>45962.0</ns0:v>
      </ns0:c>
      <ns0:c r="O89" s="4" t="str">
        <ns0:f>TEXT(N89,"yyyy-mm")</ns0:f>
        <ns0:v>2025-11</ns0:v>
      </ns0:c>
    </ns0:row>
    <ns0:row r="90">
      <ns0:c r="A90" s="4" t="inlineStr">
        <ns0:is>
          <ns0:t>SES-0089</ns0:t>
        </ns0:is>
      </ns0:c>
      <ns0:c r="B90" s="4" t="inlineStr">
        <ns0:is>
          <ns0:t>SYN-037</ns0:t>
        </ns0:is>
      </ns0:c>
      <ns0:c r="C90" s="10" t="n">
        <ns0:v>45986</ns0:v>
      </ns0:c>
      <ns0:c r="D90" s="4" t="inlineStr">
        <ns0:is>
          <ns0:t>Synthetic Script 037</ns0:t>
        </ns0:is>
      </ns0:c>
      <ns0:c r="E90" s="4" t="inlineStr">
        <ns0:is>
          <ns0:t>机制</ns0:t>
        </ns0:is>
      </ns0:c>
      <ns0:c r="F90" s="4" t="n">
        <ns0:v>1</ns0:v>
      </ns0:c>
      <ns0:c r="G90" s="4" t="n">
        <ns0:v>6</ns0:v>
      </ns0:c>
      <ns0:c r="H90" s="9" t="n">
        <ns0:v>109</ns0:v>
      </ns0:c>
      <ns0:c r="I90" s="9">
        <ns0:f>G90*H90</ns0:f>
        <ns0:v>654</ns0:v>
      </ns0:c>
      <ns0:c r="J90" s="9">
        <ns0:f>INDEX(Script_List!$H$2:$H$161,MATCH(B90,Script_List!$A$2:$A$161,0))</ns0:f>
        <ns0:v>172</ns0:v>
      </ns0:c>
      <ns0:c r="K90" s="4" t="inlineStr">
        <ns0:is>
          <ns0:t>城限</ns0:t>
        </ns0:is>
      </ns0:c>
      <ns0:c r="L90" s="9">
        <ns0:f>I90-J90</ns0:f>
        <ns0:v>482</ns0:v>
      </ns0:c>
      <ns0:c r="M90" s="4" t="n">
        <ns0:v>7</ns0:v>
      </ns0:c>
      <ns0:c r="N90" s="10">
        <ns0:f>DATE(YEAR(C90),MONTH(C90),1)</ns0:f>
        <ns0:v>45962.0</ns0:v>
      </ns0:c>
      <ns0:c r="O90" s="4" t="str">
        <ns0:f>TEXT(N90,"yyyy-mm")</ns0:f>
        <ns0:v>2025-11</ns0:v>
      </ns0:c>
    </ns0:row>
    <ns0:row r="91">
      <ns0:c r="A91" s="4" t="inlineStr">
        <ns0:is>
          <ns0:t>SES-0090</ns0:t>
        </ns0:is>
      </ns0:c>
      <ns0:c r="B91" s="4" t="inlineStr">
        <ns0:is>
          <ns0:t>SYN-037</ns0:t>
        </ns0:is>
      </ns0:c>
      <ns0:c r="C91" s="10" t="n">
        <ns0:v>45987</ns0:v>
      </ns0:c>
      <ns0:c r="D91" s="4" t="inlineStr">
        <ns0:is>
          <ns0:t>Synthetic Script 037</ns0:t>
        </ns0:is>
      </ns0:c>
      <ns0:c r="E91" s="4" t="inlineStr">
        <ns0:is>
          <ns0:t>机制</ns0:t>
        </ns0:is>
      </ns0:c>
      <ns0:c r="F91" s="4" t="n">
        <ns0:v>1</ns0:v>
      </ns0:c>
      <ns0:c r="G91" s="4" t="n">
        <ns0:v>6</ns0:v>
      </ns0:c>
      <ns0:c r="H91" s="9" t="n">
        <ns0:v>109</ns0:v>
      </ns0:c>
      <ns0:c r="I91" s="9">
        <ns0:f>G91*H91</ns0:f>
        <ns0:v>654</ns0:v>
      </ns0:c>
      <ns0:c r="J91" s="9">
        <ns0:f>INDEX(Script_List!$H$2:$H$161,MATCH(B91,Script_List!$A$2:$A$161,0))</ns0:f>
        <ns0:v>172</ns0:v>
      </ns0:c>
      <ns0:c r="K91" s="4" t="inlineStr">
        <ns0:is>
          <ns0:t>城限</ns0:t>
        </ns0:is>
      </ns0:c>
      <ns0:c r="L91" s="9">
        <ns0:f>I91-J91</ns0:f>
        <ns0:v>482</ns0:v>
      </ns0:c>
      <ns0:c r="M91" s="4" t="n">
        <ns0:v>7</ns0:v>
      </ns0:c>
      <ns0:c r="N91" s="10">
        <ns0:f>DATE(YEAR(C91),MONTH(C91),1)</ns0:f>
        <ns0:v>45962.0</ns0:v>
      </ns0:c>
      <ns0:c r="O91" s="4" t="str">
        <ns0:f>TEXT(N91,"yyyy-mm")</ns0:f>
        <ns0:v>2025-11</ns0:v>
      </ns0:c>
    </ns0:row>
    <ns0:row r="92">
      <ns0:c r="A92" s="4" t="inlineStr">
        <ns0:is>
          <ns0:t>SES-0091</ns0:t>
        </ns0:is>
      </ns0:c>
      <ns0:c r="B92" s="4" t="inlineStr">
        <ns0:is>
          <ns0:t>SYN-038</ns0:t>
        </ns0:is>
      </ns0:c>
      <ns0:c r="C92" s="10" t="n">
        <ns0:v>45988</ns0:v>
      </ns0:c>
      <ns0:c r="D92" s="4" t="inlineStr">
        <ns0:is>
          <ns0:t>Synthetic Script 038</ns0:t>
        </ns0:is>
      </ns0:c>
      <ns0:c r="E92" s="4" t="inlineStr">
        <ns0:is>
          <ns0:t>推理</ns0:t>
        </ns0:is>
      </ns0:c>
      <ns0:c r="F92" s="4" t="n">
        <ns0:v>1</ns0:v>
      </ns0:c>
      <ns0:c r="G92" s="4" t="n">
        <ns0:v>6</ns0:v>
      </ns0:c>
      <ns0:c r="H92" s="9" t="n">
        <ns0:v>75</ns0:v>
      </ns0:c>
      <ns0:c r="I92" s="9">
        <ns0:f>G92*H92</ns0:f>
        <ns0:v>450</ns0:v>
      </ns0:c>
      <ns0:c r="J92" s="9">
        <ns0:f>INDEX(Script_List!$H$2:$H$161,MATCH(B92,Script_List!$A$2:$A$161,0))</ns0:f>
        <ns0:v>118</ns0:v>
      </ns0:c>
      <ns0:c r="K92" s="4" t="inlineStr">
        <ns0:is>
          <ns0:t>盒装</ns0:t>
        </ns0:is>
      </ns0:c>
      <ns0:c r="L92" s="9">
        <ns0:f>I92-J92</ns0:f>
        <ns0:v>332</ns0:v>
      </ns0:c>
      <ns0:c r="M92" s="4" t="n">
        <ns0:v>7.7</ns0:v>
      </ns0:c>
      <ns0:c r="N92" s="10">
        <ns0:f>DATE(YEAR(C92),MONTH(C92),1)</ns0:f>
        <ns0:v>45962.0</ns0:v>
      </ns0:c>
      <ns0:c r="O92" s="4" t="str">
        <ns0:f>TEXT(N92,"yyyy-mm")</ns0:f>
        <ns0:v>2025-11</ns0:v>
      </ns0:c>
    </ns0:row>
    <ns0:row r="93">
      <ns0:c r="A93" s="4" t="inlineStr">
        <ns0:is>
          <ns0:t>SES-0092</ns0:t>
        </ns0:is>
      </ns0:c>
      <ns0:c r="B93" s="4" t="inlineStr">
        <ns0:is>
          <ns0:t>SYN-038</ns0:t>
        </ns0:is>
      </ns0:c>
      <ns0:c r="C93" s="10" t="n">
        <ns0:v>45989</ns0:v>
      </ns0:c>
      <ns0:c r="D93" s="4" t="inlineStr">
        <ns0:is>
          <ns0:t>Synthetic Script 038</ns0:t>
        </ns0:is>
      </ns0:c>
      <ns0:c r="E93" s="4" t="inlineStr">
        <ns0:is>
          <ns0:t>推理</ns0:t>
        </ns0:is>
      </ns0:c>
      <ns0:c r="F93" s="4" t="n">
        <ns0:v>1</ns0:v>
      </ns0:c>
      <ns0:c r="G93" s="4" t="n">
        <ns0:v>6</ns0:v>
      </ns0:c>
      <ns0:c r="H93" s="9" t="n">
        <ns0:v>75</ns0:v>
      </ns0:c>
      <ns0:c r="I93" s="9">
        <ns0:f>G93*H93</ns0:f>
        <ns0:v>450</ns0:v>
      </ns0:c>
      <ns0:c r="J93" s="9">
        <ns0:f>INDEX(Script_List!$H$2:$H$161,MATCH(B93,Script_List!$A$2:$A$161,0))</ns0:f>
        <ns0:v>118</ns0:v>
      </ns0:c>
      <ns0:c r="K93" s="4" t="inlineStr">
        <ns0:is>
          <ns0:t>盒装</ns0:t>
        </ns0:is>
      </ns0:c>
      <ns0:c r="L93" s="9">
        <ns0:f>I93-J93</ns0:f>
        <ns0:v>332</ns0:v>
      </ns0:c>
      <ns0:c r="M93" s="4" t="n">
        <ns0:v>7.7</ns0:v>
      </ns0:c>
      <ns0:c r="N93" s="10">
        <ns0:f>DATE(YEAR(C93),MONTH(C93),1)</ns0:f>
        <ns0:v>45962.0</ns0:v>
      </ns0:c>
      <ns0:c r="O93" s="4" t="str">
        <ns0:f>TEXT(N93,"yyyy-mm")</ns0:f>
        <ns0:v>2025-11</ns0:v>
      </ns0:c>
    </ns0:row>
    <ns0:row r="94">
      <ns0:c r="A94" s="4" t="inlineStr">
        <ns0:is>
          <ns0:t>SES-0093</ns0:t>
        </ns0:is>
      </ns0:c>
      <ns0:c r="B94" s="4" t="inlineStr">
        <ns0:is>
          <ns0:t>SYN-038</ns0:t>
        </ns0:is>
      </ns0:c>
      <ns0:c r="C94" s="10" t="n">
        <ns0:v>45990</ns0:v>
      </ns0:c>
      <ns0:c r="D94" s="4" t="inlineStr">
        <ns0:is>
          <ns0:t>Synthetic Script 038</ns0:t>
        </ns0:is>
      </ns0:c>
      <ns0:c r="E94" s="4" t="inlineStr">
        <ns0:is>
          <ns0:t>推理</ns0:t>
        </ns0:is>
      </ns0:c>
      <ns0:c r="F94" s="4" t="n">
        <ns0:v>1</ns0:v>
      </ns0:c>
      <ns0:c r="G94" s="4" t="n">
        <ns0:v>6</ns0:v>
      </ns0:c>
      <ns0:c r="H94" s="9" t="n">
        <ns0:v>75</ns0:v>
      </ns0:c>
      <ns0:c r="I94" s="9">
        <ns0:f>G94*H94</ns0:f>
        <ns0:v>450</ns0:v>
      </ns0:c>
      <ns0:c r="J94" s="9">
        <ns0:f>INDEX(Script_List!$H$2:$H$161,MATCH(B94,Script_List!$A$2:$A$161,0))</ns0:f>
        <ns0:v>118</ns0:v>
      </ns0:c>
      <ns0:c r="K94" s="4" t="inlineStr">
        <ns0:is>
          <ns0:t>盒装</ns0:t>
        </ns0:is>
      </ns0:c>
      <ns0:c r="L94" s="9">
        <ns0:f>I94-J94</ns0:f>
        <ns0:v>332</ns0:v>
      </ns0:c>
      <ns0:c r="M94" s="4" t="n">
        <ns0:v>7.7</ns0:v>
      </ns0:c>
      <ns0:c r="N94" s="10">
        <ns0:f>DATE(YEAR(C94),MONTH(C94),1)</ns0:f>
        <ns0:v>45962.0</ns0:v>
      </ns0:c>
      <ns0:c r="O94" s="4" t="str">
        <ns0:f>TEXT(N94,"yyyy-mm")</ns0:f>
        <ns0:v>2025-11</ns0:v>
      </ns0:c>
    </ns0:row>
    <ns0:row r="95">
      <ns0:c r="A95" s="4" t="inlineStr">
        <ns0:is>
          <ns0:t>SES-0094</ns0:t>
        </ns0:is>
      </ns0:c>
      <ns0:c r="B95" s="4" t="inlineStr">
        <ns0:is>
          <ns0:t>SYN-038</ns0:t>
        </ns0:is>
      </ns0:c>
      <ns0:c r="C95" s="10" t="n">
        <ns0:v>45991</ns0:v>
      </ns0:c>
      <ns0:c r="D95" s="4" t="inlineStr">
        <ns0:is>
          <ns0:t>Synthetic Script 038</ns0:t>
        </ns0:is>
      </ns0:c>
      <ns0:c r="E95" s="4" t="inlineStr">
        <ns0:is>
          <ns0:t>推理</ns0:t>
        </ns0:is>
      </ns0:c>
      <ns0:c r="F95" s="4" t="n">
        <ns0:v>1</ns0:v>
      </ns0:c>
      <ns0:c r="G95" s="4" t="n">
        <ns0:v>6</ns0:v>
      </ns0:c>
      <ns0:c r="H95" s="9" t="n">
        <ns0:v>75</ns0:v>
      </ns0:c>
      <ns0:c r="I95" s="9">
        <ns0:f>G95*H95</ns0:f>
        <ns0:v>450</ns0:v>
      </ns0:c>
      <ns0:c r="J95" s="9">
        <ns0:f>INDEX(Script_List!$H$2:$H$161,MATCH(B95,Script_List!$A$2:$A$161,0))</ns0:f>
        <ns0:v>118</ns0:v>
      </ns0:c>
      <ns0:c r="K95" s="4" t="inlineStr">
        <ns0:is>
          <ns0:t>盒装</ns0:t>
        </ns0:is>
      </ns0:c>
      <ns0:c r="L95" s="9">
        <ns0:f>I95-J95</ns0:f>
        <ns0:v>332</ns0:v>
      </ns0:c>
      <ns0:c r="M95" s="4" t="n">
        <ns0:v>7.7</ns0:v>
      </ns0:c>
      <ns0:c r="N95" s="10">
        <ns0:f>DATE(YEAR(C95),MONTH(C95),1)</ns0:f>
        <ns0:v>45962.0</ns0:v>
      </ns0:c>
      <ns0:c r="O95" s="4" t="str">
        <ns0:f>TEXT(N95,"yyyy-mm")</ns0:f>
        <ns0:v>2025-11</ns0:v>
      </ns0:c>
    </ns0:row>
    <ns0:row r="96">
      <ns0:c r="A96" s="4" t="inlineStr">
        <ns0:is>
          <ns0:t>SES-0095</ns0:t>
        </ns0:is>
      </ns0:c>
      <ns0:c r="B96" s="4" t="inlineStr">
        <ns0:is>
          <ns0:t>SYN-038</ns0:t>
        </ns0:is>
      </ns0:c>
      <ns0:c r="C96" s="10" t="n">
        <ns0:v>45992</ns0:v>
      </ns0:c>
      <ns0:c r="D96" s="4" t="inlineStr">
        <ns0:is>
          <ns0:t>Synthetic Script 038</ns0:t>
        </ns0:is>
      </ns0:c>
      <ns0:c r="E96" s="4" t="inlineStr">
        <ns0:is>
          <ns0:t>推理</ns0:t>
        </ns0:is>
      </ns0:c>
      <ns0:c r="F96" s="4" t="n">
        <ns0:v>1</ns0:v>
      </ns0:c>
      <ns0:c r="G96" s="4" t="n">
        <ns0:v>6</ns0:v>
      </ns0:c>
      <ns0:c r="H96" s="9" t="n">
        <ns0:v>75</ns0:v>
      </ns0:c>
      <ns0:c r="I96" s="9">
        <ns0:f>G96*H96</ns0:f>
        <ns0:v>450</ns0:v>
      </ns0:c>
      <ns0:c r="J96" s="9">
        <ns0:f>INDEX(Script_List!$H$2:$H$161,MATCH(B96,Script_List!$A$2:$A$161,0))</ns0:f>
        <ns0:v>118</ns0:v>
      </ns0:c>
      <ns0:c r="K96" s="4" t="inlineStr">
        <ns0:is>
          <ns0:t>盒装</ns0:t>
        </ns0:is>
      </ns0:c>
      <ns0:c r="L96" s="9">
        <ns0:f>I96-J96</ns0:f>
        <ns0:v>332</ns0:v>
      </ns0:c>
      <ns0:c r="M96" s="4" t="n">
        <ns0:v>7.7</ns0:v>
      </ns0:c>
      <ns0:c r="N96" s="10">
        <ns0:f>DATE(YEAR(C96),MONTH(C96),1)</ns0:f>
        <ns0:v>45992.0</ns0:v>
      </ns0:c>
      <ns0:c r="O96" s="4" t="str">
        <ns0:f>TEXT(N96,"yyyy-mm")</ns0:f>
        <ns0:v>2025-12</ns0:v>
      </ns0:c>
    </ns0:row>
    <ns0:row r="97">
      <ns0:c r="A97" s="4" t="inlineStr">
        <ns0:is>
          <ns0:t>SES-0096</ns0:t>
        </ns0:is>
      </ns0:c>
      <ns0:c r="B97" s="4" t="inlineStr">
        <ns0:is>
          <ns0:t>SYN-038</ns0:t>
        </ns0:is>
      </ns0:c>
      <ns0:c r="C97" s="10" t="n">
        <ns0:v>45993</ns0:v>
      </ns0:c>
      <ns0:c r="D97" s="4" t="inlineStr">
        <ns0:is>
          <ns0:t>Synthetic Script 038</ns0:t>
        </ns0:is>
      </ns0:c>
      <ns0:c r="E97" s="4" t="inlineStr">
        <ns0:is>
          <ns0:t>推理</ns0:t>
        </ns0:is>
      </ns0:c>
      <ns0:c r="F97" s="4" t="n">
        <ns0:v>1</ns0:v>
      </ns0:c>
      <ns0:c r="G97" s="4" t="n">
        <ns0:v>6</ns0:v>
      </ns0:c>
      <ns0:c r="H97" s="9" t="n">
        <ns0:v>75</ns0:v>
      </ns0:c>
      <ns0:c r="I97" s="9">
        <ns0:f>G97*H97</ns0:f>
        <ns0:v>450</ns0:v>
      </ns0:c>
      <ns0:c r="J97" s="9">
        <ns0:f>INDEX(Script_List!$H$2:$H$161,MATCH(B97,Script_List!$A$2:$A$161,0))</ns0:f>
        <ns0:v>118</ns0:v>
      </ns0:c>
      <ns0:c r="K97" s="4" t="inlineStr">
        <ns0:is>
          <ns0:t>盒装</ns0:t>
        </ns0:is>
      </ns0:c>
      <ns0:c r="L97" s="9">
        <ns0:f>I97-J97</ns0:f>
        <ns0:v>332</ns0:v>
      </ns0:c>
      <ns0:c r="M97" s="4" t="n">
        <ns0:v>7.7</ns0:v>
      </ns0:c>
      <ns0:c r="N97" s="10">
        <ns0:f>DATE(YEAR(C97),MONTH(C97),1)</ns0:f>
        <ns0:v>45992.0</ns0:v>
      </ns0:c>
      <ns0:c r="O97" s="4" t="str">
        <ns0:f>TEXT(N97,"yyyy-mm")</ns0:f>
        <ns0:v>2025-12</ns0:v>
      </ns0:c>
    </ns0:row>
    <ns0:row r="98">
      <ns0:c r="A98" s="4" t="inlineStr">
        <ns0:is>
          <ns0:t>SES-0097</ns0:t>
        </ns0:is>
      </ns0:c>
      <ns0:c r="B98" s="4" t="inlineStr">
        <ns0:is>
          <ns0:t>SYN-038</ns0:t>
        </ns0:is>
      </ns0:c>
      <ns0:c r="C98" s="10" t="n">
        <ns0:v>45994</ns0:v>
      </ns0:c>
      <ns0:c r="D98" s="4" t="inlineStr">
        <ns0:is>
          <ns0:t>Synthetic Script 038</ns0:t>
        </ns0:is>
      </ns0:c>
      <ns0:c r="E98" s="4" t="inlineStr">
        <ns0:is>
          <ns0:t>推理</ns0:t>
        </ns0:is>
      </ns0:c>
      <ns0:c r="F98" s="4" t="n">
        <ns0:v>1</ns0:v>
      </ns0:c>
      <ns0:c r="G98" s="4" t="n">
        <ns0:v>6</ns0:v>
      </ns0:c>
      <ns0:c r="H98" s="9" t="n">
        <ns0:v>75</ns0:v>
      </ns0:c>
      <ns0:c r="I98" s="9">
        <ns0:f>G98*H98</ns0:f>
        <ns0:v>450</ns0:v>
      </ns0:c>
      <ns0:c r="J98" s="9">
        <ns0:f>INDEX(Script_List!$H$2:$H$161,MATCH(B98,Script_List!$A$2:$A$161,0))</ns0:f>
        <ns0:v>118</ns0:v>
      </ns0:c>
      <ns0:c r="K98" s="4" t="inlineStr">
        <ns0:is>
          <ns0:t>盒装</ns0:t>
        </ns0:is>
      </ns0:c>
      <ns0:c r="L98" s="9">
        <ns0:f>I98-J98</ns0:f>
        <ns0:v>332</ns0:v>
      </ns0:c>
      <ns0:c r="M98" s="4" t="n">
        <ns0:v>7.7</ns0:v>
      </ns0:c>
      <ns0:c r="N98" s="10">
        <ns0:f>DATE(YEAR(C98),MONTH(C98),1)</ns0:f>
        <ns0:v>45992.0</ns0:v>
      </ns0:c>
      <ns0:c r="O98" s="4" t="str">
        <ns0:f>TEXT(N98,"yyyy-mm")</ns0:f>
        <ns0:v>2025-12</ns0:v>
      </ns0:c>
    </ns0:row>
    <ns0:row r="99">
      <ns0:c r="A99" s="4" t="inlineStr">
        <ns0:is>
          <ns0:t>SES-0098</ns0:t>
        </ns0:is>
      </ns0:c>
      <ns0:c r="B99" s="4" t="inlineStr">
        <ns0:is>
          <ns0:t>SYN-038</ns0:t>
        </ns0:is>
      </ns0:c>
      <ns0:c r="C99" s="10" t="n">
        <ns0:v>45995</ns0:v>
      </ns0:c>
      <ns0:c r="D99" s="4" t="inlineStr">
        <ns0:is>
          <ns0:t>Synthetic Script 038</ns0:t>
        </ns0:is>
      </ns0:c>
      <ns0:c r="E99" s="4" t="inlineStr">
        <ns0:is>
          <ns0:t>推理</ns0:t>
        </ns0:is>
      </ns0:c>
      <ns0:c r="F99" s="4" t="n">
        <ns0:v>1</ns0:v>
      </ns0:c>
      <ns0:c r="G99" s="4" t="n">
        <ns0:v>6</ns0:v>
      </ns0:c>
      <ns0:c r="H99" s="9" t="n">
        <ns0:v>75</ns0:v>
      </ns0:c>
      <ns0:c r="I99" s="9">
        <ns0:f>G99*H99</ns0:f>
        <ns0:v>450</ns0:v>
      </ns0:c>
      <ns0:c r="J99" s="9">
        <ns0:f>INDEX(Script_List!$H$2:$H$161,MATCH(B99,Script_List!$A$2:$A$161,0))</ns0:f>
        <ns0:v>118</ns0:v>
      </ns0:c>
      <ns0:c r="K99" s="4" t="inlineStr">
        <ns0:is>
          <ns0:t>盒装</ns0:t>
        </ns0:is>
      </ns0:c>
      <ns0:c r="L99" s="9">
        <ns0:f>I99-J99</ns0:f>
        <ns0:v>332</ns0:v>
      </ns0:c>
      <ns0:c r="M99" s="4" t="n">
        <ns0:v>7.7</ns0:v>
      </ns0:c>
      <ns0:c r="N99" s="10">
        <ns0:f>DATE(YEAR(C99),MONTH(C99),1)</ns0:f>
        <ns0:v>45992.0</ns0:v>
      </ns0:c>
      <ns0:c r="O99" s="4" t="str">
        <ns0:f>TEXT(N99,"yyyy-mm")</ns0:f>
        <ns0:v>2025-12</ns0:v>
      </ns0:c>
    </ns0:row>
    <ns0:row r="100">
      <ns0:c r="A100" s="4" t="inlineStr">
        <ns0:is>
          <ns0:t>SES-0099</ns0:t>
        </ns0:is>
      </ns0:c>
      <ns0:c r="B100" s="4" t="inlineStr">
        <ns0:is>
          <ns0:t>SYN-038</ns0:t>
        </ns0:is>
      </ns0:c>
      <ns0:c r="C100" s="10" t="n">
        <ns0:v>45996</ns0:v>
      </ns0:c>
      <ns0:c r="D100" s="4" t="inlineStr">
        <ns0:is>
          <ns0:t>Synthetic Script 038</ns0:t>
        </ns0:is>
      </ns0:c>
      <ns0:c r="E100" s="4" t="inlineStr">
        <ns0:is>
          <ns0:t>推理</ns0:t>
        </ns0:is>
      </ns0:c>
      <ns0:c r="F100" s="4" t="n">
        <ns0:v>1</ns0:v>
      </ns0:c>
      <ns0:c r="G100" s="4" t="n">
        <ns0:v>6</ns0:v>
      </ns0:c>
      <ns0:c r="H100" s="9" t="n">
        <ns0:v>75</ns0:v>
      </ns0:c>
      <ns0:c r="I100" s="9">
        <ns0:f>G100*H100</ns0:f>
        <ns0:v>450</ns0:v>
      </ns0:c>
      <ns0:c r="J100" s="9">
        <ns0:f>INDEX(Script_List!$H$2:$H$161,MATCH(B100,Script_List!$A$2:$A$161,0))</ns0:f>
        <ns0:v>118</ns0:v>
      </ns0:c>
      <ns0:c r="K100" s="4" t="inlineStr">
        <ns0:is>
          <ns0:t>盒装</ns0:t>
        </ns0:is>
      </ns0:c>
      <ns0:c r="L100" s="9">
        <ns0:f>I100-J100</ns0:f>
        <ns0:v>332</ns0:v>
      </ns0:c>
      <ns0:c r="M100" s="4" t="n">
        <ns0:v>7.7</ns0:v>
      </ns0:c>
      <ns0:c r="N100" s="10">
        <ns0:f>DATE(YEAR(C100),MONTH(C100),1)</ns0:f>
        <ns0:v>45992.0</ns0:v>
      </ns0:c>
      <ns0:c r="O100" s="4" t="str">
        <ns0:f>TEXT(N100,"yyyy-mm")</ns0:f>
        <ns0:v>2025-12</ns0:v>
      </ns0:c>
    </ns0:row>
    <ns0:row r="101">
      <ns0:c r="A101" s="4" t="inlineStr">
        <ns0:is>
          <ns0:t>SES-0100</ns0:t>
        </ns0:is>
      </ns0:c>
      <ns0:c r="B101" s="4" t="inlineStr">
        <ns0:is>
          <ns0:t>SYN-038</ns0:t>
        </ns0:is>
      </ns0:c>
      <ns0:c r="C101" s="10" t="n">
        <ns0:v>45997</ns0:v>
      </ns0:c>
      <ns0:c r="D101" s="4" t="inlineStr">
        <ns0:is>
          <ns0:t>Synthetic Script 038</ns0:t>
        </ns0:is>
      </ns0:c>
      <ns0:c r="E101" s="4" t="inlineStr">
        <ns0:is>
          <ns0:t>推理</ns0:t>
        </ns0:is>
      </ns0:c>
      <ns0:c r="F101" s="4" t="n">
        <ns0:v>1</ns0:v>
      </ns0:c>
      <ns0:c r="G101" s="4" t="n">
        <ns0:v>6</ns0:v>
      </ns0:c>
      <ns0:c r="H101" s="9" t="n">
        <ns0:v>75</ns0:v>
      </ns0:c>
      <ns0:c r="I101" s="9">
        <ns0:f>G101*H101</ns0:f>
        <ns0:v>450</ns0:v>
      </ns0:c>
      <ns0:c r="J101" s="9">
        <ns0:f>INDEX(Script_List!$H$2:$H$161,MATCH(B101,Script_List!$A$2:$A$161,0))</ns0:f>
        <ns0:v>118</ns0:v>
      </ns0:c>
      <ns0:c r="K101" s="4" t="inlineStr">
        <ns0:is>
          <ns0:t>盒装</ns0:t>
        </ns0:is>
      </ns0:c>
      <ns0:c r="L101" s="9">
        <ns0:f>I101-J101</ns0:f>
        <ns0:v>332</ns0:v>
      </ns0:c>
      <ns0:c r="M101" s="4" t="n">
        <ns0:v>7.7</ns0:v>
      </ns0:c>
      <ns0:c r="N101" s="10">
        <ns0:f>DATE(YEAR(C101),MONTH(C101),1)</ns0:f>
        <ns0:v>45992.0</ns0:v>
      </ns0:c>
      <ns0:c r="O101" s="4" t="str">
        <ns0:f>TEXT(N101,"yyyy-mm")</ns0:f>
        <ns0:v>2025-12</ns0:v>
      </ns0:c>
    </ns0:row>
    <ns0:row r="102">
      <ns0:c r="A102" s="4" t="inlineStr">
        <ns0:is>
          <ns0:t>SES-0101</ns0:t>
        </ns0:is>
      </ns0:c>
      <ns0:c r="B102" s="4" t="inlineStr">
        <ns0:is>
          <ns0:t>SYN-039</ns0:t>
        </ns0:is>
      </ns0:c>
      <ns0:c r="C102" s="10" t="n">
        <ns0:v>45998</ns0:v>
      </ns0:c>
      <ns0:c r="D102" s="4" t="inlineStr">
        <ns0:is>
          <ns0:t>Synthetic Script 039</ns0:t>
        </ns0:is>
      </ns0:c>
      <ns0:c r="E102" s="4" t="inlineStr">
        <ns0:is>
          <ns0:t>欢乐</ns0:t>
        </ns0:is>
      </ns0:c>
      <ns0:c r="F102" s="4" t="n">
        <ns0:v>3</ns0:v>
      </ns0:c>
      <ns0:c r="G102" s="4" t="n">
        <ns0:v>7</ns0:v>
      </ns0:c>
      <ns0:c r="H102" s="9" t="n">
        <ns0:v>118</ns0:v>
      </ns0:c>
      <ns0:c r="I102" s="9">
        <ns0:f>G102*H102</ns0:f>
        <ns0:v>826</ns0:v>
      </ns0:c>
      <ns0:c r="J102" s="9">
        <ns0:f>INDEX(Script_List!$H$2:$H$161,MATCH(B102,Script_List!$A$2:$A$161,0))</ns0:f>
        <ns0:v>217</ns0:v>
      </ns0:c>
      <ns0:c r="K102" s="4" t="inlineStr">
        <ns0:is>
          <ns0:t>独家</ns0:t>
        </ns0:is>
      </ns0:c>
      <ns0:c r="L102" s="9">
        <ns0:f>I102-J102</ns0:f>
        <ns0:v>609</ns0:v>
      </ns0:c>
      <ns0:c r="M102" s="4" t="n">
        <ns0:v>8.4</ns0:v>
      </ns0:c>
      <ns0:c r="N102" s="10">
        <ns0:f>DATE(YEAR(C102),MONTH(C102),1)</ns0:f>
        <ns0:v>45992.0</ns0:v>
      </ns0:c>
      <ns0:c r="O102" s="4" t="str">
        <ns0:f>TEXT(N102,"yyyy-mm")</ns0:f>
        <ns0:v>2025-12</ns0:v>
      </ns0:c>
    </ns0:row>
    <ns0:row r="103">
      <ns0:c r="A103" s="4" t="inlineStr">
        <ns0:is>
          <ns0:t>SES-0102</ns0:t>
        </ns0:is>
      </ns0:c>
      <ns0:c r="B103" s="4" t="inlineStr">
        <ns0:is>
          <ns0:t>SYN-040</ns0:t>
        </ns0:is>
      </ns0:c>
      <ns0:c r="C103" s="10" t="n">
        <ns0:v>45999</ns0:v>
      </ns0:c>
      <ns0:c r="D103" s="4" t="inlineStr">
        <ns0:is>
          <ns0:t>Synthetic Script 040</ns0:t>
        </ns0:is>
      </ns0:c>
      <ns0:c r="E103" s="4" t="inlineStr">
        <ns0:is>
          <ns0:t>情感</ns0:t>
        </ns0:is>
      </ns0:c>
      <ns0:c r="F103" s="4" t="n">
        <ns0:v>6</ns0:v>
      </ns0:c>
      <ns0:c r="G103" s="4" t="n">
        <ns0:v>8</ns0:v>
      </ns0:c>
      <ns0:c r="H103" s="9" t="n">
        <ns0:v>138</ns0:v>
      </ns0:c>
      <ns0:c r="I103" s="9">
        <ns0:f>G103*H103</ns0:f>
        <ns0:v>1104</ns0:v>
      </ns0:c>
      <ns0:c r="J103" s="9">
        <ns0:f>INDEX(Script_List!$H$2:$H$161,MATCH(B103,Script_List!$A$2:$A$161,0))</ns0:f>
        <ns0:v>540</ns0:v>
      </ns0:c>
      <ns0:c r="K103" s="4" t="inlineStr">
        <ns0:is>
          <ns0:t>盒装</ns0:t>
        </ns0:is>
      </ns0:c>
      <ns0:c r="L103" s="9">
        <ns0:f>I103-J103</ns0:f>
        <ns0:v>564</ns0:v>
      </ns0:c>
      <ns0:c r="M103" s="4" t="n">
        <ns0:v>7</ns0:v>
      </ns0:c>
      <ns0:c r="N103" s="10">
        <ns0:f>DATE(YEAR(C103),MONTH(C103),1)</ns0:f>
        <ns0:v>45992.0</ns0:v>
      </ns0:c>
      <ns0:c r="O103" s="4" t="str">
        <ns0:f>TEXT(N103,"yyyy-mm")</ns0:f>
        <ns0:v>2025-12</ns0:v>
      </ns0:c>
    </ns0:row>
    <ns0:row r="104">
      <ns0:c r="A104" s="4" t="inlineStr">
        <ns0:is>
          <ns0:t>SES-0103</ns0:t>
        </ns0:is>
      </ns0:c>
      <ns0:c r="B104" s="4" t="inlineStr">
        <ns0:is>
          <ns0:t>SYN-040</ns0:t>
        </ns0:is>
      </ns0:c>
      <ns0:c r="C104" s="10" t="n">
        <ns0:v>46000</ns0:v>
      </ns0:c>
      <ns0:c r="D104" s="4" t="inlineStr">
        <ns0:is>
          <ns0:t>Synthetic Script 040</ns0:t>
        </ns0:is>
      </ns0:c>
      <ns0:c r="E104" s="4" t="inlineStr">
        <ns0:is>
          <ns0:t>情感</ns0:t>
        </ns0:is>
      </ns0:c>
      <ns0:c r="F104" s="4" t="n">
        <ns0:v>6</ns0:v>
      </ns0:c>
      <ns0:c r="G104" s="4" t="n">
        <ns0:v>8</ns0:v>
      </ns0:c>
      <ns0:c r="H104" s="9" t="n">
        <ns0:v>138</ns0:v>
      </ns0:c>
      <ns0:c r="I104" s="9">
        <ns0:f>G104*H104</ns0:f>
        <ns0:v>1104</ns0:v>
      </ns0:c>
      <ns0:c r="J104" s="9">
        <ns0:f>INDEX(Script_List!$H$2:$H$161,MATCH(B104,Script_List!$A$2:$A$161,0))</ns0:f>
        <ns0:v>540</ns0:v>
      </ns0:c>
      <ns0:c r="K104" s="4" t="inlineStr">
        <ns0:is>
          <ns0:t>盒装</ns0:t>
        </ns0:is>
      </ns0:c>
      <ns0:c r="L104" s="9">
        <ns0:f>I104-J104</ns0:f>
        <ns0:v>564</ns0:v>
      </ns0:c>
      <ns0:c r="M104" s="4" t="n">
        <ns0:v>7</ns0:v>
      </ns0:c>
      <ns0:c r="N104" s="10">
        <ns0:f>DATE(YEAR(C104),MONTH(C104),1)</ns0:f>
        <ns0:v>45992.0</ns0:v>
      </ns0:c>
      <ns0:c r="O104" s="4" t="str">
        <ns0:f>TEXT(N104,"yyyy-mm")</ns0:f>
        <ns0:v>2025-12</ns0:v>
      </ns0:c>
    </ns0:row>
    <ns0:row r="105">
      <ns0:c r="A105" s="4" t="inlineStr">
        <ns0:is>
          <ns0:t>SES-0104</ns0:t>
        </ns0:is>
      </ns0:c>
      <ns0:c r="B105" s="4" t="inlineStr">
        <ns0:is>
          <ns0:t>SYN-040</ns0:t>
        </ns0:is>
      </ns0:c>
      <ns0:c r="C105" s="10" t="n">
        <ns0:v>46001</ns0:v>
      </ns0:c>
      <ns0:c r="D105" s="4" t="inlineStr">
        <ns0:is>
          <ns0:t>Synthetic Script 040</ns0:t>
        </ns0:is>
      </ns0:c>
      <ns0:c r="E105" s="4" t="inlineStr">
        <ns0:is>
          <ns0:t>情感</ns0:t>
        </ns0:is>
      </ns0:c>
      <ns0:c r="F105" s="4" t="n">
        <ns0:v>6</ns0:v>
      </ns0:c>
      <ns0:c r="G105" s="4" t="n">
        <ns0:v>8</ns0:v>
      </ns0:c>
      <ns0:c r="H105" s="9" t="n">
        <ns0:v>138</ns0:v>
      </ns0:c>
      <ns0:c r="I105" s="9">
        <ns0:f>G105*H105</ns0:f>
        <ns0:v>1104</ns0:v>
      </ns0:c>
      <ns0:c r="J105" s="9">
        <ns0:f>INDEX(Script_List!$H$2:$H$161,MATCH(B105,Script_List!$A$2:$A$161,0))</ns0:f>
        <ns0:v>540</ns0:v>
      </ns0:c>
      <ns0:c r="K105" s="4" t="inlineStr">
        <ns0:is>
          <ns0:t>盒装</ns0:t>
        </ns0:is>
      </ns0:c>
      <ns0:c r="L105" s="9">
        <ns0:f>I105-J105</ns0:f>
        <ns0:v>564</ns0:v>
      </ns0:c>
      <ns0:c r="M105" s="4" t="n">
        <ns0:v>7</ns0:v>
      </ns0:c>
      <ns0:c r="N105" s="10">
        <ns0:f>DATE(YEAR(C105),MONTH(C105),1)</ns0:f>
        <ns0:v>45992.0</ns0:v>
      </ns0:c>
      <ns0:c r="O105" s="4" t="str">
        <ns0:f>TEXT(N105,"yyyy-mm")</ns0:f>
        <ns0:v>2025-12</ns0:v>
      </ns0:c>
    </ns0:row>
    <ns0:row r="106">
      <ns0:c r="A106" s="4" t="inlineStr">
        <ns0:is>
          <ns0:t>SES-0105</ns0:t>
        </ns0:is>
      </ns0:c>
      <ns0:c r="B106" s="4" t="inlineStr">
        <ns0:is>
          <ns0:t>SYN-042</ns0:t>
        </ns0:is>
      </ns0:c>
      <ns0:c r="C106" s="10" t="n">
        <ns0:v>46002</ns0:v>
      </ns0:c>
      <ns0:c r="D106" s="4" t="inlineStr">
        <ns0:is>
          <ns0:t>Synthetic Script 042</ns0:t>
        </ns0:is>
      </ns0:c>
      <ns0:c r="E106" s="4" t="inlineStr">
        <ns0:is>
          <ns0:t>推理</ns0:t>
        </ns0:is>
      </ns0:c>
      <ns0:c r="F106" s="4" t="n">
        <ns0:v>1</ns0:v>
      </ns0:c>
      <ns0:c r="G106" s="4" t="n">
        <ns0:v>6</ns0:v>
      </ns0:c>
      <ns0:c r="H106" s="9" t="n">
        <ns0:v>75</ns0:v>
      </ns0:c>
      <ns0:c r="I106" s="9">
        <ns0:f>G106*H106</ns0:f>
        <ns0:v>450</ns0:v>
      </ns0:c>
      <ns0:c r="J106" s="9">
        <ns0:f>INDEX(Script_List!$H$2:$H$161,MATCH(B106,Script_List!$A$2:$A$161,0))</ns0:f>
        <ns0:v>118</ns0:v>
      </ns0:c>
      <ns0:c r="K106" s="4" t="inlineStr">
        <ns0:is>
          <ns0:t>城限</ns0:t>
        </ns0:is>
      </ns0:c>
      <ns0:c r="L106" s="9">
        <ns0:f>I106-J106</ns0:f>
        <ns0:v>332</ns0:v>
      </ns0:c>
      <ns0:c r="M106" s="4" t="n">
        <ns0:v>8.4</ns0:v>
      </ns0:c>
      <ns0:c r="N106" s="10">
        <ns0:f>DATE(YEAR(C106),MONTH(C106),1)</ns0:f>
        <ns0:v>45992.0</ns0:v>
      </ns0:c>
      <ns0:c r="O106" s="4" t="str">
        <ns0:f>TEXT(N106,"yyyy-mm")</ns0:f>
        <ns0:v>2025-12</ns0:v>
      </ns0:c>
    </ns0:row>
    <ns0:row r="107">
      <ns0:c r="A107" s="4" t="inlineStr">
        <ns0:is>
          <ns0:t>SES-0106</ns0:t>
        </ns0:is>
      </ns0:c>
      <ns0:c r="B107" s="4" t="inlineStr">
        <ns0:is>
          <ns0:t>SYN-043</ns0:t>
        </ns0:is>
      </ns0:c>
      <ns0:c r="C107" s="10" t="n">
        <ns0:v>46003</ns0:v>
      </ns0:c>
      <ns0:c r="D107" s="4" t="inlineStr">
        <ns0:is>
          <ns0:t>Synthetic Script 043</ns0:t>
        </ns0:is>
      </ns0:c>
      <ns0:c r="E107" s="4" t="inlineStr">
        <ns0:is>
          <ns0:t>情感</ns0:t>
        </ns0:is>
      </ns0:c>
      <ns0:c r="F107" s="4" t="n">
        <ns0:v>3</ns0:v>
      </ns0:c>
      <ns0:c r="G107" s="4" t="n">
        <ns0:v>6</ns0:v>
      </ns0:c>
      <ns0:c r="H107" s="9" t="n">
        <ns0:v>118</ns0:v>
      </ns0:c>
      <ns0:c r="I107" s="9">
        <ns0:f>G107*H107</ns0:f>
        <ns0:v>708</ns0:v>
      </ns0:c>
      <ns0:c r="J107" s="9">
        <ns0:f>INDEX(Script_List!$H$2:$H$161,MATCH(B107,Script_List!$A$2:$A$161,0))</ns0:f>
        <ns0:v>270</ns0:v>
      </ns0:c>
      <ns0:c r="K107" s="4" t="inlineStr">
        <ns0:is>
          <ns0:t>盒装</ns0:t>
        </ns0:is>
      </ns0:c>
      <ns0:c r="L107" s="9">
        <ns0:f>I107-J107</ns0:f>
        <ns0:v>438</ns0:v>
      </ns0:c>
      <ns0:c r="M107" s="4" t="n">
        <ns0:v>7</ns0:v>
      </ns0:c>
      <ns0:c r="N107" s="10">
        <ns0:f>DATE(YEAR(C107),MONTH(C107),1)</ns0:f>
        <ns0:v>45992.0</ns0:v>
      </ns0:c>
      <ns0:c r="O107" s="4" t="str">
        <ns0:f>TEXT(N107,"yyyy-mm")</ns0:f>
        <ns0:v>2025-12</ns0:v>
      </ns0:c>
    </ns0:row>
    <ns0:row r="108">
      <ns0:c r="A108" s="4" t="inlineStr">
        <ns0:is>
          <ns0:t>SES-0107</ns0:t>
        </ns0:is>
      </ns0:c>
      <ns0:c r="B108" s="4" t="inlineStr">
        <ns0:is>
          <ns0:t>SYN-043</ns0:t>
        </ns0:is>
      </ns0:c>
      <ns0:c r="C108" s="10" t="n">
        <ns0:v>46004</ns0:v>
      </ns0:c>
      <ns0:c r="D108" s="4" t="inlineStr">
        <ns0:is>
          <ns0:t>Synthetic Script 043</ns0:t>
        </ns0:is>
      </ns0:c>
      <ns0:c r="E108" s="4" t="inlineStr">
        <ns0:is>
          <ns0:t>情感</ns0:t>
        </ns0:is>
      </ns0:c>
      <ns0:c r="F108" s="4" t="n">
        <ns0:v>3</ns0:v>
      </ns0:c>
      <ns0:c r="G108" s="4" t="n">
        <ns0:v>6</ns0:v>
      </ns0:c>
      <ns0:c r="H108" s="9" t="n">
        <ns0:v>118</ns0:v>
      </ns0:c>
      <ns0:c r="I108" s="9">
        <ns0:f>G108*H108</ns0:f>
        <ns0:v>708</ns0:v>
      </ns0:c>
      <ns0:c r="J108" s="9">
        <ns0:f>INDEX(Script_List!$H$2:$H$161,MATCH(B108,Script_List!$A$2:$A$161,0))</ns0:f>
        <ns0:v>270</ns0:v>
      </ns0:c>
      <ns0:c r="K108" s="4" t="inlineStr">
        <ns0:is>
          <ns0:t>盒装</ns0:t>
        </ns0:is>
      </ns0:c>
      <ns0:c r="L108" s="9">
        <ns0:f>I108-J108</ns0:f>
        <ns0:v>438</ns0:v>
      </ns0:c>
      <ns0:c r="M108" s="4" t="n">
        <ns0:v>7</ns0:v>
      </ns0:c>
      <ns0:c r="N108" s="10">
        <ns0:f>DATE(YEAR(C108),MONTH(C108),1)</ns0:f>
        <ns0:v>45992.0</ns0:v>
      </ns0:c>
      <ns0:c r="O108" s="4" t="str">
        <ns0:f>TEXT(N108,"yyyy-mm")</ns0:f>
        <ns0:v>2025-12</ns0:v>
      </ns0:c>
    </ns0:row>
    <ns0:row r="109">
      <ns0:c r="A109" s="4" t="inlineStr">
        <ns0:is>
          <ns0:t>SES-0108</ns0:t>
        </ns0:is>
      </ns0:c>
      <ns0:c r="B109" s="4" t="inlineStr">
        <ns0:is>
          <ns0:t>SYN-043</ns0:t>
        </ns0:is>
      </ns0:c>
      <ns0:c r="C109" s="10" t="n">
        <ns0:v>46005</ns0:v>
      </ns0:c>
      <ns0:c r="D109" s="4" t="inlineStr">
        <ns0:is>
          <ns0:t>Synthetic Script 043</ns0:t>
        </ns0:is>
      </ns0:c>
      <ns0:c r="E109" s="4" t="inlineStr">
        <ns0:is>
          <ns0:t>情感</ns0:t>
        </ns0:is>
      </ns0:c>
      <ns0:c r="F109" s="4" t="n">
        <ns0:v>3</ns0:v>
      </ns0:c>
      <ns0:c r="G109" s="4" t="n">
        <ns0:v>6</ns0:v>
      </ns0:c>
      <ns0:c r="H109" s="9" t="n">
        <ns0:v>118</ns0:v>
      </ns0:c>
      <ns0:c r="I109" s="9">
        <ns0:f>G109*H109</ns0:f>
        <ns0:v>708</ns0:v>
      </ns0:c>
      <ns0:c r="J109" s="9">
        <ns0:f>INDEX(Script_List!$H$2:$H$161,MATCH(B109,Script_List!$A$2:$A$161,0))</ns0:f>
        <ns0:v>270</ns0:v>
      </ns0:c>
      <ns0:c r="K109" s="4" t="inlineStr">
        <ns0:is>
          <ns0:t>盒装</ns0:t>
        </ns0:is>
      </ns0:c>
      <ns0:c r="L109" s="9">
        <ns0:f>I109-J109</ns0:f>
        <ns0:v>438</ns0:v>
      </ns0:c>
      <ns0:c r="M109" s="4" t="n">
        <ns0:v>7</ns0:v>
      </ns0:c>
      <ns0:c r="N109" s="10">
        <ns0:f>DATE(YEAR(C109),MONTH(C109),1)</ns0:f>
        <ns0:v>45992.0</ns0:v>
      </ns0:c>
      <ns0:c r="O109" s="4" t="str">
        <ns0:f>TEXT(N109,"yyyy-mm")</ns0:f>
        <ns0:v>2025-12</ns0:v>
      </ns0:c>
    </ns0:row>
    <ns0:row r="110">
      <ns0:c r="A110" s="4" t="inlineStr">
        <ns0:is>
          <ns0:t>SES-0109</ns0:t>
        </ns0:is>
      </ns0:c>
      <ns0:c r="B110" s="4" t="inlineStr">
        <ns0:is>
          <ns0:t>SYN-045</ns0:t>
        </ns0:is>
      </ns0:c>
      <ns0:c r="C110" s="10" t="n">
        <ns0:v>46006</ns0:v>
      </ns0:c>
      <ns0:c r="D110" s="4" t="inlineStr">
        <ns0:is>
          <ns0:t>Synthetic Script 045</ns0:t>
        </ns0:is>
      </ns0:c>
      <ns0:c r="E110" s="4" t="inlineStr">
        <ns0:is>
          <ns0:t>推理</ns0:t>
        </ns0:is>
      </ns0:c>
      <ns0:c r="F110" s="4" t="n">
        <ns0:v>2</ns0:v>
      </ns0:c>
      <ns0:c r="G110" s="4" t="n">
        <ns0:v>8</ns0:v>
      </ns0:c>
      <ns0:c r="H110" s="9" t="n">
        <ns0:v>65</ns0:v>
      </ns0:c>
      <ns0:c r="I110" s="9">
        <ns0:f>G110*H110</ns0:f>
        <ns0:v>520</ns0:v>
      </ns0:c>
      <ns0:c r="J110" s="9">
        <ns0:f>INDEX(Script_List!$H$2:$H$161,MATCH(B110,Script_List!$A$2:$A$161,0))</ns0:f>
        <ns0:v>137</ns0:v>
      </ns0:c>
      <ns0:c r="K110" s="4" t="inlineStr">
        <ns0:is>
          <ns0:t>城限</ns0:t>
        </ns0:is>
      </ns0:c>
      <ns0:c r="L110" s="9">
        <ns0:f>I110-J110</ns0:f>
        <ns0:v>383</ns0:v>
      </ns0:c>
      <ns0:c r="M110" s="4" t="n">
        <ns0:v>8.4</ns0:v>
      </ns0:c>
      <ns0:c r="N110" s="10">
        <ns0:f>DATE(YEAR(C110),MONTH(C110),1)</ns0:f>
        <ns0:v>45992.0</ns0:v>
      </ns0:c>
      <ns0:c r="O110" s="4" t="str">
        <ns0:f>TEXT(N110,"yyyy-mm")</ns0:f>
        <ns0:v>2025-12</ns0:v>
      </ns0:c>
    </ns0:row>
    <ns0:row r="111">
      <ns0:c r="A111" s="4" t="inlineStr">
        <ns0:is>
          <ns0:t>SES-0110</ns0:t>
        </ns0:is>
      </ns0:c>
      <ns0:c r="B111" s="4" t="inlineStr">
        <ns0:is>
          <ns0:t>SYN-045</ns0:t>
        </ns0:is>
      </ns0:c>
      <ns0:c r="C111" s="10" t="n">
        <ns0:v>46007</ns0:v>
      </ns0:c>
      <ns0:c r="D111" s="4" t="inlineStr">
        <ns0:is>
          <ns0:t>Synthetic Script 045</ns0:t>
        </ns0:is>
      </ns0:c>
      <ns0:c r="E111" s="4" t="inlineStr">
        <ns0:is>
          <ns0:t>推理</ns0:t>
        </ns0:is>
      </ns0:c>
      <ns0:c r="F111" s="4" t="n">
        <ns0:v>2</ns0:v>
      </ns0:c>
      <ns0:c r="G111" s="4" t="n">
        <ns0:v>8</ns0:v>
      </ns0:c>
      <ns0:c r="H111" s="9" t="n">
        <ns0:v>65</ns0:v>
      </ns0:c>
      <ns0:c r="I111" s="9">
        <ns0:f>G111*H111</ns0:f>
        <ns0:v>520</ns0:v>
      </ns0:c>
      <ns0:c r="J111" s="9">
        <ns0:f>INDEX(Script_List!$H$2:$H$161,MATCH(B111,Script_List!$A$2:$A$161,0))</ns0:f>
        <ns0:v>137</ns0:v>
      </ns0:c>
      <ns0:c r="K111" s="4" t="inlineStr">
        <ns0:is>
          <ns0:t>城限</ns0:t>
        </ns0:is>
      </ns0:c>
      <ns0:c r="L111" s="9">
        <ns0:f>I111-J111</ns0:f>
        <ns0:v>383</ns0:v>
      </ns0:c>
      <ns0:c r="M111" s="4" t="n">
        <ns0:v>8.4</ns0:v>
      </ns0:c>
      <ns0:c r="N111" s="10">
        <ns0:f>DATE(YEAR(C111),MONTH(C111),1)</ns0:f>
        <ns0:v>45992.0</ns0:v>
      </ns0:c>
      <ns0:c r="O111" s="4" t="str">
        <ns0:f>TEXT(N111,"yyyy-mm")</ns0:f>
        <ns0:v>2025-12</ns0:v>
      </ns0:c>
    </ns0:row>
    <ns0:row r="112">
      <ns0:c r="A112" s="4" t="inlineStr">
        <ns0:is>
          <ns0:t>SES-0111</ns0:t>
        </ns0:is>
      </ns0:c>
      <ns0:c r="B112" s="4" t="inlineStr">
        <ns0:is>
          <ns0:t>SYN-046</ns0:t>
        </ns0:is>
      </ns0:c>
      <ns0:c r="C112" s="10" t="n">
        <ns0:v>46008</ns0:v>
      </ns0:c>
      <ns0:c r="D112" s="4" t="inlineStr">
        <ns0:is>
          <ns0:t>Synthetic Script 046</ns0:t>
        </ns0:is>
      </ns0:c>
      <ns0:c r="E112" s="4" t="inlineStr">
        <ns0:is>
          <ns0:t>情感</ns0:t>
        </ns0:is>
      </ns0:c>
      <ns0:c r="F112" s="4" t="n">
        <ns0:v>2</ns0:v>
      </ns0:c>
      <ns0:c r="G112" s="4" t="n">
        <ns0:v>6</ns0:v>
      </ns0:c>
      <ns0:c r="H112" s="9" t="n">
        <ns0:v>109</ns0:v>
      </ns0:c>
      <ns0:c r="I112" s="9">
        <ns0:f>G112*H112</ns0:f>
        <ns0:v>654</ns0:v>
      </ns0:c>
      <ns0:c r="J112" s="9">
        <ns0:f>INDEX(Script_List!$H$2:$H$161,MATCH(B112,Script_List!$A$2:$A$161,0))</ns0:f>
        <ns0:v>180</ns0:v>
      </ns0:c>
      <ns0:c r="K112" s="4" t="inlineStr">
        <ns0:is>
          <ns0:t>盒装</ns0:t>
        </ns0:is>
      </ns0:c>
      <ns0:c r="L112" s="9">
        <ns0:f>I112-J112</ns0:f>
        <ns0:v>474</ns0:v>
      </ns0:c>
      <ns0:c r="M112" s="4" t="n">
        <ns0:v>7</ns0:v>
      </ns0:c>
      <ns0:c r="N112" s="10">
        <ns0:f>DATE(YEAR(C112),MONTH(C112),1)</ns0:f>
        <ns0:v>45992.0</ns0:v>
      </ns0:c>
      <ns0:c r="O112" s="4" t="str">
        <ns0:f>TEXT(N112,"yyyy-mm")</ns0:f>
        <ns0:v>2025-12</ns0:v>
      </ns0:c>
    </ns0:row>
    <ns0:row r="113">
      <ns0:c r="A113" s="4" t="inlineStr">
        <ns0:is>
          <ns0:t>SES-0112</ns0:t>
        </ns0:is>
      </ns0:c>
      <ns0:c r="B113" s="4" t="inlineStr">
        <ns0:is>
          <ns0:t>SYN-046</ns0:t>
        </ns0:is>
      </ns0:c>
      <ns0:c r="C113" s="10" t="n">
        <ns0:v>46009</ns0:v>
      </ns0:c>
      <ns0:c r="D113" s="4" t="inlineStr">
        <ns0:is>
          <ns0:t>Synthetic Script 046</ns0:t>
        </ns0:is>
      </ns0:c>
      <ns0:c r="E113" s="4" t="inlineStr">
        <ns0:is>
          <ns0:t>情感</ns0:t>
        </ns0:is>
      </ns0:c>
      <ns0:c r="F113" s="4" t="n">
        <ns0:v>2</ns0:v>
      </ns0:c>
      <ns0:c r="G113" s="4" t="n">
        <ns0:v>6</ns0:v>
      </ns0:c>
      <ns0:c r="H113" s="9" t="n">
        <ns0:v>109</ns0:v>
      </ns0:c>
      <ns0:c r="I113" s="9">
        <ns0:f>G113*H113</ns0:f>
        <ns0:v>654</ns0:v>
      </ns0:c>
      <ns0:c r="J113" s="9">
        <ns0:f>INDEX(Script_List!$H$2:$H$161,MATCH(B113,Script_List!$A$2:$A$161,0))</ns0:f>
        <ns0:v>180</ns0:v>
      </ns0:c>
      <ns0:c r="K113" s="4" t="inlineStr">
        <ns0:is>
          <ns0:t>盒装</ns0:t>
        </ns0:is>
      </ns0:c>
      <ns0:c r="L113" s="9">
        <ns0:f>I113-J113</ns0:f>
        <ns0:v>474</ns0:v>
      </ns0:c>
      <ns0:c r="M113" s="4" t="n">
        <ns0:v>7</ns0:v>
      </ns0:c>
      <ns0:c r="N113" s="10">
        <ns0:f>DATE(YEAR(C113),MONTH(C113),1)</ns0:f>
        <ns0:v>45992.0</ns0:v>
      </ns0:c>
      <ns0:c r="O113" s="4" t="str">
        <ns0:f>TEXT(N113,"yyyy-mm")</ns0:f>
        <ns0:v>2025-12</ns0:v>
      </ns0:c>
    </ns0:row>
    <ns0:row r="114">
      <ns0:c r="A114" s="4" t="inlineStr">
        <ns0:is>
          <ns0:t>SES-0113</ns0:t>
        </ns0:is>
      </ns0:c>
      <ns0:c r="B114" s="4" t="inlineStr">
        <ns0:is>
          <ns0:t>SYN-046</ns0:t>
        </ns0:is>
      </ns0:c>
      <ns0:c r="C114" s="10" t="n">
        <ns0:v>46009</ns0:v>
      </ns0:c>
      <ns0:c r="D114" s="4" t="inlineStr">
        <ns0:is>
          <ns0:t>Synthetic Script 046</ns0:t>
        </ns0:is>
      </ns0:c>
      <ns0:c r="E114" s="4" t="inlineStr">
        <ns0:is>
          <ns0:t>情感</ns0:t>
        </ns0:is>
      </ns0:c>
      <ns0:c r="F114" s="4" t="n">
        <ns0:v>2</ns0:v>
      </ns0:c>
      <ns0:c r="G114" s="4" t="n">
        <ns0:v>6</ns0:v>
      </ns0:c>
      <ns0:c r="H114" s="9" t="n">
        <ns0:v>109</ns0:v>
      </ns0:c>
      <ns0:c r="I114" s="9">
        <ns0:f>G114*H114</ns0:f>
        <ns0:v>654</ns0:v>
      </ns0:c>
      <ns0:c r="J114" s="9">
        <ns0:f>INDEX(Script_List!$H$2:$H$161,MATCH(B114,Script_List!$A$2:$A$161,0))</ns0:f>
        <ns0:v>180</ns0:v>
      </ns0:c>
      <ns0:c r="K114" s="4" t="inlineStr">
        <ns0:is>
          <ns0:t>盒装</ns0:t>
        </ns0:is>
      </ns0:c>
      <ns0:c r="L114" s="9">
        <ns0:f>I114-J114</ns0:f>
        <ns0:v>474</ns0:v>
      </ns0:c>
      <ns0:c r="M114" s="4" t="n">
        <ns0:v>7</ns0:v>
      </ns0:c>
      <ns0:c r="N114" s="10">
        <ns0:f>DATE(YEAR(C114),MONTH(C114),1)</ns0:f>
        <ns0:v>45992.0</ns0:v>
      </ns0:c>
      <ns0:c r="O114" s="4" t="str">
        <ns0:f>TEXT(N114,"yyyy-mm")</ns0:f>
        <ns0:v>2025-12</ns0:v>
      </ns0:c>
    </ns0:row>
    <ns0:row r="115">
      <ns0:c r="A115" s="4" t="inlineStr">
        <ns0:is>
          <ns0:t>SES-0114</ns0:t>
        </ns0:is>
      </ns0:c>
      <ns0:c r="B115" s="4" t="inlineStr">
        <ns0:is>
          <ns0:t>SYN-046</ns0:t>
        </ns0:is>
      </ns0:c>
      <ns0:c r="C115" s="10" t="n">
        <ns0:v>46010</ns0:v>
      </ns0:c>
      <ns0:c r="D115" s="4" t="inlineStr">
        <ns0:is>
          <ns0:t>Synthetic Script 046</ns0:t>
        </ns0:is>
      </ns0:c>
      <ns0:c r="E115" s="4" t="inlineStr">
        <ns0:is>
          <ns0:t>情感</ns0:t>
        </ns0:is>
      </ns0:c>
      <ns0:c r="F115" s="4" t="n">
        <ns0:v>2</ns0:v>
      </ns0:c>
      <ns0:c r="G115" s="4" t="n">
        <ns0:v>6</ns0:v>
      </ns0:c>
      <ns0:c r="H115" s="9" t="n">
        <ns0:v>109</ns0:v>
      </ns0:c>
      <ns0:c r="I115" s="9">
        <ns0:f>G115*H115</ns0:f>
        <ns0:v>654</ns0:v>
      </ns0:c>
      <ns0:c r="J115" s="9">
        <ns0:f>INDEX(Script_List!$H$2:$H$161,MATCH(B115,Script_List!$A$2:$A$161,0))</ns0:f>
        <ns0:v>180</ns0:v>
      </ns0:c>
      <ns0:c r="K115" s="4" t="inlineStr">
        <ns0:is>
          <ns0:t>盒装</ns0:t>
        </ns0:is>
      </ns0:c>
      <ns0:c r="L115" s="9">
        <ns0:f>I115-J115</ns0:f>
        <ns0:v>474</ns0:v>
      </ns0:c>
      <ns0:c r="M115" s="4" t="n">
        <ns0:v>7</ns0:v>
      </ns0:c>
      <ns0:c r="N115" s="10">
        <ns0:f>DATE(YEAR(C115),MONTH(C115),1)</ns0:f>
        <ns0:v>45992.0</ns0:v>
      </ns0:c>
      <ns0:c r="O115" s="4" t="str">
        <ns0:f>TEXT(N115,"yyyy-mm")</ns0:f>
        <ns0:v>2025-12</ns0:v>
      </ns0:c>
    </ns0:row>
    <ns0:row r="116">
      <ns0:c r="A116" s="4" t="inlineStr">
        <ns0:is>
          <ns0:t>SES-0115</ns0:t>
        </ns0:is>
      </ns0:c>
      <ns0:c r="B116" s="4" t="inlineStr">
        <ns0:is>
          <ns0:t>SYN-048</ns0:t>
        </ns0:is>
      </ns0:c>
      <ns0:c r="C116" s="10" t="n">
        <ns0:v>46011</ns0:v>
      </ns0:c>
      <ns0:c r="D116" s="4" t="inlineStr">
        <ns0:is>
          <ns0:t>Synthetic Script 048</ns0:t>
        </ns0:is>
      </ns0:c>
      <ns0:c r="E116" s="4" t="inlineStr">
        <ns0:is>
          <ns0:t>推理</ns0:t>
        </ns0:is>
      </ns0:c>
      <ns0:c r="F116" s="4" t="n">
        <ns0:v>1</ns0:v>
      </ns0:c>
      <ns0:c r="G116" s="4" t="n">
        <ns0:v>6</ns0:v>
      </ns0:c>
      <ns0:c r="H116" s="9" t="n">
        <ns0:v>119</ns0:v>
      </ns0:c>
      <ns0:c r="I116" s="9">
        <ns0:f>G116*H116</ns0:f>
        <ns0:v>714</ns0:v>
      </ns0:c>
      <ns0:c r="J116" s="9">
        <ns0:f>INDEX(Script_List!$H$2:$H$161,MATCH(B116,Script_List!$A$2:$A$161,0))</ns0:f>
        <ns0:v>187</ns0:v>
      </ns0:c>
      <ns0:c r="K116" s="4" t="inlineStr">
        <ns0:is>
          <ns0:t>盒装</ns0:t>
        </ns0:is>
      </ns0:c>
      <ns0:c r="L116" s="9">
        <ns0:f>I116-J116</ns0:f>
        <ns0:v>527</ns0:v>
      </ns0:c>
      <ns0:c r="M116" s="4" t="n">
        <ns0:v>8.4</ns0:v>
      </ns0:c>
      <ns0:c r="N116" s="10">
        <ns0:f>DATE(YEAR(C116),MONTH(C116),1)</ns0:f>
        <ns0:v>45992.0</ns0:v>
      </ns0:c>
      <ns0:c r="O116" s="4" t="str">
        <ns0:f>TEXT(N116,"yyyy-mm")</ns0:f>
        <ns0:v>2025-12</ns0:v>
      </ns0:c>
    </ns0:row>
    <ns0:row r="117">
      <ns0:c r="A117" s="4" t="inlineStr">
        <ns0:is>
          <ns0:t>SES-0116</ns0:t>
        </ns0:is>
      </ns0:c>
      <ns0:c r="B117" s="4" t="inlineStr">
        <ns0:is>
          <ns0:t>SYN-048</ns0:t>
        </ns0:is>
      </ns0:c>
      <ns0:c r="C117" s="10" t="n">
        <ns0:v>46012</ns0:v>
      </ns0:c>
      <ns0:c r="D117" s="4" t="inlineStr">
        <ns0:is>
          <ns0:t>Synthetic Script 048</ns0:t>
        </ns0:is>
      </ns0:c>
      <ns0:c r="E117" s="4" t="inlineStr">
        <ns0:is>
          <ns0:t>推理</ns0:t>
        </ns0:is>
      </ns0:c>
      <ns0:c r="F117" s="4" t="n">
        <ns0:v>1</ns0:v>
      </ns0:c>
      <ns0:c r="G117" s="4" t="n">
        <ns0:v>6</ns0:v>
      </ns0:c>
      <ns0:c r="H117" s="9" t="n">
        <ns0:v>119</ns0:v>
      </ns0:c>
      <ns0:c r="I117" s="9">
        <ns0:f>G117*H117</ns0:f>
        <ns0:v>714</ns0:v>
      </ns0:c>
      <ns0:c r="J117" s="9">
        <ns0:f>INDEX(Script_List!$H$2:$H$161,MATCH(B117,Script_List!$A$2:$A$161,0))</ns0:f>
        <ns0:v>187</ns0:v>
      </ns0:c>
      <ns0:c r="K117" s="4" t="inlineStr">
        <ns0:is>
          <ns0:t>盒装</ns0:t>
        </ns0:is>
      </ns0:c>
      <ns0:c r="L117" s="9">
        <ns0:f>I117-J117</ns0:f>
        <ns0:v>527</ns0:v>
      </ns0:c>
      <ns0:c r="M117" s="4" t="n">
        <ns0:v>8.4</ns0:v>
      </ns0:c>
      <ns0:c r="N117" s="10">
        <ns0:f>DATE(YEAR(C117),MONTH(C117),1)</ns0:f>
        <ns0:v>45992.0</ns0:v>
      </ns0:c>
      <ns0:c r="O117" s="4" t="str">
        <ns0:f>TEXT(N117,"yyyy-mm")</ns0:f>
        <ns0:v>2025-12</ns0:v>
      </ns0:c>
    </ns0:row>
    <ns0:row r="118">
      <ns0:c r="A118" s="4" t="inlineStr">
        <ns0:is>
          <ns0:t>SES-0117</ns0:t>
        </ns0:is>
      </ns0:c>
      <ns0:c r="B118" s="4" t="inlineStr">
        <ns0:is>
          <ns0:t>SYN-049</ns0:t>
        </ns0:is>
      </ns0:c>
      <ns0:c r="C118" s="10" t="n">
        <ns0:v>46013</ns0:v>
      </ns0:c>
      <ns0:c r="D118" s="4" t="inlineStr">
        <ns0:is>
          <ns0:t>Synthetic Script 049</ns0:t>
        </ns0:is>
      </ns0:c>
      <ns0:c r="E118" s="4" t="inlineStr">
        <ns0:is>
          <ns0:t>欢乐</ns0:t>
        </ns0:is>
      </ns0:c>
      <ns0:c r="F118" s="4" t="n">
        <ns0:v>3</ns0:v>
      </ns0:c>
      <ns0:c r="G118" s="4" t="n">
        <ns0:v>7</ns0:v>
      </ns0:c>
      <ns0:c r="H118" s="9" t="n">
        <ns0:v>95</ns0:v>
      </ns0:c>
      <ns0:c r="I118" s="9">
        <ns0:f>G118*H118</ns0:f>
        <ns0:v>665</ns0:v>
      </ns0:c>
      <ns0:c r="J118" s="9">
        <ns0:f>INDEX(Script_List!$H$2:$H$161,MATCH(B118,Script_List!$A$2:$A$161,0))</ns0:f>
        <ns0:v>175</ns0:v>
      </ns0:c>
      <ns0:c r="K118" s="4" t="inlineStr">
        <ns0:is>
          <ns0:t>独家</ns0:t>
        </ns0:is>
      </ns0:c>
      <ns0:c r="L118" s="9">
        <ns0:f>I118-J118</ns0:f>
        <ns0:v>490</ns0:v>
      </ns0:c>
      <ns0:c r="M118" s="4" t="n">
        <ns0:v>7</ns0:v>
      </ns0:c>
      <ns0:c r="N118" s="10">
        <ns0:f>DATE(YEAR(C118),MONTH(C118),1)</ns0:f>
        <ns0:v>45992.0</ns0:v>
      </ns0:c>
      <ns0:c r="O118" s="4" t="str">
        <ns0:f>TEXT(N118,"yyyy-mm")</ns0:f>
        <ns0:v>2025-12</ns0:v>
      </ns0:c>
    </ns0:row>
    <ns0:row r="119">
      <ns0:c r="A119" s="4" t="inlineStr">
        <ns0:is>
          <ns0:t>SES-0118</ns0:t>
        </ns0:is>
      </ns0:c>
      <ns0:c r="B119" s="4" t="inlineStr">
        <ns0:is>
          <ns0:t>SYN-049</ns0:t>
        </ns0:is>
      </ns0:c>
      <ns0:c r="C119" s="10" t="n">
        <ns0:v>46014</ns0:v>
      </ns0:c>
      <ns0:c r="D119" s="4" t="inlineStr">
        <ns0:is>
          <ns0:t>Synthetic Script 049</ns0:t>
        </ns0:is>
      </ns0:c>
      <ns0:c r="E119" s="4" t="inlineStr">
        <ns0:is>
          <ns0:t>欢乐</ns0:t>
        </ns0:is>
      </ns0:c>
      <ns0:c r="F119" s="4" t="n">
        <ns0:v>3</ns0:v>
      </ns0:c>
      <ns0:c r="G119" s="4" t="n">
        <ns0:v>7</ns0:v>
      </ns0:c>
      <ns0:c r="H119" s="9" t="n">
        <ns0:v>95</ns0:v>
      </ns0:c>
      <ns0:c r="I119" s="9">
        <ns0:f>G119*H119</ns0:f>
        <ns0:v>665</ns0:v>
      </ns0:c>
      <ns0:c r="J119" s="9">
        <ns0:f>INDEX(Script_List!$H$2:$H$161,MATCH(B119,Script_List!$A$2:$A$161,0))</ns0:f>
        <ns0:v>175</ns0:v>
      </ns0:c>
      <ns0:c r="K119" s="4" t="inlineStr">
        <ns0:is>
          <ns0:t>独家</ns0:t>
        </ns0:is>
      </ns0:c>
      <ns0:c r="L119" s="9">
        <ns0:f>I119-J119</ns0:f>
        <ns0:v>490</ns0:v>
      </ns0:c>
      <ns0:c r="M119" s="4" t="n">
        <ns0:v>7</ns0:v>
      </ns0:c>
      <ns0:c r="N119" s="10">
        <ns0:f>DATE(YEAR(C119),MONTH(C119),1)</ns0:f>
        <ns0:v>45992.0</ns0:v>
      </ns0:c>
      <ns0:c r="O119" s="4" t="str">
        <ns0:f>TEXT(N119,"yyyy-mm")</ns0:f>
        <ns0:v>2025-12</ns0:v>
      </ns0:c>
    </ns0:row>
    <ns0:row r="120">
      <ns0:c r="A120" s="4" t="inlineStr">
        <ns0:is>
          <ns0:t>SES-0119</ns0:t>
        </ns0:is>
      </ns0:c>
      <ns0:c r="B120" s="4" t="inlineStr">
        <ns0:is>
          <ns0:t>SYN-049</ns0:t>
        </ns0:is>
      </ns0:c>
      <ns0:c r="C120" s="10" t="n">
        <ns0:v>46015</ns0:v>
      </ns0:c>
      <ns0:c r="D120" s="4" t="inlineStr">
        <ns0:is>
          <ns0:t>Synthetic Script 049</ns0:t>
        </ns0:is>
      </ns0:c>
      <ns0:c r="E120" s="4" t="inlineStr">
        <ns0:is>
          <ns0:t>欢乐</ns0:t>
        </ns0:is>
      </ns0:c>
      <ns0:c r="F120" s="4" t="n">
        <ns0:v>3</ns0:v>
      </ns0:c>
      <ns0:c r="G120" s="4" t="n">
        <ns0:v>7</ns0:v>
      </ns0:c>
      <ns0:c r="H120" s="9" t="n">
        <ns0:v>95</ns0:v>
      </ns0:c>
      <ns0:c r="I120" s="9">
        <ns0:f>G120*H120</ns0:f>
        <ns0:v>665</ns0:v>
      </ns0:c>
      <ns0:c r="J120" s="9">
        <ns0:f>INDEX(Script_List!$H$2:$H$161,MATCH(B120,Script_List!$A$2:$A$161,0))</ns0:f>
        <ns0:v>175</ns0:v>
      </ns0:c>
      <ns0:c r="K120" s="4" t="inlineStr">
        <ns0:is>
          <ns0:t>独家</ns0:t>
        </ns0:is>
      </ns0:c>
      <ns0:c r="L120" s="9">
        <ns0:f>I120-J120</ns0:f>
        <ns0:v>490</ns0:v>
      </ns0:c>
      <ns0:c r="M120" s="4" t="n">
        <ns0:v>7</ns0:v>
      </ns0:c>
      <ns0:c r="N120" s="10">
        <ns0:f>DATE(YEAR(C120),MONTH(C120),1)</ns0:f>
        <ns0:v>45992.0</ns0:v>
      </ns0:c>
      <ns0:c r="O120" s="4" t="str">
        <ns0:f>TEXT(N120,"yyyy-mm")</ns0:f>
        <ns0:v>2025-12</ns0:v>
      </ns0:c>
    </ns0:row>
    <ns0:row r="121">
      <ns0:c r="A121" s="4" t="inlineStr">
        <ns0:is>
          <ns0:t>SES-0120</ns0:t>
        </ns0:is>
      </ns0:c>
      <ns0:c r="B121" s="4" t="inlineStr">
        <ns0:is>
          <ns0:t>SYN-049</ns0:t>
        </ns0:is>
      </ns0:c>
      <ns0:c r="C121" s="10" t="n">
        <ns0:v>46016</ns0:v>
      </ns0:c>
      <ns0:c r="D121" s="4" t="inlineStr">
        <ns0:is>
          <ns0:t>Synthetic Script 049</ns0:t>
        </ns0:is>
      </ns0:c>
      <ns0:c r="E121" s="4" t="inlineStr">
        <ns0:is>
          <ns0:t>欢乐</ns0:t>
        </ns0:is>
      </ns0:c>
      <ns0:c r="F121" s="4" t="n">
        <ns0:v>3</ns0:v>
      </ns0:c>
      <ns0:c r="G121" s="4" t="n">
        <ns0:v>7</ns0:v>
      </ns0:c>
      <ns0:c r="H121" s="9" t="n">
        <ns0:v>95</ns0:v>
      </ns0:c>
      <ns0:c r="I121" s="9">
        <ns0:f>G121*H121</ns0:f>
        <ns0:v>665</ns0:v>
      </ns0:c>
      <ns0:c r="J121" s="9">
        <ns0:f>INDEX(Script_List!$H$2:$H$161,MATCH(B121,Script_List!$A$2:$A$161,0))</ns0:f>
        <ns0:v>175</ns0:v>
      </ns0:c>
      <ns0:c r="K121" s="4" t="inlineStr">
        <ns0:is>
          <ns0:t>独家</ns0:t>
        </ns0:is>
      </ns0:c>
      <ns0:c r="L121" s="9">
        <ns0:f>I121-J121</ns0:f>
        <ns0:v>490</ns0:v>
      </ns0:c>
      <ns0:c r="M121" s="4" t="n">
        <ns0:v>7</ns0:v>
      </ns0:c>
      <ns0:c r="N121" s="10">
        <ns0:f>DATE(YEAR(C121),MONTH(C121),1)</ns0:f>
        <ns0:v>45992.0</ns0:v>
      </ns0:c>
      <ns0:c r="O121" s="4" t="str">
        <ns0:f>TEXT(N121,"yyyy-mm")</ns0:f>
        <ns0:v>2025-12</ns0:v>
      </ns0:c>
    </ns0:row>
    <ns0:row r="122">
      <ns0:c r="A122" s="4" t="inlineStr">
        <ns0:is>
          <ns0:t>SES-0121</ns0:t>
        </ns0:is>
      </ns0:c>
      <ns0:c r="B122" s="4" t="inlineStr">
        <ns0:is>
          <ns0:t>SYN-050</ns0:t>
        </ns0:is>
      </ns0:c>
      <ns0:c r="C122" s="10" t="n">
        <ns0:v>46017</ns0:v>
      </ns0:c>
      <ns0:c r="D122" s="4" t="inlineStr">
        <ns0:is>
          <ns0:t>Synthetic Script 050</ns0:t>
        </ns0:is>
      </ns0:c>
      <ns0:c r="E122" s="4" t="inlineStr">
        <ns0:is>
          <ns0:t>情感</ns0:t>
        </ns0:is>
      </ns0:c>
      <ns0:c r="F122" s="4" t="n">
        <ns0:v>6</ns0:v>
      </ns0:c>
      <ns0:c r="G122" s="4" t="n">
        <ns0:v>8</ns0:v>
      </ns0:c>
      <ns0:c r="H122" s="9" t="n">
        <ns0:v>109</ns0:v>
      </ns0:c>
      <ns0:c r="I122" s="9">
        <ns0:f>G122*H122</ns0:f>
        <ns0:v>872</ns0:v>
      </ns0:c>
      <ns0:c r="J122" s="9">
        <ns0:f>INDEX(Script_List!$H$2:$H$161,MATCH(B122,Script_List!$A$2:$A$161,0))</ns0:f>
        <ns0:v>540</ns0:v>
      </ns0:c>
      <ns0:c r="K122" s="4" t="inlineStr">
        <ns0:is>
          <ns0:t>盒装</ns0:t>
        </ns0:is>
      </ns0:c>
      <ns0:c r="L122" s="9">
        <ns0:f>I122-J122</ns0:f>
        <ns0:v>332</ns0:v>
      </ns0:c>
      <ns0:c r="M122" s="4" t="n">
        <ns0:v>7.7</ns0:v>
      </ns0:c>
      <ns0:c r="N122" s="10">
        <ns0:f>DATE(YEAR(C122),MONTH(C122),1)</ns0:f>
        <ns0:v>45992.0</ns0:v>
      </ns0:c>
      <ns0:c r="O122" s="4" t="str">
        <ns0:f>TEXT(N122,"yyyy-mm")</ns0:f>
        <ns0:v>2025-12</ns0:v>
      </ns0:c>
    </ns0:row>
    <ns0:row r="123">
      <ns0:c r="A123" s="4" t="inlineStr">
        <ns0:is>
          <ns0:t>SES-0122</ns0:t>
        </ns0:is>
      </ns0:c>
      <ns0:c r="B123" s="4" t="inlineStr">
        <ns0:is>
          <ns0:t>SYN-051</ns0:t>
        </ns0:is>
      </ns0:c>
      <ns0:c r="C123" s="10" t="n">
        <ns0:v>46018</ns0:v>
      </ns0:c>
      <ns0:c r="D123" s="4" t="inlineStr">
        <ns0:is>
          <ns0:t>Synthetic Script 051</ns0:t>
        </ns0:is>
      </ns0:c>
      <ns0:c r="E123" s="4" t="inlineStr">
        <ns0:is>
          <ns0:t>情感</ns0:t>
        </ns0:is>
      </ns0:c>
      <ns0:c r="F123" s="4" t="n">
        <ns0:v>2</ns0:v>
      </ns0:c>
      <ns0:c r="G123" s="4" t="n">
        <ns0:v>6</ns0:v>
      </ns0:c>
      <ns0:c r="H123" s="9" t="n">
        <ns0:v>118</ns0:v>
      </ns0:c>
      <ns0:c r="I123" s="9">
        <ns0:f>G123*H123</ns0:f>
        <ns0:v>708</ns0:v>
      </ns0:c>
      <ns0:c r="J123" s="9">
        <ns0:f>INDEX(Script_List!$H$2:$H$161,MATCH(B123,Script_List!$A$2:$A$161,0))</ns0:f>
        <ns0:v>180</ns0:v>
      </ns0:c>
      <ns0:c r="K123" s="4" t="inlineStr">
        <ns0:is>
          <ns0:t>盒装</ns0:t>
        </ns0:is>
      </ns0:c>
      <ns0:c r="L123" s="9">
        <ns0:f>I123-J123</ns0:f>
        <ns0:v>528</ns0:v>
      </ns0:c>
      <ns0:c r="M123" s="4" t="n">
        <ns0:v>8.4</ns0:v>
      </ns0:c>
      <ns0:c r="N123" s="10">
        <ns0:f>DATE(YEAR(C123),MONTH(C123),1)</ns0:f>
        <ns0:v>45992.0</ns0:v>
      </ns0:c>
      <ns0:c r="O123" s="4" t="str">
        <ns0:f>TEXT(N123,"yyyy-mm")</ns0:f>
        <ns0:v>2025-12</ns0:v>
      </ns0:c>
    </ns0:row>
    <ns0:row r="124">
      <ns0:c r="A124" s="4" t="inlineStr">
        <ns0:is>
          <ns0:t>SES-0123</ns0:t>
        </ns0:is>
      </ns0:c>
      <ns0:c r="B124" s="4" t="inlineStr">
        <ns0:is>
          <ns0:t>SYN-051</ns0:t>
        </ns0:is>
      </ns0:c>
      <ns0:c r="C124" s="10" t="n">
        <ns0:v>46019</ns0:v>
      </ns0:c>
      <ns0:c r="D124" s="4" t="inlineStr">
        <ns0:is>
          <ns0:t>Synthetic Script 051</ns0:t>
        </ns0:is>
      </ns0:c>
      <ns0:c r="E124" s="4" t="inlineStr">
        <ns0:is>
          <ns0:t>情感</ns0:t>
        </ns0:is>
      </ns0:c>
      <ns0:c r="F124" s="4" t="n">
        <ns0:v>2</ns0:v>
      </ns0:c>
      <ns0:c r="G124" s="4" t="n">
        <ns0:v>6</ns0:v>
      </ns0:c>
      <ns0:c r="H124" s="9" t="n">
        <ns0:v>118</ns0:v>
      </ns0:c>
      <ns0:c r="I124" s="9">
        <ns0:f>G124*H124</ns0:f>
        <ns0:v>708</ns0:v>
      </ns0:c>
      <ns0:c r="J124" s="9">
        <ns0:f>INDEX(Script_List!$H$2:$H$161,MATCH(B124,Script_List!$A$2:$A$161,0))</ns0:f>
        <ns0:v>180</ns0:v>
      </ns0:c>
      <ns0:c r="K124" s="4" t="inlineStr">
        <ns0:is>
          <ns0:t>盒装</ns0:t>
        </ns0:is>
      </ns0:c>
      <ns0:c r="L124" s="9">
        <ns0:f>I124-J124</ns0:f>
        <ns0:v>528</ns0:v>
      </ns0:c>
      <ns0:c r="M124" s="4" t="n">
        <ns0:v>8.4</ns0:v>
      </ns0:c>
      <ns0:c r="N124" s="10">
        <ns0:f>DATE(YEAR(C124),MONTH(C124),1)</ns0:f>
        <ns0:v>45992.0</ns0:v>
      </ns0:c>
      <ns0:c r="O124" s="4" t="str">
        <ns0:f>TEXT(N124,"yyyy-mm")</ns0:f>
        <ns0:v>2025-12</ns0:v>
      </ns0:c>
    </ns0:row>
    <ns0:row r="125">
      <ns0:c r="A125" s="4" t="inlineStr">
        <ns0:is>
          <ns0:t>SES-0124</ns0:t>
        </ns0:is>
      </ns0:c>
      <ns0:c r="B125" s="4" t="inlineStr">
        <ns0:is>
          <ns0:t>SYN-052</ns0:t>
        </ns0:is>
      </ns0:c>
      <ns0:c r="C125" s="10" t="n">
        <ns0:v>46020</ns0:v>
      </ns0:c>
      <ns0:c r="D125" s="4" t="inlineStr">
        <ns0:is>
          <ns0:t>Synthetic Script 052</ns0:t>
        </ns0:is>
      </ns0:c>
      <ns0:c r="E125" s="4" t="inlineStr">
        <ns0:is>
          <ns0:t>推理</ns0:t>
        </ns0:is>
      </ns0:c>
      <ns0:c r="F125" s="4" t="n">
        <ns0:v>1</ns0:v>
      </ns0:c>
      <ns0:c r="G125" s="4" t="n">
        <ns0:v>6</ns0:v>
      </ns0:c>
      <ns0:c r="H125" s="9" t="n">
        <ns0:v>119</ns0:v>
      </ns0:c>
      <ns0:c r="I125" s="9">
        <ns0:f>G125*H125</ns0:f>
        <ns0:v>714</ns0:v>
      </ns0:c>
      <ns0:c r="J125" s="9">
        <ns0:f>INDEX(Script_List!$H$2:$H$161,MATCH(B125,Script_List!$A$2:$A$161,0))</ns0:f>
        <ns0:v>187</ns0:v>
      </ns0:c>
      <ns0:c r="K125" s="4" t="inlineStr">
        <ns0:is>
          <ns0:t>城限</ns0:t>
        </ns0:is>
      </ns0:c>
      <ns0:c r="L125" s="9">
        <ns0:f>I125-J125</ns0:f>
        <ns0:v>527</ns0:v>
      </ns0:c>
      <ns0:c r="M125" s="4" t="n">
        <ns0:v>7</ns0:v>
      </ns0:c>
      <ns0:c r="N125" s="10">
        <ns0:f>DATE(YEAR(C125),MONTH(C125),1)</ns0:f>
        <ns0:v>45992.0</ns0:v>
      </ns0:c>
      <ns0:c r="O125" s="4" t="str">
        <ns0:f>TEXT(N125,"yyyy-mm")</ns0:f>
        <ns0:v>2025-12</ns0:v>
      </ns0:c>
    </ns0:row>
    <ns0:row r="126">
      <ns0:c r="A126" s="4" t="inlineStr">
        <ns0:is>
          <ns0:t>SES-0125</ns0:t>
        </ns0:is>
      </ns0:c>
      <ns0:c r="B126" s="4" t="inlineStr">
        <ns0:is>
          <ns0:t>SYN-052</ns0:t>
        </ns0:is>
      </ns0:c>
      <ns0:c r="C126" s="10" t="n">
        <ns0:v>46021</ns0:v>
      </ns0:c>
      <ns0:c r="D126" s="4" t="inlineStr">
        <ns0:is>
          <ns0:t>Synthetic Script 052</ns0:t>
        </ns0:is>
      </ns0:c>
      <ns0:c r="E126" s="4" t="inlineStr">
        <ns0:is>
          <ns0:t>推理</ns0:t>
        </ns0:is>
      </ns0:c>
      <ns0:c r="F126" s="4" t="n">
        <ns0:v>1</ns0:v>
      </ns0:c>
      <ns0:c r="G126" s="4" t="n">
        <ns0:v>6</ns0:v>
      </ns0:c>
      <ns0:c r="H126" s="9" t="n">
        <ns0:v>119</ns0:v>
      </ns0:c>
      <ns0:c r="I126" s="9">
        <ns0:f>G126*H126</ns0:f>
        <ns0:v>714</ns0:v>
      </ns0:c>
      <ns0:c r="J126" s="9">
        <ns0:f>INDEX(Script_List!$H$2:$H$161,MATCH(B126,Script_List!$A$2:$A$161,0))</ns0:f>
        <ns0:v>187</ns0:v>
      </ns0:c>
      <ns0:c r="K126" s="4" t="inlineStr">
        <ns0:is>
          <ns0:t>城限</ns0:t>
        </ns0:is>
      </ns0:c>
      <ns0:c r="L126" s="9">
        <ns0:f>I126-J126</ns0:f>
        <ns0:v>527</ns0:v>
      </ns0:c>
      <ns0:c r="M126" s="4" t="n">
        <ns0:v>7</ns0:v>
      </ns0:c>
      <ns0:c r="N126" s="10">
        <ns0:f>DATE(YEAR(C126),MONTH(C126),1)</ns0:f>
        <ns0:v>45992.0</ns0:v>
      </ns0:c>
      <ns0:c r="O126" s="4" t="str">
        <ns0:f>TEXT(N126,"yyyy-mm")</ns0:f>
        <ns0:v>2025-12</ns0:v>
      </ns0:c>
    </ns0:row>
    <ns0:row r="127">
      <ns0:c r="A127" s="4" t="inlineStr">
        <ns0:is>
          <ns0:t>SES-0126</ns0:t>
        </ns0:is>
      </ns0:c>
      <ns0:c r="B127" s="4" t="inlineStr">
        <ns0:is>
          <ns0:t>SYN-052</ns0:t>
        </ns0:is>
      </ns0:c>
      <ns0:c r="C127" s="10" t="n">
        <ns0:v>46022</ns0:v>
      </ns0:c>
      <ns0:c r="D127" s="4" t="inlineStr">
        <ns0:is>
          <ns0:t>Synthetic Script 052</ns0:t>
        </ns0:is>
      </ns0:c>
      <ns0:c r="E127" s="4" t="inlineStr">
        <ns0:is>
          <ns0:t>推理</ns0:t>
        </ns0:is>
      </ns0:c>
      <ns0:c r="F127" s="4" t="n">
        <ns0:v>1</ns0:v>
      </ns0:c>
      <ns0:c r="G127" s="4" t="n">
        <ns0:v>6</ns0:v>
      </ns0:c>
      <ns0:c r="H127" s="9" t="n">
        <ns0:v>119</ns0:v>
      </ns0:c>
      <ns0:c r="I127" s="9">
        <ns0:f>G127*H127</ns0:f>
        <ns0:v>714</ns0:v>
      </ns0:c>
      <ns0:c r="J127" s="9">
        <ns0:f>INDEX(Script_List!$H$2:$H$161,MATCH(B127,Script_List!$A$2:$A$161,0))</ns0:f>
        <ns0:v>187</ns0:v>
      </ns0:c>
      <ns0:c r="K127" s="4" t="inlineStr">
        <ns0:is>
          <ns0:t>城限</ns0:t>
        </ns0:is>
      </ns0:c>
      <ns0:c r="L127" s="9">
        <ns0:f>I127-J127</ns0:f>
        <ns0:v>527</ns0:v>
      </ns0:c>
      <ns0:c r="M127" s="4" t="n">
        <ns0:v>7</ns0:v>
      </ns0:c>
      <ns0:c r="N127" s="10">
        <ns0:f>DATE(YEAR(C127),MONTH(C127),1)</ns0:f>
        <ns0:v>45992.0</ns0:v>
      </ns0:c>
      <ns0:c r="O127" s="4" t="str">
        <ns0:f>TEXT(N127,"yyyy-mm")</ns0:f>
        <ns0:v>2025-12</ns0:v>
      </ns0:c>
    </ns0:row>
    <ns0:row r="128">
      <ns0:c r="A128" s="4" t="inlineStr">
        <ns0:is>
          <ns0:t>SES-0127</ns0:t>
        </ns0:is>
      </ns0:c>
      <ns0:c r="B128" s="4" t="inlineStr">
        <ns0:is>
          <ns0:t>SYN-052</ns0:t>
        </ns0:is>
      </ns0:c>
      <ns0:c r="C128" s="10" t="n">
        <ns0:v>46023</ns0:v>
      </ns0:c>
      <ns0:c r="D128" s="4" t="inlineStr">
        <ns0:is>
          <ns0:t>Synthetic Script 052</ns0:t>
        </ns0:is>
      </ns0:c>
      <ns0:c r="E128" s="4" t="inlineStr">
        <ns0:is>
          <ns0:t>推理</ns0:t>
        </ns0:is>
      </ns0:c>
      <ns0:c r="F128" s="4" t="n">
        <ns0:v>1</ns0:v>
      </ns0:c>
      <ns0:c r="G128" s="4" t="n">
        <ns0:v>6</ns0:v>
      </ns0:c>
      <ns0:c r="H128" s="9" t="n">
        <ns0:v>119</ns0:v>
      </ns0:c>
      <ns0:c r="I128" s="9">
        <ns0:f>G128*H128</ns0:f>
        <ns0:v>714</ns0:v>
      </ns0:c>
      <ns0:c r="J128" s="9">
        <ns0:f>INDEX(Script_List!$H$2:$H$161,MATCH(B128,Script_List!$A$2:$A$161,0))</ns0:f>
        <ns0:v>187</ns0:v>
      </ns0:c>
      <ns0:c r="K128" s="4" t="inlineStr">
        <ns0:is>
          <ns0:t>城限</ns0:t>
        </ns0:is>
      </ns0:c>
      <ns0:c r="L128" s="9">
        <ns0:f>I128-J128</ns0:f>
        <ns0:v>527</ns0:v>
      </ns0:c>
      <ns0:c r="M128" s="4" t="n">
        <ns0:v>7</ns0:v>
      </ns0:c>
      <ns0:c r="N128" s="10">
        <ns0:f>DATE(YEAR(C128),MONTH(C128),1)</ns0:f>
        <ns0:v>46023.0</ns0:v>
      </ns0:c>
      <ns0:c r="O128" s="4" t="str">
        <ns0:f>TEXT(N128,"yyyy-mm")</ns0:f>
        <ns0:v>2026-01</ns0:v>
      </ns0:c>
    </ns0:row>
    <ns0:row r="129">
      <ns0:c r="A129" s="4" t="inlineStr">
        <ns0:is>
          <ns0:t>SES-0128</ns0:t>
        </ns0:is>
      </ns0:c>
      <ns0:c r="B129" s="4" t="inlineStr">
        <ns0:is>
          <ns0:t>SYN-052</ns0:t>
        </ns0:is>
      </ns0:c>
      <ns0:c r="C129" s="10" t="n">
        <ns0:v>46024</ns0:v>
      </ns0:c>
      <ns0:c r="D129" s="4" t="inlineStr">
        <ns0:is>
          <ns0:t>Synthetic Script 052</ns0:t>
        </ns0:is>
      </ns0:c>
      <ns0:c r="E129" s="4" t="inlineStr">
        <ns0:is>
          <ns0:t>推理</ns0:t>
        </ns0:is>
      </ns0:c>
      <ns0:c r="F129" s="4" t="n">
        <ns0:v>1</ns0:v>
      </ns0:c>
      <ns0:c r="G129" s="4" t="n">
        <ns0:v>6</ns0:v>
      </ns0:c>
      <ns0:c r="H129" s="9" t="n">
        <ns0:v>119</ns0:v>
      </ns0:c>
      <ns0:c r="I129" s="9">
        <ns0:f>G129*H129</ns0:f>
        <ns0:v>714</ns0:v>
      </ns0:c>
      <ns0:c r="J129" s="9">
        <ns0:f>INDEX(Script_List!$H$2:$H$161,MATCH(B129,Script_List!$A$2:$A$161,0))</ns0:f>
        <ns0:v>187</ns0:v>
      </ns0:c>
      <ns0:c r="K129" s="4" t="inlineStr">
        <ns0:is>
          <ns0:t>城限</ns0:t>
        </ns0:is>
      </ns0:c>
      <ns0:c r="L129" s="9">
        <ns0:f>I129-J129</ns0:f>
        <ns0:v>527</ns0:v>
      </ns0:c>
      <ns0:c r="M129" s="4" t="n">
        <ns0:v>7</ns0:v>
      </ns0:c>
      <ns0:c r="N129" s="10">
        <ns0:f>DATE(YEAR(C129),MONTH(C129),1)</ns0:f>
        <ns0:v>46023.0</ns0:v>
      </ns0:c>
      <ns0:c r="O129" s="4" t="str">
        <ns0:f>TEXT(N129,"yyyy-mm")</ns0:f>
        <ns0:v>2026-01</ns0:v>
      </ns0:c>
    </ns0:row>
    <ns0:row r="130">
      <ns0:c r="A130" s="4" t="inlineStr">
        <ns0:is>
          <ns0:t>SES-0129</ns0:t>
        </ns0:is>
      </ns0:c>
      <ns0:c r="B130" s="4" t="inlineStr">
        <ns0:is>
          <ns0:t>SYN-053</ns0:t>
        </ns0:is>
      </ns0:c>
      <ns0:c r="C130" s="10" t="n">
        <ns0:v>46025</ns0:v>
      </ns0:c>
      <ns0:c r="D130" s="4" t="inlineStr">
        <ns0:is>
          <ns0:t>Synthetic Script 053</ns0:t>
        </ns0:is>
      </ns0:c>
      <ns0:c r="E130" s="4" t="inlineStr">
        <ns0:is>
          <ns0:t>情感</ns0:t>
        </ns0:is>
      </ns0:c>
      <ns0:c r="F130" s="4" t="n">
        <ns0:v>3</ns0:v>
      </ns0:c>
      <ns0:c r="G130" s="4" t="n">
        <ns0:v>6</ns0:v>
      </ns0:c>
      <ns0:c r="H130" s="9" t="n">
        <ns0:v>99</ns0:v>
      </ns0:c>
      <ns0:c r="I130" s="9">
        <ns0:f>G130*H130</ns0:f>
        <ns0:v>594</ns0:v>
      </ns0:c>
      <ns0:c r="J130" s="9">
        <ns0:f>INDEX(Script_List!$H$2:$H$161,MATCH(B130,Script_List!$A$2:$A$161,0))</ns0:f>
        <ns0:v>270</ns0:v>
      </ns0:c>
      <ns0:c r="K130" s="4" t="inlineStr">
        <ns0:is>
          <ns0:t>盒装</ns0:t>
        </ns0:is>
      </ns0:c>
      <ns0:c r="L130" s="9">
        <ns0:f>I130-J130</ns0:f>
        <ns0:v>324</ns0:v>
      </ns0:c>
      <ns0:c r="M130" s="4" t="n">
        <ns0:v>7.7</ns0:v>
      </ns0:c>
      <ns0:c r="N130" s="10">
        <ns0:f>DATE(YEAR(C130),MONTH(C130),1)</ns0:f>
        <ns0:v>46023.0</ns0:v>
      </ns0:c>
      <ns0:c r="O130" s="4" t="str">
        <ns0:f>TEXT(N130,"yyyy-mm")</ns0:f>
        <ns0:v>2026-01</ns0:v>
      </ns0:c>
    </ns0:row>
    <ns0:row r="131">
      <ns0:c r="A131" s="4" t="inlineStr">
        <ns0:is>
          <ns0:t>SES-0130</ns0:t>
        </ns0:is>
      </ns0:c>
      <ns0:c r="B131" s="4" t="inlineStr">
        <ns0:is>
          <ns0:t>SYN-054</ns0:t>
        </ns0:is>
      </ns0:c>
      <ns0:c r="C131" s="10" t="n">
        <ns0:v>46026</ns0:v>
      </ns0:c>
      <ns0:c r="D131" s="4" t="inlineStr">
        <ns0:is>
          <ns0:t>Synthetic Script 054</ns0:t>
        </ns0:is>
      </ns0:c>
      <ns0:c r="E131" s="4" t="inlineStr">
        <ns0:is>
          <ns0:t>欢乐</ns0:t>
        </ns0:is>
      </ns0:c>
      <ns0:c r="F131" s="4" t="n">
        <ns0:v>3</ns0:v>
      </ns0:c>
      <ns0:c r="G131" s="4" t="n">
        <ns0:v>7</ns0:v>
      </ns0:c>
      <ns0:c r="H131" s="9" t="n">
        <ns0:v>109</ns0:v>
      </ns0:c>
      <ns0:c r="I131" s="9">
        <ns0:f>G131*H131</ns0:f>
        <ns0:v>763</ns0:v>
      </ns0:c>
      <ns0:c r="J131" s="9">
        <ns0:f>INDEX(Script_List!$H$2:$H$161,MATCH(B131,Script_List!$A$2:$A$161,0))</ns0:f>
        <ns0:v>200</ns0:v>
      </ns0:c>
      <ns0:c r="K131" s="4" t="inlineStr">
        <ns0:is>
          <ns0:t>独家</ns0:t>
        </ns0:is>
      </ns0:c>
      <ns0:c r="L131" s="9">
        <ns0:f>I131-J131</ns0:f>
        <ns0:v>563</ns0:v>
      </ns0:c>
      <ns0:c r="M131" s="4" t="n">
        <ns0:v>8.4</ns0:v>
      </ns0:c>
      <ns0:c r="N131" s="10">
        <ns0:f>DATE(YEAR(C131),MONTH(C131),1)</ns0:f>
        <ns0:v>46023.0</ns0:v>
      </ns0:c>
      <ns0:c r="O131" s="4" t="str">
        <ns0:f>TEXT(N131,"yyyy-mm")</ns0:f>
        <ns0:v>2026-01</ns0:v>
      </ns0:c>
    </ns0:row>
    <ns0:row r="132">
      <ns0:c r="A132" s="4" t="inlineStr">
        <ns0:is>
          <ns0:t>SES-0131</ns0:t>
        </ns0:is>
      </ns0:c>
      <ns0:c r="B132" s="4" t="inlineStr">
        <ns0:is>
          <ns0:t>SYN-054</ns0:t>
        </ns0:is>
      </ns0:c>
      <ns0:c r="C132" s="10" t="n">
        <ns0:v>46027</ns0:v>
      </ns0:c>
      <ns0:c r="D132" s="4" t="inlineStr">
        <ns0:is>
          <ns0:t>Synthetic Script 054</ns0:t>
        </ns0:is>
      </ns0:c>
      <ns0:c r="E132" s="4" t="inlineStr">
        <ns0:is>
          <ns0:t>欢乐</ns0:t>
        </ns0:is>
      </ns0:c>
      <ns0:c r="F132" s="4" t="n">
        <ns0:v>3</ns0:v>
      </ns0:c>
      <ns0:c r="G132" s="4" t="n">
        <ns0:v>7</ns0:v>
      </ns0:c>
      <ns0:c r="H132" s="9" t="n">
        <ns0:v>109</ns0:v>
      </ns0:c>
      <ns0:c r="I132" s="9">
        <ns0:f>G132*H132</ns0:f>
        <ns0:v>763</ns0:v>
      </ns0:c>
      <ns0:c r="J132" s="9">
        <ns0:f>INDEX(Script_List!$H$2:$H$161,MATCH(B132,Script_List!$A$2:$A$161,0))</ns0:f>
        <ns0:v>200</ns0:v>
      </ns0:c>
      <ns0:c r="K132" s="4" t="inlineStr">
        <ns0:is>
          <ns0:t>独家</ns0:t>
        </ns0:is>
      </ns0:c>
      <ns0:c r="L132" s="9">
        <ns0:f>I132-J132</ns0:f>
        <ns0:v>563</ns0:v>
      </ns0:c>
      <ns0:c r="M132" s="4" t="n">
        <ns0:v>8.4</ns0:v>
      </ns0:c>
      <ns0:c r="N132" s="10">
        <ns0:f>DATE(YEAR(C132),MONTH(C132),1)</ns0:f>
        <ns0:v>46023.0</ns0:v>
      </ns0:c>
      <ns0:c r="O132" s="4" t="str">
        <ns0:f>TEXT(N132,"yyyy-mm")</ns0:f>
        <ns0:v>2026-01</ns0:v>
      </ns0:c>
    </ns0:row>
    <ns0:row r="133">
      <ns0:c r="A133" s="4" t="inlineStr">
        <ns0:is>
          <ns0:t>SES-0132</ns0:t>
        </ns0:is>
      </ns0:c>
      <ns0:c r="B133" s="4" t="inlineStr">
        <ns0:is>
          <ns0:t>SYN-055</ns0:t>
        </ns0:is>
      </ns0:c>
      <ns0:c r="C133" s="10" t="n">
        <ns0:v>46028</ns0:v>
      </ns0:c>
      <ns0:c r="D133" s="4" t="inlineStr">
        <ns0:is>
          <ns0:t>Synthetic Script 055</ns0:t>
        </ns0:is>
      </ns0:c>
      <ns0:c r="E133" s="4" t="inlineStr">
        <ns0:is>
          <ns0:t>推理</ns0:t>
        </ns0:is>
      </ns0:c>
      <ns0:c r="F133" s="4" t="n">
        <ns0:v>2</ns0:v>
      </ns0:c>
      <ns0:c r="G133" s="4" t="n">
        <ns0:v>8</ns0:v>
      </ns0:c>
      <ns0:c r="H133" s="9" t="n">
        <ns0:v>95</ns0:v>
      </ns0:c>
      <ns0:c r="I133" s="9">
        <ns0:f>G133*H133</ns0:f>
        <ns0:v>760</ns0:v>
      </ns0:c>
      <ns0:c r="J133" s="9">
        <ns0:f>INDEX(Script_List!$H$2:$H$161,MATCH(B133,Script_List!$A$2:$A$161,0))</ns0:f>
        <ns0:v>200</ns0:v>
      </ns0:c>
      <ns0:c r="K133" s="4" t="inlineStr">
        <ns0:is>
          <ns0:t>城限</ns0:t>
        </ns0:is>
      </ns0:c>
      <ns0:c r="L133" s="9">
        <ns0:f>I133-J133</ns0:f>
        <ns0:v>560</ns0:v>
      </ns0:c>
      <ns0:c r="M133" s="4" t="n">
        <ns0:v>7</ns0:v>
      </ns0:c>
      <ns0:c r="N133" s="10">
        <ns0:f>DATE(YEAR(C133),MONTH(C133),1)</ns0:f>
        <ns0:v>46023.0</ns0:v>
      </ns0:c>
      <ns0:c r="O133" s="4" t="str">
        <ns0:f>TEXT(N133,"yyyy-mm")</ns0:f>
        <ns0:v>2026-01</ns0:v>
      </ns0:c>
    </ns0:row>
    <ns0:row r="134">
      <ns0:c r="A134" s="4" t="inlineStr">
        <ns0:is>
          <ns0:t>SES-0133</ns0:t>
        </ns0:is>
      </ns0:c>
      <ns0:c r="B134" s="4" t="inlineStr">
        <ns0:is>
          <ns0:t>SYN-055</ns0:t>
        </ns0:is>
      </ns0:c>
      <ns0:c r="C134" s="10" t="n">
        <ns0:v>46029</ns0:v>
      </ns0:c>
      <ns0:c r="D134" s="4" t="inlineStr">
        <ns0:is>
          <ns0:t>Synthetic Script 055</ns0:t>
        </ns0:is>
      </ns0:c>
      <ns0:c r="E134" s="4" t="inlineStr">
        <ns0:is>
          <ns0:t>推理</ns0:t>
        </ns0:is>
      </ns0:c>
      <ns0:c r="F134" s="4" t="n">
        <ns0:v>2</ns0:v>
      </ns0:c>
      <ns0:c r="G134" s="4" t="n">
        <ns0:v>8</ns0:v>
      </ns0:c>
      <ns0:c r="H134" s="9" t="n">
        <ns0:v>95</ns0:v>
      </ns0:c>
      <ns0:c r="I134" s="9">
        <ns0:f>G134*H134</ns0:f>
        <ns0:v>760</ns0:v>
      </ns0:c>
      <ns0:c r="J134" s="9">
        <ns0:f>INDEX(Script_List!$H$2:$H$161,MATCH(B134,Script_List!$A$2:$A$161,0))</ns0:f>
        <ns0:v>200</ns0:v>
      </ns0:c>
      <ns0:c r="K134" s="4" t="inlineStr">
        <ns0:is>
          <ns0:t>城限</ns0:t>
        </ns0:is>
      </ns0:c>
      <ns0:c r="L134" s="9">
        <ns0:f>I134-J134</ns0:f>
        <ns0:v>560</ns0:v>
      </ns0:c>
      <ns0:c r="M134" s="4" t="n">
        <ns0:v>7</ns0:v>
      </ns0:c>
      <ns0:c r="N134" s="10">
        <ns0:f>DATE(YEAR(C134),MONTH(C134),1)</ns0:f>
        <ns0:v>46023.0</ns0:v>
      </ns0:c>
      <ns0:c r="O134" s="4" t="str">
        <ns0:f>TEXT(N134,"yyyy-mm")</ns0:f>
        <ns0:v>2026-01</ns0:v>
      </ns0:c>
    </ns0:row>
    <ns0:row r="135">
      <ns0:c r="A135" s="4" t="inlineStr">
        <ns0:is>
          <ns0:t>SES-0134</ns0:t>
        </ns0:is>
      </ns0:c>
      <ns0:c r="B135" s="4" t="inlineStr">
        <ns0:is>
          <ns0:t>SYN-055</ns0:t>
        </ns0:is>
      </ns0:c>
      <ns0:c r="C135" s="10" t="n">
        <ns0:v>46030</ns0:v>
      </ns0:c>
      <ns0:c r="D135" s="4" t="inlineStr">
        <ns0:is>
          <ns0:t>Synthetic Script 055</ns0:t>
        </ns0:is>
      </ns0:c>
      <ns0:c r="E135" s="4" t="inlineStr">
        <ns0:is>
          <ns0:t>推理</ns0:t>
        </ns0:is>
      </ns0:c>
      <ns0:c r="F135" s="4" t="n">
        <ns0:v>2</ns0:v>
      </ns0:c>
      <ns0:c r="G135" s="4" t="n">
        <ns0:v>8</ns0:v>
      </ns0:c>
      <ns0:c r="H135" s="9" t="n">
        <ns0:v>95</ns0:v>
      </ns0:c>
      <ns0:c r="I135" s="9">
        <ns0:f>G135*H135</ns0:f>
        <ns0:v>760</ns0:v>
      </ns0:c>
      <ns0:c r="J135" s="9">
        <ns0:f>INDEX(Script_List!$H$2:$H$161,MATCH(B135,Script_List!$A$2:$A$161,0))</ns0:f>
        <ns0:v>200</ns0:v>
      </ns0:c>
      <ns0:c r="K135" s="4" t="inlineStr">
        <ns0:is>
          <ns0:t>城限</ns0:t>
        </ns0:is>
      </ns0:c>
      <ns0:c r="L135" s="9">
        <ns0:f>I135-J135</ns0:f>
        <ns0:v>560</ns0:v>
      </ns0:c>
      <ns0:c r="M135" s="4" t="n">
        <ns0:v>7</ns0:v>
      </ns0:c>
      <ns0:c r="N135" s="10">
        <ns0:f>DATE(YEAR(C135),MONTH(C135),1)</ns0:f>
        <ns0:v>46023.0</ns0:v>
      </ns0:c>
      <ns0:c r="O135" s="4" t="str">
        <ns0:f>TEXT(N135,"yyyy-mm")</ns0:f>
        <ns0:v>2026-01</ns0:v>
      </ns0:c>
    </ns0:row>
    <ns0:row r="136">
      <ns0:c r="A136" s="4" t="inlineStr">
        <ns0:is>
          <ns0:t>SES-0135</ns0:t>
        </ns0:is>
      </ns0:c>
      <ns0:c r="B136" s="4" t="inlineStr">
        <ns0:is>
          <ns0:t>SYN-055</ns0:t>
        </ns0:is>
      </ns0:c>
      <ns0:c r="C136" s="10" t="n">
        <ns0:v>46031</ns0:v>
      </ns0:c>
      <ns0:c r="D136" s="4" t="inlineStr">
        <ns0:is>
          <ns0:t>Synthetic Script 055</ns0:t>
        </ns0:is>
      </ns0:c>
      <ns0:c r="E136" s="4" t="inlineStr">
        <ns0:is>
          <ns0:t>推理</ns0:t>
        </ns0:is>
      </ns0:c>
      <ns0:c r="F136" s="4" t="n">
        <ns0:v>2</ns0:v>
      </ns0:c>
      <ns0:c r="G136" s="4" t="n">
        <ns0:v>8</ns0:v>
      </ns0:c>
      <ns0:c r="H136" s="9" t="n">
        <ns0:v>95</ns0:v>
      </ns0:c>
      <ns0:c r="I136" s="9">
        <ns0:f>G136*H136</ns0:f>
        <ns0:v>760</ns0:v>
      </ns0:c>
      <ns0:c r="J136" s="9">
        <ns0:f>INDEX(Script_List!$H$2:$H$161,MATCH(B136,Script_List!$A$2:$A$161,0))</ns0:f>
        <ns0:v>200</ns0:v>
      </ns0:c>
      <ns0:c r="K136" s="4" t="inlineStr">
        <ns0:is>
          <ns0:t>城限</ns0:t>
        </ns0:is>
      </ns0:c>
      <ns0:c r="L136" s="9">
        <ns0:f>I136-J136</ns0:f>
        <ns0:v>560</ns0:v>
      </ns0:c>
      <ns0:c r="M136" s="4" t="n">
        <ns0:v>7</ns0:v>
      </ns0:c>
      <ns0:c r="N136" s="10">
        <ns0:f>DATE(YEAR(C136),MONTH(C136),1)</ns0:f>
        <ns0:v>46023.0</ns0:v>
      </ns0:c>
      <ns0:c r="O136" s="4" t="str">
        <ns0:f>TEXT(N136,"yyyy-mm")</ns0:f>
        <ns0:v>2026-01</ns0:v>
      </ns0:c>
    </ns0:row>
    <ns0:row r="137">
      <ns0:c r="A137" s="4" t="inlineStr">
        <ns0:is>
          <ns0:t>SES-0136</ns0:t>
        </ns0:is>
      </ns0:c>
      <ns0:c r="B137" s="4" t="inlineStr">
        <ns0:is>
          <ns0:t>SYN-055</ns0:t>
        </ns0:is>
      </ns0:c>
      <ns0:c r="C137" s="10" t="n">
        <ns0:v>46032</ns0:v>
      </ns0:c>
      <ns0:c r="D137" s="4" t="inlineStr">
        <ns0:is>
          <ns0:t>Synthetic Script 055</ns0:t>
        </ns0:is>
      </ns0:c>
      <ns0:c r="E137" s="4" t="inlineStr">
        <ns0:is>
          <ns0:t>推理</ns0:t>
        </ns0:is>
      </ns0:c>
      <ns0:c r="F137" s="4" t="n">
        <ns0:v>2</ns0:v>
      </ns0:c>
      <ns0:c r="G137" s="4" t="n">
        <ns0:v>8</ns0:v>
      </ns0:c>
      <ns0:c r="H137" s="9" t="n">
        <ns0:v>95</ns0:v>
      </ns0:c>
      <ns0:c r="I137" s="9">
        <ns0:f>G137*H137</ns0:f>
        <ns0:v>760</ns0:v>
      </ns0:c>
      <ns0:c r="J137" s="9">
        <ns0:f>INDEX(Script_List!$H$2:$H$161,MATCH(B137,Script_List!$A$2:$A$161,0))</ns0:f>
        <ns0:v>200</ns0:v>
      </ns0:c>
      <ns0:c r="K137" s="4" t="inlineStr">
        <ns0:is>
          <ns0:t>城限</ns0:t>
        </ns0:is>
      </ns0:c>
      <ns0:c r="L137" s="9">
        <ns0:f>I137-J137</ns0:f>
        <ns0:v>560</ns0:v>
      </ns0:c>
      <ns0:c r="M137" s="4" t="n">
        <ns0:v>7</ns0:v>
      </ns0:c>
      <ns0:c r="N137" s="10">
        <ns0:f>DATE(YEAR(C137),MONTH(C137),1)</ns0:f>
        <ns0:v>46023.0</ns0:v>
      </ns0:c>
      <ns0:c r="O137" s="4" t="str">
        <ns0:f>TEXT(N137,"yyyy-mm")</ns0:f>
        <ns0:v>2026-01</ns0:v>
      </ns0:c>
    </ns0:row>
    <ns0:row r="138">
      <ns0:c r="A138" s="4" t="inlineStr">
        <ns0:is>
          <ns0:t>SES-0137</ns0:t>
        </ns0:is>
      </ns0:c>
      <ns0:c r="B138" s="4" t="inlineStr">
        <ns0:is>
          <ns0:t>SYN-055</ns0:t>
        </ns0:is>
      </ns0:c>
      <ns0:c r="C138" s="10" t="n">
        <ns0:v>46033</ns0:v>
      </ns0:c>
      <ns0:c r="D138" s="4" t="inlineStr">
        <ns0:is>
          <ns0:t>Synthetic Script 055</ns0:t>
        </ns0:is>
      </ns0:c>
      <ns0:c r="E138" s="4" t="inlineStr">
        <ns0:is>
          <ns0:t>推理</ns0:t>
        </ns0:is>
      </ns0:c>
      <ns0:c r="F138" s="4" t="n">
        <ns0:v>2</ns0:v>
      </ns0:c>
      <ns0:c r="G138" s="4" t="n">
        <ns0:v>8</ns0:v>
      </ns0:c>
      <ns0:c r="H138" s="9" t="n">
        <ns0:v>95</ns0:v>
      </ns0:c>
      <ns0:c r="I138" s="9">
        <ns0:f>G138*H138</ns0:f>
        <ns0:v>760</ns0:v>
      </ns0:c>
      <ns0:c r="J138" s="9">
        <ns0:f>INDEX(Script_List!$H$2:$H$161,MATCH(B138,Script_List!$A$2:$A$161,0))</ns0:f>
        <ns0:v>200</ns0:v>
      </ns0:c>
      <ns0:c r="K138" s="4" t="inlineStr">
        <ns0:is>
          <ns0:t>城限</ns0:t>
        </ns0:is>
      </ns0:c>
      <ns0:c r="L138" s="9">
        <ns0:f>I138-J138</ns0:f>
        <ns0:v>560</ns0:v>
      </ns0:c>
      <ns0:c r="M138" s="4" t="n">
        <ns0:v>7</ns0:v>
      </ns0:c>
      <ns0:c r="N138" s="10">
        <ns0:f>DATE(YEAR(C138),MONTH(C138),1)</ns0:f>
        <ns0:v>46023.0</ns0:v>
      </ns0:c>
      <ns0:c r="O138" s="4" t="str">
        <ns0:f>TEXT(N138,"yyyy-mm")</ns0:f>
        <ns0:v>2026-01</ns0:v>
      </ns0:c>
    </ns0:row>
    <ns0:row r="139">
      <ns0:c r="A139" s="4" t="inlineStr">
        <ns0:is>
          <ns0:t>SES-0138</ns0:t>
        </ns0:is>
      </ns0:c>
      <ns0:c r="B139" s="4" t="inlineStr">
        <ns0:is>
          <ns0:t>SYN-055</ns0:t>
        </ns0:is>
      </ns0:c>
      <ns0:c r="C139" s="10" t="n">
        <ns0:v>46034</ns0:v>
      </ns0:c>
      <ns0:c r="D139" s="4" t="inlineStr">
        <ns0:is>
          <ns0:t>Synthetic Script 055</ns0:t>
        </ns0:is>
      </ns0:c>
      <ns0:c r="E139" s="4" t="inlineStr">
        <ns0:is>
          <ns0:t>推理</ns0:t>
        </ns0:is>
      </ns0:c>
      <ns0:c r="F139" s="4" t="n">
        <ns0:v>2</ns0:v>
      </ns0:c>
      <ns0:c r="G139" s="4" t="n">
        <ns0:v>8</ns0:v>
      </ns0:c>
      <ns0:c r="H139" s="9" t="n">
        <ns0:v>95</ns0:v>
      </ns0:c>
      <ns0:c r="I139" s="9">
        <ns0:f>G139*H139</ns0:f>
        <ns0:v>760</ns0:v>
      </ns0:c>
      <ns0:c r="J139" s="9">
        <ns0:f>INDEX(Script_List!$H$2:$H$161,MATCH(B139,Script_List!$A$2:$A$161,0))</ns0:f>
        <ns0:v>200</ns0:v>
      </ns0:c>
      <ns0:c r="K139" s="4" t="inlineStr">
        <ns0:is>
          <ns0:t>城限</ns0:t>
        </ns0:is>
      </ns0:c>
      <ns0:c r="L139" s="9">
        <ns0:f>I139-J139</ns0:f>
        <ns0:v>560</ns0:v>
      </ns0:c>
      <ns0:c r="M139" s="4" t="n">
        <ns0:v>7</ns0:v>
      </ns0:c>
      <ns0:c r="N139" s="10">
        <ns0:f>DATE(YEAR(C139),MONTH(C139),1)</ns0:f>
        <ns0:v>46023.0</ns0:v>
      </ns0:c>
      <ns0:c r="O139" s="4" t="str">
        <ns0:f>TEXT(N139,"yyyy-mm")</ns0:f>
        <ns0:v>2026-01</ns0:v>
      </ns0:c>
    </ns0:row>
    <ns0:row r="140">
      <ns0:c r="A140" s="4" t="inlineStr">
        <ns0:is>
          <ns0:t>SES-0139</ns0:t>
        </ns0:is>
      </ns0:c>
      <ns0:c r="B140" s="4" t="inlineStr">
        <ns0:is>
          <ns0:t>SYN-056</ns0:t>
        </ns0:is>
      </ns0:c>
      <ns0:c r="C140" s="10" t="n">
        <ns0:v>46035</ns0:v>
      </ns0:c>
      <ns0:c r="D140" s="4" t="inlineStr">
        <ns0:is>
          <ns0:t>Synthetic Script 056</ns0:t>
        </ns0:is>
      </ns0:c>
      <ns0:c r="E140" s="4" t="inlineStr">
        <ns0:is>
          <ns0:t>情感</ns0:t>
        </ns0:is>
      </ns0:c>
      <ns0:c r="F140" s="4" t="n">
        <ns0:v>2</ns0:v>
      </ns0:c>
      <ns0:c r="G140" s="4" t="n">
        <ns0:v>6</ns0:v>
      </ns0:c>
      <ns0:c r="H140" s="9" t="n">
        <ns0:v>138</ns0:v>
      </ns0:c>
      <ns0:c r="I140" s="9">
        <ns0:f>G140*H140</ns0:f>
        <ns0:v>828</ns0:v>
      </ns0:c>
      <ns0:c r="J140" s="9">
        <ns0:f>INDEX(Script_List!$H$2:$H$161,MATCH(B140,Script_List!$A$2:$A$161,0))</ns0:f>
        <ns0:v>180</ns0:v>
      </ns0:c>
      <ns0:c r="K140" s="4" t="inlineStr">
        <ns0:is>
          <ns0:t>盒装</ns0:t>
        </ns0:is>
      </ns0:c>
      <ns0:c r="L140" s="9">
        <ns0:f>I140-J140</ns0:f>
        <ns0:v>648</ns0:v>
      </ns0:c>
      <ns0:c r="M140" s="4" t="n">
        <ns0:v>7.7</ns0:v>
      </ns0:c>
      <ns0:c r="N140" s="10">
        <ns0:f>DATE(YEAR(C140),MONTH(C140),1)</ns0:f>
        <ns0:v>46023.0</ns0:v>
      </ns0:c>
      <ns0:c r="O140" s="4" t="str">
        <ns0:f>TEXT(N140,"yyyy-mm")</ns0:f>
        <ns0:v>2026-01</ns0:v>
      </ns0:c>
    </ns0:row>
    <ns0:row r="141">
      <ns0:c r="A141" s="4" t="inlineStr">
        <ns0:is>
          <ns0:t>SES-0140</ns0:t>
        </ns0:is>
      </ns0:c>
      <ns0:c r="B141" s="4" t="inlineStr">
        <ns0:is>
          <ns0:t>SYN-057</ns0:t>
        </ns0:is>
      </ns0:c>
      <ns0:c r="C141" s="10" t="n">
        <ns0:v>46036</ns0:v>
      </ns0:c>
      <ns0:c r="D141" s="4" t="inlineStr">
        <ns0:is>
          <ns0:t>Synthetic Script 057</ns0:t>
        </ns0:is>
      </ns0:c>
      <ns0:c r="E141" s="4" t="inlineStr">
        <ns0:is>
          <ns0:t>机制</ns0:t>
        </ns0:is>
      </ns0:c>
      <ns0:c r="F141" s="4" t="n">
        <ns0:v>1</ns0:v>
      </ns0:c>
      <ns0:c r="G141" s="4" t="n">
        <ns0:v>6</ns0:v>
      </ns0:c>
      <ns0:c r="H141" s="9" t="n">
        <ns0:v>109</ns0:v>
      </ns0:c>
      <ns0:c r="I141" s="9">
        <ns0:f>G141*H141</ns0:f>
        <ns0:v>654</ns0:v>
      </ns0:c>
      <ns0:c r="J141" s="9">
        <ns0:f>INDEX(Script_List!$H$2:$H$161,MATCH(B141,Script_List!$A$2:$A$161,0))</ns0:f>
        <ns0:v>172</ns0:v>
      </ns0:c>
      <ns0:c r="K141" s="4" t="inlineStr">
        <ns0:is>
          <ns0:t>城限</ns0:t>
        </ns0:is>
      </ns0:c>
      <ns0:c r="L141" s="9">
        <ns0:f>I141-J141</ns0:f>
        <ns0:v>482</ns0:v>
      </ns0:c>
      <ns0:c r="M141" s="4" t="n">
        <ns0:v>8.4</ns0:v>
      </ns0:c>
      <ns0:c r="N141" s="10">
        <ns0:f>DATE(YEAR(C141),MONTH(C141),1)</ns0:f>
        <ns0:v>46023.0</ns0:v>
      </ns0:c>
      <ns0:c r="O141" s="4" t="str">
        <ns0:f>TEXT(N141,"yyyy-mm")</ns0:f>
        <ns0:v>2026-01</ns0:v>
      </ns0:c>
    </ns0:row>
    <ns0:row r="142">
      <ns0:c r="A142" s="4" t="inlineStr">
        <ns0:is>
          <ns0:t>SES-0141</ns0:t>
        </ns0:is>
      </ns0:c>
      <ns0:c r="B142" s="4" t="inlineStr">
        <ns0:is>
          <ns0:t>SYN-057</ns0:t>
        </ns0:is>
      </ns0:c>
      <ns0:c r="C142" s="10" t="n">
        <ns0:v>46037</ns0:v>
      </ns0:c>
      <ns0:c r="D142" s="4" t="inlineStr">
        <ns0:is>
          <ns0:t>Synthetic Script 057</ns0:t>
        </ns0:is>
      </ns0:c>
      <ns0:c r="E142" s="4" t="inlineStr">
        <ns0:is>
          <ns0:t>机制</ns0:t>
        </ns0:is>
      </ns0:c>
      <ns0:c r="F142" s="4" t="n">
        <ns0:v>1</ns0:v>
      </ns0:c>
      <ns0:c r="G142" s="4" t="n">
        <ns0:v>6</ns0:v>
      </ns0:c>
      <ns0:c r="H142" s="9" t="n">
        <ns0:v>109</ns0:v>
      </ns0:c>
      <ns0:c r="I142" s="9">
        <ns0:f>G142*H142</ns0:f>
        <ns0:v>654</ns0:v>
      </ns0:c>
      <ns0:c r="J142" s="9">
        <ns0:f>INDEX(Script_List!$H$2:$H$161,MATCH(B142,Script_List!$A$2:$A$161,0))</ns0:f>
        <ns0:v>172</ns0:v>
      </ns0:c>
      <ns0:c r="K142" s="4" t="inlineStr">
        <ns0:is>
          <ns0:t>城限</ns0:t>
        </ns0:is>
      </ns0:c>
      <ns0:c r="L142" s="9">
        <ns0:f>I142-J142</ns0:f>
        <ns0:v>482</ns0:v>
      </ns0:c>
      <ns0:c r="M142" s="4" t="n">
        <ns0:v>8.4</ns0:v>
      </ns0:c>
      <ns0:c r="N142" s="10">
        <ns0:f>DATE(YEAR(C142),MONTH(C142),1)</ns0:f>
        <ns0:v>46023.0</ns0:v>
      </ns0:c>
      <ns0:c r="O142" s="4" t="str">
        <ns0:f>TEXT(N142,"yyyy-mm")</ns0:f>
        <ns0:v>2026-01</ns0:v>
      </ns0:c>
    </ns0:row>
    <ns0:row r="143">
      <ns0:c r="A143" s="4" t="inlineStr">
        <ns0:is>
          <ns0:t>SES-0142</ns0:t>
        </ns0:is>
      </ns0:c>
      <ns0:c r="B143" s="4" t="inlineStr">
        <ns0:is>
          <ns0:t>SYN-057</ns0:t>
        </ns0:is>
      </ns0:c>
      <ns0:c r="C143" s="10" t="n">
        <ns0:v>46038</ns0:v>
      </ns0:c>
      <ns0:c r="D143" s="4" t="inlineStr">
        <ns0:is>
          <ns0:t>Synthetic Script 057</ns0:t>
        </ns0:is>
      </ns0:c>
      <ns0:c r="E143" s="4" t="inlineStr">
        <ns0:is>
          <ns0:t>机制</ns0:t>
        </ns0:is>
      </ns0:c>
      <ns0:c r="F143" s="4" t="n">
        <ns0:v>1</ns0:v>
      </ns0:c>
      <ns0:c r="G143" s="4" t="n">
        <ns0:v>6</ns0:v>
      </ns0:c>
      <ns0:c r="H143" s="9" t="n">
        <ns0:v>109</ns0:v>
      </ns0:c>
      <ns0:c r="I143" s="9">
        <ns0:f>G143*H143</ns0:f>
        <ns0:v>654</ns0:v>
      </ns0:c>
      <ns0:c r="J143" s="9">
        <ns0:f>INDEX(Script_List!$H$2:$H$161,MATCH(B143,Script_List!$A$2:$A$161,0))</ns0:f>
        <ns0:v>172</ns0:v>
      </ns0:c>
      <ns0:c r="K143" s="4" t="inlineStr">
        <ns0:is>
          <ns0:t>城限</ns0:t>
        </ns0:is>
      </ns0:c>
      <ns0:c r="L143" s="9">
        <ns0:f>I143-J143</ns0:f>
        <ns0:v>482</ns0:v>
      </ns0:c>
      <ns0:c r="M143" s="4" t="n">
        <ns0:v>8.4</ns0:v>
      </ns0:c>
      <ns0:c r="N143" s="10">
        <ns0:f>DATE(YEAR(C143),MONTH(C143),1)</ns0:f>
        <ns0:v>46023.0</ns0:v>
      </ns0:c>
      <ns0:c r="O143" s="4" t="str">
        <ns0:f>TEXT(N143,"yyyy-mm")</ns0:f>
        <ns0:v>2026-01</ns0:v>
      </ns0:c>
    </ns0:row>
    <ns0:row r="144">
      <ns0:c r="A144" s="4" t="inlineStr">
        <ns0:is>
          <ns0:t>SES-0143</ns0:t>
        </ns0:is>
      </ns0:c>
      <ns0:c r="B144" s="4" t="inlineStr">
        <ns0:is>
          <ns0:t>SYN-058</ns0:t>
        </ns0:is>
      </ns0:c>
      <ns0:c r="C144" s="10" t="n">
        <ns0:v>46039</ns0:v>
      </ns0:c>
      <ns0:c r="D144" s="4" t="inlineStr">
        <ns0:is>
          <ns0:t>Synthetic Script 058</ns0:t>
        </ns0:is>
      </ns0:c>
      <ns0:c r="E144" s="4" t="inlineStr">
        <ns0:is>
          <ns0:t>推理</ns0:t>
        </ns0:is>
      </ns0:c>
      <ns0:c r="F144" s="4" t="n">
        <ns0:v>1</ns0:v>
      </ns0:c>
      <ns0:c r="G144" s="4" t="n">
        <ns0:v>6</ns0:v>
      </ns0:c>
      <ns0:c r="H144" s="9" t="n">
        <ns0:v>75</ns0:v>
      </ns0:c>
      <ns0:c r="I144" s="9">
        <ns0:f>G144*H144</ns0:f>
        <ns0:v>450</ns0:v>
      </ns0:c>
      <ns0:c r="J144" s="9">
        <ns0:f>INDEX(Script_List!$H$2:$H$161,MATCH(B144,Script_List!$A$2:$A$161,0))</ns0:f>
        <ns0:v>118</ns0:v>
      </ns0:c>
      <ns0:c r="K144" s="4" t="inlineStr">
        <ns0:is>
          <ns0:t>盒装</ns0:t>
        </ns0:is>
      </ns0:c>
      <ns0:c r="L144" s="9">
        <ns0:f>I144-J144</ns0:f>
        <ns0:v>332</ns0:v>
      </ns0:c>
      <ns0:c r="M144" s="4" t="n">
        <ns0:v>7</ns0:v>
      </ns0:c>
      <ns0:c r="N144" s="10">
        <ns0:f>DATE(YEAR(C144),MONTH(C144),1)</ns0:f>
        <ns0:v>46023.0</ns0:v>
      </ns0:c>
      <ns0:c r="O144" s="4" t="str">
        <ns0:f>TEXT(N144,"yyyy-mm")</ns0:f>
        <ns0:v>2026-01</ns0:v>
      </ns0:c>
    </ns0:row>
    <ns0:row r="145">
      <ns0:c r="A145" s="4" t="inlineStr">
        <ns0:is>
          <ns0:t>SES-0144</ns0:t>
        </ns0:is>
      </ns0:c>
      <ns0:c r="B145" s="4" t="inlineStr">
        <ns0:is>
          <ns0:t>SYN-058</ns0:t>
        </ns0:is>
      </ns0:c>
      <ns0:c r="C145" s="10" t="n">
        <ns0:v>46040</ns0:v>
      </ns0:c>
      <ns0:c r="D145" s="4" t="inlineStr">
        <ns0:is>
          <ns0:t>Synthetic Script 058</ns0:t>
        </ns0:is>
      </ns0:c>
      <ns0:c r="E145" s="4" t="inlineStr">
        <ns0:is>
          <ns0:t>推理</ns0:t>
        </ns0:is>
      </ns0:c>
      <ns0:c r="F145" s="4" t="n">
        <ns0:v>1</ns0:v>
      </ns0:c>
      <ns0:c r="G145" s="4" t="n">
        <ns0:v>6</ns0:v>
      </ns0:c>
      <ns0:c r="H145" s="9" t="n">
        <ns0:v>75</ns0:v>
      </ns0:c>
      <ns0:c r="I145" s="9">
        <ns0:f>G145*H145</ns0:f>
        <ns0:v>450</ns0:v>
      </ns0:c>
      <ns0:c r="J145" s="9">
        <ns0:f>INDEX(Script_List!$H$2:$H$161,MATCH(B145,Script_List!$A$2:$A$161,0))</ns0:f>
        <ns0:v>118</ns0:v>
      </ns0:c>
      <ns0:c r="K145" s="4" t="inlineStr">
        <ns0:is>
          <ns0:t>盒装</ns0:t>
        </ns0:is>
      </ns0:c>
      <ns0:c r="L145" s="9">
        <ns0:f>I145-J145</ns0:f>
        <ns0:v>332</ns0:v>
      </ns0:c>
      <ns0:c r="M145" s="4" t="n">
        <ns0:v>7</ns0:v>
      </ns0:c>
      <ns0:c r="N145" s="10">
        <ns0:f>DATE(YEAR(C145),MONTH(C145),1)</ns0:f>
        <ns0:v>46023.0</ns0:v>
      </ns0:c>
      <ns0:c r="O145" s="4" t="str">
        <ns0:f>TEXT(N145,"yyyy-mm")</ns0:f>
        <ns0:v>2026-01</ns0:v>
      </ns0:c>
    </ns0:row>
    <ns0:row r="146">
      <ns0:c r="A146" s="4" t="inlineStr">
        <ns0:is>
          <ns0:t>SES-0145</ns0:t>
        </ns0:is>
      </ns0:c>
      <ns0:c r="B146" s="4" t="inlineStr">
        <ns0:is>
          <ns0:t>SYN-058</ns0:t>
        </ns0:is>
      </ns0:c>
      <ns0:c r="C146" s="10" t="n">
        <ns0:v>46040</ns0:v>
      </ns0:c>
      <ns0:c r="D146" s="4" t="inlineStr">
        <ns0:is>
          <ns0:t>Synthetic Script 058</ns0:t>
        </ns0:is>
      </ns0:c>
      <ns0:c r="E146" s="4" t="inlineStr">
        <ns0:is>
          <ns0:t>推理</ns0:t>
        </ns0:is>
      </ns0:c>
      <ns0:c r="F146" s="4" t="n">
        <ns0:v>1</ns0:v>
      </ns0:c>
      <ns0:c r="G146" s="4" t="n">
        <ns0:v>6</ns0:v>
      </ns0:c>
      <ns0:c r="H146" s="9" t="n">
        <ns0:v>75</ns0:v>
      </ns0:c>
      <ns0:c r="I146" s="9">
        <ns0:f>G146*H146</ns0:f>
        <ns0:v>450</ns0:v>
      </ns0:c>
      <ns0:c r="J146" s="9">
        <ns0:f>INDEX(Script_List!$H$2:$H$161,MATCH(B146,Script_List!$A$2:$A$161,0))</ns0:f>
        <ns0:v>118</ns0:v>
      </ns0:c>
      <ns0:c r="K146" s="4" t="inlineStr">
        <ns0:is>
          <ns0:t>盒装</ns0:t>
        </ns0:is>
      </ns0:c>
      <ns0:c r="L146" s="9">
        <ns0:f>I146-J146</ns0:f>
        <ns0:v>332</ns0:v>
      </ns0:c>
      <ns0:c r="M146" s="4" t="n">
        <ns0:v>7</ns0:v>
      </ns0:c>
      <ns0:c r="N146" s="10">
        <ns0:f>DATE(YEAR(C146),MONTH(C146),1)</ns0:f>
        <ns0:v>46023.0</ns0:v>
      </ns0:c>
      <ns0:c r="O146" s="4" t="str">
        <ns0:f>TEXT(N146,"yyyy-mm")</ns0:f>
        <ns0:v>2026-01</ns0:v>
      </ns0:c>
    </ns0:row>
    <ns0:row r="147">
      <ns0:c r="A147" s="4" t="inlineStr">
        <ns0:is>
          <ns0:t>SES-0146</ns0:t>
        </ns0:is>
      </ns0:c>
      <ns0:c r="B147" s="4" t="inlineStr">
        <ns0:is>
          <ns0:t>SYN-058</ns0:t>
        </ns0:is>
      </ns0:c>
      <ns0:c r="C147" s="10" t="n">
        <ns0:v>46041</ns0:v>
      </ns0:c>
      <ns0:c r="D147" s="4" t="inlineStr">
        <ns0:is>
          <ns0:t>Synthetic Script 058</ns0:t>
        </ns0:is>
      </ns0:c>
      <ns0:c r="E147" s="4" t="inlineStr">
        <ns0:is>
          <ns0:t>推理</ns0:t>
        </ns0:is>
      </ns0:c>
      <ns0:c r="F147" s="4" t="n">
        <ns0:v>1</ns0:v>
      </ns0:c>
      <ns0:c r="G147" s="4" t="n">
        <ns0:v>6</ns0:v>
      </ns0:c>
      <ns0:c r="H147" s="9" t="n">
        <ns0:v>75</ns0:v>
      </ns0:c>
      <ns0:c r="I147" s="9">
        <ns0:f>G147*H147</ns0:f>
        <ns0:v>450</ns0:v>
      </ns0:c>
      <ns0:c r="J147" s="9">
        <ns0:f>INDEX(Script_List!$H$2:$H$161,MATCH(B147,Script_List!$A$2:$A$161,0))</ns0:f>
        <ns0:v>118</ns0:v>
      </ns0:c>
      <ns0:c r="K147" s="4" t="inlineStr">
        <ns0:is>
          <ns0:t>盒装</ns0:t>
        </ns0:is>
      </ns0:c>
      <ns0:c r="L147" s="9">
        <ns0:f>I147-J147</ns0:f>
        <ns0:v>332</ns0:v>
      </ns0:c>
      <ns0:c r="M147" s="4" t="n">
        <ns0:v>7</ns0:v>
      </ns0:c>
      <ns0:c r="N147" s="10">
        <ns0:f>DATE(YEAR(C147),MONTH(C147),1)</ns0:f>
        <ns0:v>46023.0</ns0:v>
      </ns0:c>
      <ns0:c r="O147" s="4" t="str">
        <ns0:f>TEXT(N147,"yyyy-mm")</ns0:f>
        <ns0:v>2026-01</ns0:v>
      </ns0:c>
    </ns0:row>
    <ns0:row r="148">
      <ns0:c r="A148" s="4" t="inlineStr">
        <ns0:is>
          <ns0:t>SES-0147</ns0:t>
        </ns0:is>
      </ns0:c>
      <ns0:c r="B148" s="4" t="inlineStr">
        <ns0:is>
          <ns0:t>SYN-058</ns0:t>
        </ns0:is>
      </ns0:c>
      <ns0:c r="C148" s="10" t="n">
        <ns0:v>46042</ns0:v>
      </ns0:c>
      <ns0:c r="D148" s="4" t="inlineStr">
        <ns0:is>
          <ns0:t>Synthetic Script 058</ns0:t>
        </ns0:is>
      </ns0:c>
      <ns0:c r="E148" s="4" t="inlineStr">
        <ns0:is>
          <ns0:t>推理</ns0:t>
        </ns0:is>
      </ns0:c>
      <ns0:c r="F148" s="4" t="n">
        <ns0:v>1</ns0:v>
      </ns0:c>
      <ns0:c r="G148" s="4" t="n">
        <ns0:v>6</ns0:v>
      </ns0:c>
      <ns0:c r="H148" s="9" t="n">
        <ns0:v>75</ns0:v>
      </ns0:c>
      <ns0:c r="I148" s="9">
        <ns0:f>G148*H148</ns0:f>
        <ns0:v>450</ns0:v>
      </ns0:c>
      <ns0:c r="J148" s="9">
        <ns0:f>INDEX(Script_List!$H$2:$H$161,MATCH(B148,Script_List!$A$2:$A$161,0))</ns0:f>
        <ns0:v>118</ns0:v>
      </ns0:c>
      <ns0:c r="K148" s="4" t="inlineStr">
        <ns0:is>
          <ns0:t>盒装</ns0:t>
        </ns0:is>
      </ns0:c>
      <ns0:c r="L148" s="9">
        <ns0:f>I148-J148</ns0:f>
        <ns0:v>332</ns0:v>
      </ns0:c>
      <ns0:c r="M148" s="4" t="n">
        <ns0:v>7</ns0:v>
      </ns0:c>
      <ns0:c r="N148" s="10">
        <ns0:f>DATE(YEAR(C148),MONTH(C148),1)</ns0:f>
        <ns0:v>46023.0</ns0:v>
      </ns0:c>
      <ns0:c r="O148" s="4" t="str">
        <ns0:f>TEXT(N148,"yyyy-mm")</ns0:f>
        <ns0:v>2026-01</ns0:v>
      </ns0:c>
    </ns0:row>
    <ns0:row r="149">
      <ns0:c r="A149" s="4" t="inlineStr">
        <ns0:is>
          <ns0:t>SES-0148</ns0:t>
        </ns0:is>
      </ns0:c>
      <ns0:c r="B149" s="4" t="inlineStr">
        <ns0:is>
          <ns0:t>SYN-058</ns0:t>
        </ns0:is>
      </ns0:c>
      <ns0:c r="C149" s="10" t="n">
        <ns0:v>46043</ns0:v>
      </ns0:c>
      <ns0:c r="D149" s="4" t="inlineStr">
        <ns0:is>
          <ns0:t>Synthetic Script 058</ns0:t>
        </ns0:is>
      </ns0:c>
      <ns0:c r="E149" s="4" t="inlineStr">
        <ns0:is>
          <ns0:t>推理</ns0:t>
        </ns0:is>
      </ns0:c>
      <ns0:c r="F149" s="4" t="n">
        <ns0:v>1</ns0:v>
      </ns0:c>
      <ns0:c r="G149" s="4" t="n">
        <ns0:v>6</ns0:v>
      </ns0:c>
      <ns0:c r="H149" s="9" t="n">
        <ns0:v>75</ns0:v>
      </ns0:c>
      <ns0:c r="I149" s="9">
        <ns0:f>G149*H149</ns0:f>
        <ns0:v>450</ns0:v>
      </ns0:c>
      <ns0:c r="J149" s="9">
        <ns0:f>INDEX(Script_List!$H$2:$H$161,MATCH(B149,Script_List!$A$2:$A$161,0))</ns0:f>
        <ns0:v>118</ns0:v>
      </ns0:c>
      <ns0:c r="K149" s="4" t="inlineStr">
        <ns0:is>
          <ns0:t>盒装</ns0:t>
        </ns0:is>
      </ns0:c>
      <ns0:c r="L149" s="9">
        <ns0:f>I149-J149</ns0:f>
        <ns0:v>332</ns0:v>
      </ns0:c>
      <ns0:c r="M149" s="4" t="n">
        <ns0:v>7</ns0:v>
      </ns0:c>
      <ns0:c r="N149" s="10">
        <ns0:f>DATE(YEAR(C149),MONTH(C149),1)</ns0:f>
        <ns0:v>46023.0</ns0:v>
      </ns0:c>
      <ns0:c r="O149" s="4" t="str">
        <ns0:f>TEXT(N149,"yyyy-mm")</ns0:f>
        <ns0:v>2026-01</ns0:v>
      </ns0:c>
    </ns0:row>
    <ns0:row r="150">
      <ns0:c r="A150" s="4" t="inlineStr">
        <ns0:is>
          <ns0:t>SES-0149</ns0:t>
        </ns0:is>
      </ns0:c>
      <ns0:c r="B150" s="4" t="inlineStr">
        <ns0:is>
          <ns0:t>SYN-058</ns0:t>
        </ns0:is>
      </ns0:c>
      <ns0:c r="C150" s="10" t="n">
        <ns0:v>46044</ns0:v>
      </ns0:c>
      <ns0:c r="D150" s="4" t="inlineStr">
        <ns0:is>
          <ns0:t>Synthetic Script 058</ns0:t>
        </ns0:is>
      </ns0:c>
      <ns0:c r="E150" s="4" t="inlineStr">
        <ns0:is>
          <ns0:t>推理</ns0:t>
        </ns0:is>
      </ns0:c>
      <ns0:c r="F150" s="4" t="n">
        <ns0:v>1</ns0:v>
      </ns0:c>
      <ns0:c r="G150" s="4" t="n">
        <ns0:v>6</ns0:v>
      </ns0:c>
      <ns0:c r="H150" s="9" t="n">
        <ns0:v>75</ns0:v>
      </ns0:c>
      <ns0:c r="I150" s="9">
        <ns0:f>G150*H150</ns0:f>
        <ns0:v>450</ns0:v>
      </ns0:c>
      <ns0:c r="J150" s="9">
        <ns0:f>INDEX(Script_List!$H$2:$H$161,MATCH(B150,Script_List!$A$2:$A$161,0))</ns0:f>
        <ns0:v>118</ns0:v>
      </ns0:c>
      <ns0:c r="K150" s="4" t="inlineStr">
        <ns0:is>
          <ns0:t>盒装</ns0:t>
        </ns0:is>
      </ns0:c>
      <ns0:c r="L150" s="9">
        <ns0:f>I150-J150</ns0:f>
        <ns0:v>332</ns0:v>
      </ns0:c>
      <ns0:c r="M150" s="4" t="n">
        <ns0:v>7</ns0:v>
      </ns0:c>
      <ns0:c r="N150" s="10">
        <ns0:f>DATE(YEAR(C150),MONTH(C150),1)</ns0:f>
        <ns0:v>46023.0</ns0:v>
      </ns0:c>
      <ns0:c r="O150" s="4" t="str">
        <ns0:f>TEXT(N150,"yyyy-mm")</ns0:f>
        <ns0:v>2026-01</ns0:v>
      </ns0:c>
    </ns0:row>
    <ns0:row r="151">
      <ns0:c r="A151" s="4" t="inlineStr">
        <ns0:is>
          <ns0:t>SES-0150</ns0:t>
        </ns0:is>
      </ns0:c>
      <ns0:c r="B151" s="4" t="inlineStr">
        <ns0:is>
          <ns0:t>SYN-058</ns0:t>
        </ns0:is>
      </ns0:c>
      <ns0:c r="C151" s="10" t="n">
        <ns0:v>46045</ns0:v>
      </ns0:c>
      <ns0:c r="D151" s="4" t="inlineStr">
        <ns0:is>
          <ns0:t>Synthetic Script 058</ns0:t>
        </ns0:is>
      </ns0:c>
      <ns0:c r="E151" s="4" t="inlineStr">
        <ns0:is>
          <ns0:t>推理</ns0:t>
        </ns0:is>
      </ns0:c>
      <ns0:c r="F151" s="4" t="n">
        <ns0:v>1</ns0:v>
      </ns0:c>
      <ns0:c r="G151" s="4" t="n">
        <ns0:v>6</ns0:v>
      </ns0:c>
      <ns0:c r="H151" s="9" t="n">
        <ns0:v>75</ns0:v>
      </ns0:c>
      <ns0:c r="I151" s="9">
        <ns0:f>G151*H151</ns0:f>
        <ns0:v>450</ns0:v>
      </ns0:c>
      <ns0:c r="J151" s="9">
        <ns0:f>INDEX(Script_List!$H$2:$H$161,MATCH(B151,Script_List!$A$2:$A$161,0))</ns0:f>
        <ns0:v>118</ns0:v>
      </ns0:c>
      <ns0:c r="K151" s="4" t="inlineStr">
        <ns0:is>
          <ns0:t>盒装</ns0:t>
        </ns0:is>
      </ns0:c>
      <ns0:c r="L151" s="9">
        <ns0:f>I151-J151</ns0:f>
        <ns0:v>332</ns0:v>
      </ns0:c>
      <ns0:c r="M151" s="4" t="n">
        <ns0:v>7</ns0:v>
      </ns0:c>
      <ns0:c r="N151" s="10">
        <ns0:f>DATE(YEAR(C151),MONTH(C151),1)</ns0:f>
        <ns0:v>46023.0</ns0:v>
      </ns0:c>
      <ns0:c r="O151" s="4" t="str">
        <ns0:f>TEXT(N151,"yyyy-mm")</ns0:f>
        <ns0:v>2026-01</ns0:v>
      </ns0:c>
    </ns0:row>
    <ns0:row r="152">
      <ns0:c r="A152" s="4" t="inlineStr">
        <ns0:is>
          <ns0:t>SES-0151</ns0:t>
        </ns0:is>
      </ns0:c>
      <ns0:c r="B152" s="4" t="inlineStr">
        <ns0:is>
          <ns0:t>SYN-058</ns0:t>
        </ns0:is>
      </ns0:c>
      <ns0:c r="C152" s="10" t="n">
        <ns0:v>46046</ns0:v>
      </ns0:c>
      <ns0:c r="D152" s="4" t="inlineStr">
        <ns0:is>
          <ns0:t>Synthetic Script 058</ns0:t>
        </ns0:is>
      </ns0:c>
      <ns0:c r="E152" s="4" t="inlineStr">
        <ns0:is>
          <ns0:t>推理</ns0:t>
        </ns0:is>
      </ns0:c>
      <ns0:c r="F152" s="4" t="n">
        <ns0:v>1</ns0:v>
      </ns0:c>
      <ns0:c r="G152" s="4" t="n">
        <ns0:v>6</ns0:v>
      </ns0:c>
      <ns0:c r="H152" s="9" t="n">
        <ns0:v>75</ns0:v>
      </ns0:c>
      <ns0:c r="I152" s="9">
        <ns0:f>G152*H152</ns0:f>
        <ns0:v>450</ns0:v>
      </ns0:c>
      <ns0:c r="J152" s="9">
        <ns0:f>INDEX(Script_List!$H$2:$H$161,MATCH(B152,Script_List!$A$2:$A$161,0))</ns0:f>
        <ns0:v>118</ns0:v>
      </ns0:c>
      <ns0:c r="K152" s="4" t="inlineStr">
        <ns0:is>
          <ns0:t>盒装</ns0:t>
        </ns0:is>
      </ns0:c>
      <ns0:c r="L152" s="9">
        <ns0:f>I152-J152</ns0:f>
        <ns0:v>332</ns0:v>
      </ns0:c>
      <ns0:c r="M152" s="4" t="n">
        <ns0:v>7</ns0:v>
      </ns0:c>
      <ns0:c r="N152" s="10">
        <ns0:f>DATE(YEAR(C152),MONTH(C152),1)</ns0:f>
        <ns0:v>46023.0</ns0:v>
      </ns0:c>
      <ns0:c r="O152" s="4" t="str">
        <ns0:f>TEXT(N152,"yyyy-mm")</ns0:f>
        <ns0:v>2026-01</ns0:v>
      </ns0:c>
    </ns0:row>
    <ns0:row r="153">
      <ns0:c r="A153" s="4" t="inlineStr">
        <ns0:is>
          <ns0:t>SES-0152</ns0:t>
        </ns0:is>
      </ns0:c>
      <ns0:c r="B153" s="4" t="inlineStr">
        <ns0:is>
          <ns0:t>SYN-058</ns0:t>
        </ns0:is>
      </ns0:c>
      <ns0:c r="C153" s="10" t="n">
        <ns0:v>46047</ns0:v>
      </ns0:c>
      <ns0:c r="D153" s="4" t="inlineStr">
        <ns0:is>
          <ns0:t>Synthetic Script 058</ns0:t>
        </ns0:is>
      </ns0:c>
      <ns0:c r="E153" s="4" t="inlineStr">
        <ns0:is>
          <ns0:t>推理</ns0:t>
        </ns0:is>
      </ns0:c>
      <ns0:c r="F153" s="4" t="n">
        <ns0:v>1</ns0:v>
      </ns0:c>
      <ns0:c r="G153" s="4" t="n">
        <ns0:v>6</ns0:v>
      </ns0:c>
      <ns0:c r="H153" s="9" t="n">
        <ns0:v>75</ns0:v>
      </ns0:c>
      <ns0:c r="I153" s="9">
        <ns0:f>G153*H153</ns0:f>
        <ns0:v>450</ns0:v>
      </ns0:c>
      <ns0:c r="J153" s="9">
        <ns0:f>INDEX(Script_List!$H$2:$H$161,MATCH(B153,Script_List!$A$2:$A$161,0))</ns0:f>
        <ns0:v>118</ns0:v>
      </ns0:c>
      <ns0:c r="K153" s="4" t="inlineStr">
        <ns0:is>
          <ns0:t>盒装</ns0:t>
        </ns0:is>
      </ns0:c>
      <ns0:c r="L153" s="9">
        <ns0:f>I153-J153</ns0:f>
        <ns0:v>332</ns0:v>
      </ns0:c>
      <ns0:c r="M153" s="4" t="n">
        <ns0:v>7</ns0:v>
      </ns0:c>
      <ns0:c r="N153" s="10">
        <ns0:f>DATE(YEAR(C153),MONTH(C153),1)</ns0:f>
        <ns0:v>46023.0</ns0:v>
      </ns0:c>
      <ns0:c r="O153" s="4" t="str">
        <ns0:f>TEXT(N153,"yyyy-mm")</ns0:f>
        <ns0:v>2026-01</ns0:v>
      </ns0:c>
    </ns0:row>
    <ns0:row r="154">
      <ns0:c r="A154" s="4" t="inlineStr">
        <ns0:is>
          <ns0:t>SES-0153</ns0:t>
        </ns0:is>
      </ns0:c>
      <ns0:c r="B154" s="4" t="inlineStr">
        <ns0:is>
          <ns0:t>SYN-059</ns0:t>
        </ns0:is>
      </ns0:c>
      <ns0:c r="C154" s="10" t="n">
        <ns0:v>46048</ns0:v>
      </ns0:c>
      <ns0:c r="D154" s="4" t="inlineStr">
        <ns0:is>
          <ns0:t>Synthetic Script 059</ns0:t>
        </ns0:is>
      </ns0:c>
      <ns0:c r="E154" s="4" t="inlineStr">
        <ns0:is>
          <ns0:t>欢乐</ns0:t>
        </ns0:is>
      </ns0:c>
      <ns0:c r="F154" s="4" t="n">
        <ns0:v>3</ns0:v>
      </ns0:c>
      <ns0:c r="G154" s="4" t="n">
        <ns0:v>7</ns0:v>
      </ns0:c>
      <ns0:c r="H154" s="9" t="n">
        <ns0:v>118</ns0:v>
      </ns0:c>
      <ns0:c r="I154" s="9">
        <ns0:f>G154*H154</ns0:f>
        <ns0:v>826</ns0:v>
      </ns0:c>
      <ns0:c r="J154" s="9">
        <ns0:f>INDEX(Script_List!$H$2:$H$161,MATCH(B154,Script_List!$A$2:$A$161,0))</ns0:f>
        <ns0:v>217</ns0:v>
      </ns0:c>
      <ns0:c r="K154" s="4" t="inlineStr">
        <ns0:is>
          <ns0:t>独家</ns0:t>
        </ns0:is>
      </ns0:c>
      <ns0:c r="L154" s="9">
        <ns0:f>I154-J154</ns0:f>
        <ns0:v>609</ns0:v>
      </ns0:c>
      <ns0:c r="M154" s="4" t="n">
        <ns0:v>7.7</ns0:v>
      </ns0:c>
      <ns0:c r="N154" s="10">
        <ns0:f>DATE(YEAR(C154),MONTH(C154),1)</ns0:f>
        <ns0:v>46023.0</ns0:v>
      </ns0:c>
      <ns0:c r="O154" s="4" t="str">
        <ns0:f>TEXT(N154,"yyyy-mm")</ns0:f>
        <ns0:v>2026-01</ns0:v>
      </ns0:c>
    </ns0:row>
    <ns0:row r="155">
      <ns0:c r="A155" s="4" t="inlineStr">
        <ns0:is>
          <ns0:t>SES-0154</ns0:t>
        </ns0:is>
      </ns0:c>
      <ns0:c r="B155" s="4" t="inlineStr">
        <ns0:is>
          <ns0:t>SYN-060</ns0:t>
        </ns0:is>
      </ns0:c>
      <ns0:c r="C155" s="10" t="n">
        <ns0:v>46049</ns0:v>
      </ns0:c>
      <ns0:c r="D155" s="4" t="inlineStr">
        <ns0:is>
          <ns0:t>Synthetic Script 060</ns0:t>
        </ns0:is>
      </ns0:c>
      <ns0:c r="E155" s="4" t="inlineStr">
        <ns0:is>
          <ns0:t>情感</ns0:t>
        </ns0:is>
      </ns0:c>
      <ns0:c r="F155" s="4" t="n">
        <ns0:v>6</ns0:v>
      </ns0:c>
      <ns0:c r="G155" s="4" t="n">
        <ns0:v>8</ns0:v>
      </ns0:c>
      <ns0:c r="H155" s="9" t="n">
        <ns0:v>138</ns0:v>
      </ns0:c>
      <ns0:c r="I155" s="9">
        <ns0:f>G155*H155</ns0:f>
        <ns0:v>1104</ns0:v>
      </ns0:c>
      <ns0:c r="J155" s="9">
        <ns0:f>INDEX(Script_List!$H$2:$H$161,MATCH(B155,Script_List!$A$2:$A$161,0))</ns0:f>
        <ns0:v>540</ns0:v>
      </ns0:c>
      <ns0:c r="K155" s="4" t="inlineStr">
        <ns0:is>
          <ns0:t>盒装</ns0:t>
        </ns0:is>
      </ns0:c>
      <ns0:c r="L155" s="9">
        <ns0:f>I155-J155</ns0:f>
        <ns0:v>564</ns0:v>
      </ns0:c>
      <ns0:c r="M155" s="4" t="n">
        <ns0:v>8.4</ns0:v>
      </ns0:c>
      <ns0:c r="N155" s="10">
        <ns0:f>DATE(YEAR(C155),MONTH(C155),1)</ns0:f>
        <ns0:v>46023.0</ns0:v>
      </ns0:c>
      <ns0:c r="O155" s="4" t="str">
        <ns0:f>TEXT(N155,"yyyy-mm")</ns0:f>
        <ns0:v>2026-01</ns0:v>
      </ns0:c>
    </ns0:row>
    <ns0:row r="156">
      <ns0:c r="A156" s="4" t="inlineStr">
        <ns0:is>
          <ns0:t>SES-0155</ns0:t>
        </ns0:is>
      </ns0:c>
      <ns0:c r="B156" s="4" t="inlineStr">
        <ns0:is>
          <ns0:t>SYN-060</ns0:t>
        </ns0:is>
      </ns0:c>
      <ns0:c r="C156" s="10" t="n">
        <ns0:v>46050</ns0:v>
      </ns0:c>
      <ns0:c r="D156" s="4" t="inlineStr">
        <ns0:is>
          <ns0:t>Synthetic Script 060</ns0:t>
        </ns0:is>
      </ns0:c>
      <ns0:c r="E156" s="4" t="inlineStr">
        <ns0:is>
          <ns0:t>情感</ns0:t>
        </ns0:is>
      </ns0:c>
      <ns0:c r="F156" s="4" t="n">
        <ns0:v>6</ns0:v>
      </ns0:c>
      <ns0:c r="G156" s="4" t="n">
        <ns0:v>8</ns0:v>
      </ns0:c>
      <ns0:c r="H156" s="9" t="n">
        <ns0:v>138</ns0:v>
      </ns0:c>
      <ns0:c r="I156" s="9">
        <ns0:f>G156*H156</ns0:f>
        <ns0:v>1104</ns0:v>
      </ns0:c>
      <ns0:c r="J156" s="9">
        <ns0:f>INDEX(Script_List!$H$2:$H$161,MATCH(B156,Script_List!$A$2:$A$161,0))</ns0:f>
        <ns0:v>540</ns0:v>
      </ns0:c>
      <ns0:c r="K156" s="4" t="inlineStr">
        <ns0:is>
          <ns0:t>盒装</ns0:t>
        </ns0:is>
      </ns0:c>
      <ns0:c r="L156" s="9">
        <ns0:f>I156-J156</ns0:f>
        <ns0:v>564</ns0:v>
      </ns0:c>
      <ns0:c r="M156" s="4" t="n">
        <ns0:v>8.4</ns0:v>
      </ns0:c>
      <ns0:c r="N156" s="10">
        <ns0:f>DATE(YEAR(C156),MONTH(C156),1)</ns0:f>
        <ns0:v>46023.0</ns0:v>
      </ns0:c>
      <ns0:c r="O156" s="4" t="str">
        <ns0:f>TEXT(N156,"yyyy-mm")</ns0:f>
        <ns0:v>2026-01</ns0:v>
      </ns0:c>
    </ns0:row>
    <ns0:row r="157">
      <ns0:c r="A157" s="4" t="inlineStr">
        <ns0:is>
          <ns0:t>SES-0156</ns0:t>
        </ns0:is>
      </ns0:c>
      <ns0:c r="B157" s="4" t="inlineStr">
        <ns0:is>
          <ns0:t>SYN-060</ns0:t>
        </ns0:is>
      </ns0:c>
      <ns0:c r="C157" s="10" t="n">
        <ns0:v>46051</ns0:v>
      </ns0:c>
      <ns0:c r="D157" s="4" t="inlineStr">
        <ns0:is>
          <ns0:t>Synthetic Script 060</ns0:t>
        </ns0:is>
      </ns0:c>
      <ns0:c r="E157" s="4" t="inlineStr">
        <ns0:is>
          <ns0:t>情感</ns0:t>
        </ns0:is>
      </ns0:c>
      <ns0:c r="F157" s="4" t="n">
        <ns0:v>6</ns0:v>
      </ns0:c>
      <ns0:c r="G157" s="4" t="n">
        <ns0:v>8</ns0:v>
      </ns0:c>
      <ns0:c r="H157" s="9" t="n">
        <ns0:v>138</ns0:v>
      </ns0:c>
      <ns0:c r="I157" s="9">
        <ns0:f>G157*H157</ns0:f>
        <ns0:v>1104</ns0:v>
      </ns0:c>
      <ns0:c r="J157" s="9">
        <ns0:f>INDEX(Script_List!$H$2:$H$161,MATCH(B157,Script_List!$A$2:$A$161,0))</ns0:f>
        <ns0:v>540</ns0:v>
      </ns0:c>
      <ns0:c r="K157" s="4" t="inlineStr">
        <ns0:is>
          <ns0:t>盒装</ns0:t>
        </ns0:is>
      </ns0:c>
      <ns0:c r="L157" s="9">
        <ns0:f>I157-J157</ns0:f>
        <ns0:v>564</ns0:v>
      </ns0:c>
      <ns0:c r="M157" s="4" t="n">
        <ns0:v>8.4</ns0:v>
      </ns0:c>
      <ns0:c r="N157" s="10">
        <ns0:f>DATE(YEAR(C157),MONTH(C157),1)</ns0:f>
        <ns0:v>46023.0</ns0:v>
      </ns0:c>
      <ns0:c r="O157" s="4" t="str">
        <ns0:f>TEXT(N157,"yyyy-mm")</ns0:f>
        <ns0:v>2026-01</ns0:v>
      </ns0:c>
    </ns0:row>
    <ns0:row r="158">
      <ns0:c r="A158" s="4" t="inlineStr">
        <ns0:is>
          <ns0:t>SES-0157</ns0:t>
        </ns0:is>
      </ns0:c>
      <ns0:c r="B158" s="4" t="inlineStr">
        <ns0:is>
          <ns0:t>SYN-062</ns0:t>
        </ns0:is>
      </ns0:c>
      <ns0:c r="C158" s="10" t="n">
        <ns0:v>46052</ns0:v>
      </ns0:c>
      <ns0:c r="D158" s="4" t="inlineStr">
        <ns0:is>
          <ns0:t>Synthetic Script 062</ns0:t>
        </ns0:is>
      </ns0:c>
      <ns0:c r="E158" s="4" t="inlineStr">
        <ns0:is>
          <ns0:t>推理</ns0:t>
        </ns0:is>
      </ns0:c>
      <ns0:c r="F158" s="4" t="n">
        <ns0:v>1</ns0:v>
      </ns0:c>
      <ns0:c r="G158" s="4" t="n">
        <ns0:v>6</ns0:v>
      </ns0:c>
      <ns0:c r="H158" s="9" t="n">
        <ns0:v>75</ns0:v>
      </ns0:c>
      <ns0:c r="I158" s="9">
        <ns0:f>G158*H158</ns0:f>
        <ns0:v>450</ns0:v>
      </ns0:c>
      <ns0:c r="J158" s="9">
        <ns0:f>INDEX(Script_List!$H$2:$H$161,MATCH(B158,Script_List!$A$2:$A$161,0))</ns0:f>
        <ns0:v>118</ns0:v>
      </ns0:c>
      <ns0:c r="K158" s="4" t="inlineStr">
        <ns0:is>
          <ns0:t>城限</ns0:t>
        </ns0:is>
      </ns0:c>
      <ns0:c r="L158" s="9">
        <ns0:f>I158-J158</ns0:f>
        <ns0:v>332</ns0:v>
      </ns0:c>
      <ns0:c r="M158" s="4" t="n">
        <ns0:v>7.7</ns0:v>
      </ns0:c>
      <ns0:c r="N158" s="10">
        <ns0:f>DATE(YEAR(C158),MONTH(C158),1)</ns0:f>
        <ns0:v>46023.0</ns0:v>
      </ns0:c>
      <ns0:c r="O158" s="4" t="str">
        <ns0:f>TEXT(N158,"yyyy-mm")</ns0:f>
        <ns0:v>2026-01</ns0:v>
      </ns0:c>
    </ns0:row>
    <ns0:row r="159">
      <ns0:c r="A159" s="4" t="inlineStr">
        <ns0:is>
          <ns0:t>SES-0158</ns0:t>
        </ns0:is>
      </ns0:c>
      <ns0:c r="B159" s="4" t="inlineStr">
        <ns0:is>
          <ns0:t>SYN-063</ns0:t>
        </ns0:is>
      </ns0:c>
      <ns0:c r="C159" s="10" t="n">
        <ns0:v>46053</ns0:v>
      </ns0:c>
      <ns0:c r="D159" s="4" t="inlineStr">
        <ns0:is>
          <ns0:t>Synthetic Script 063</ns0:t>
        </ns0:is>
      </ns0:c>
      <ns0:c r="E159" s="4" t="inlineStr">
        <ns0:is>
          <ns0:t>情感</ns0:t>
        </ns0:is>
      </ns0:c>
      <ns0:c r="F159" s="4" t="n">
        <ns0:v>3</ns0:v>
      </ns0:c>
      <ns0:c r="G159" s="4" t="n">
        <ns0:v>6</ns0:v>
      </ns0:c>
      <ns0:c r="H159" s="9" t="n">
        <ns0:v>118</ns0:v>
      </ns0:c>
      <ns0:c r="I159" s="9">
        <ns0:f>G159*H159</ns0:f>
        <ns0:v>708</ns0:v>
      </ns0:c>
      <ns0:c r="J159" s="9">
        <ns0:f>INDEX(Script_List!$H$2:$H$161,MATCH(B159,Script_List!$A$2:$A$161,0))</ns0:f>
        <ns0:v>270</ns0:v>
      </ns0:c>
      <ns0:c r="K159" s="4" t="inlineStr">
        <ns0:is>
          <ns0:t>盒装</ns0:t>
        </ns0:is>
      </ns0:c>
      <ns0:c r="L159" s="9">
        <ns0:f>I159-J159</ns0:f>
        <ns0:v>438</ns0:v>
      </ns0:c>
      <ns0:c r="M159" s="4" t="n">
        <ns0:v>8.4</ns0:v>
      </ns0:c>
      <ns0:c r="N159" s="10">
        <ns0:f>DATE(YEAR(C159),MONTH(C159),1)</ns0:f>
        <ns0:v>46023.0</ns0:v>
      </ns0:c>
      <ns0:c r="O159" s="4" t="str">
        <ns0:f>TEXT(N159,"yyyy-mm")</ns0:f>
        <ns0:v>2026-01</ns0:v>
      </ns0:c>
    </ns0:row>
    <ns0:row r="160">
      <ns0:c r="A160" s="4" t="inlineStr">
        <ns0:is>
          <ns0:t>SES-0159</ns0:t>
        </ns0:is>
      </ns0:c>
      <ns0:c r="B160" s="4" t="inlineStr">
        <ns0:is>
          <ns0:t>SYN-063</ns0:t>
        </ns0:is>
      </ns0:c>
      <ns0:c r="C160" s="10" t="n">
        <ns0:v>46054</ns0:v>
      </ns0:c>
      <ns0:c r="D160" s="4" t="inlineStr">
        <ns0:is>
          <ns0:t>Synthetic Script 063</ns0:t>
        </ns0:is>
      </ns0:c>
      <ns0:c r="E160" s="4" t="inlineStr">
        <ns0:is>
          <ns0:t>情感</ns0:t>
        </ns0:is>
      </ns0:c>
      <ns0:c r="F160" s="4" t="n">
        <ns0:v>3</ns0:v>
      </ns0:c>
      <ns0:c r="G160" s="4" t="n">
        <ns0:v>6</ns0:v>
      </ns0:c>
      <ns0:c r="H160" s="9" t="n">
        <ns0:v>118</ns0:v>
      </ns0:c>
      <ns0:c r="I160" s="9">
        <ns0:f>G160*H160</ns0:f>
        <ns0:v>708</ns0:v>
      </ns0:c>
      <ns0:c r="J160" s="9">
        <ns0:f>INDEX(Script_List!$H$2:$H$161,MATCH(B160,Script_List!$A$2:$A$161,0))</ns0:f>
        <ns0:v>270</ns0:v>
      </ns0:c>
      <ns0:c r="K160" s="4" t="inlineStr">
        <ns0:is>
          <ns0:t>盒装</ns0:t>
        </ns0:is>
      </ns0:c>
      <ns0:c r="L160" s="9">
        <ns0:f>I160-J160</ns0:f>
        <ns0:v>438</ns0:v>
      </ns0:c>
      <ns0:c r="M160" s="4" t="n">
        <ns0:v>8.4</ns0:v>
      </ns0:c>
      <ns0:c r="N160" s="10">
        <ns0:f>DATE(YEAR(C160),MONTH(C160),1)</ns0:f>
        <ns0:v>46054.0</ns0:v>
      </ns0:c>
      <ns0:c r="O160" s="4" t="str">
        <ns0:f>TEXT(N160,"yyyy-mm")</ns0:f>
        <ns0:v>2026-02</ns0:v>
      </ns0:c>
    </ns0:row>
    <ns0:row r="161">
      <ns0:c r="A161" s="4" t="inlineStr">
        <ns0:is>
          <ns0:t>SES-0160</ns0:t>
        </ns0:is>
      </ns0:c>
      <ns0:c r="B161" s="4" t="inlineStr">
        <ns0:is>
          <ns0:t>SYN-063</ns0:t>
        </ns0:is>
      </ns0:c>
      <ns0:c r="C161" s="10" t="n">
        <ns0:v>46055</ns0:v>
      </ns0:c>
      <ns0:c r="D161" s="4" t="inlineStr">
        <ns0:is>
          <ns0:t>Synthetic Script 063</ns0:t>
        </ns0:is>
      </ns0:c>
      <ns0:c r="E161" s="4" t="inlineStr">
        <ns0:is>
          <ns0:t>情感</ns0:t>
        </ns0:is>
      </ns0:c>
      <ns0:c r="F161" s="4" t="n">
        <ns0:v>3</ns0:v>
      </ns0:c>
      <ns0:c r="G161" s="4" t="n">
        <ns0:v>6</ns0:v>
      </ns0:c>
      <ns0:c r="H161" s="9" t="n">
        <ns0:v>118</ns0:v>
      </ns0:c>
      <ns0:c r="I161" s="9">
        <ns0:f>G161*H161</ns0:f>
        <ns0:v>708</ns0:v>
      </ns0:c>
      <ns0:c r="J161" s="9">
        <ns0:f>INDEX(Script_List!$H$2:$H$161,MATCH(B161,Script_List!$A$2:$A$161,0))</ns0:f>
        <ns0:v>270</ns0:v>
      </ns0:c>
      <ns0:c r="K161" s="4" t="inlineStr">
        <ns0:is>
          <ns0:t>盒装</ns0:t>
        </ns0:is>
      </ns0:c>
      <ns0:c r="L161" s="9">
        <ns0:f>I161-J161</ns0:f>
        <ns0:v>438</ns0:v>
      </ns0:c>
      <ns0:c r="M161" s="4" t="n">
        <ns0:v>8.4</ns0:v>
      </ns0:c>
      <ns0:c r="N161" s="10">
        <ns0:f>DATE(YEAR(C161),MONTH(C161),1)</ns0:f>
        <ns0:v>46054.0</ns0:v>
      </ns0:c>
      <ns0:c r="O161" s="4" t="str">
        <ns0:f>TEXT(N161,"yyyy-mm")</ns0:f>
        <ns0:v>2026-02</ns0:v>
      </ns0:c>
    </ns0:row>
    <ns0:row r="162">
      <ns0:c r="A162" s="4" t="inlineStr">
        <ns0:is>
          <ns0:t>SES-0161</ns0:t>
        </ns0:is>
      </ns0:c>
      <ns0:c r="B162" s="4" t="inlineStr">
        <ns0:is>
          <ns0:t>SYN-065</ns0:t>
        </ns0:is>
      </ns0:c>
      <ns0:c r="C162" s="10" t="n">
        <ns0:v>46056</ns0:v>
      </ns0:c>
      <ns0:c r="D162" s="4" t="inlineStr">
        <ns0:is>
          <ns0:t>Synthetic Script 065</ns0:t>
        </ns0:is>
      </ns0:c>
      <ns0:c r="E162" s="4" t="inlineStr">
        <ns0:is>
          <ns0:t>推理</ns0:t>
        </ns0:is>
      </ns0:c>
      <ns0:c r="F162" s="4" t="n">
        <ns0:v>2</ns0:v>
      </ns0:c>
      <ns0:c r="G162" s="4" t="n">
        <ns0:v>8</ns0:v>
      </ns0:c>
      <ns0:c r="H162" s="9" t="n">
        <ns0:v>65</ns0:v>
      </ns0:c>
      <ns0:c r="I162" s="9">
        <ns0:f>G162*H162</ns0:f>
        <ns0:v>520</ns0:v>
      </ns0:c>
      <ns0:c r="J162" s="9">
        <ns0:f>INDEX(Script_List!$H$2:$H$161,MATCH(B162,Script_List!$A$2:$A$161,0))</ns0:f>
        <ns0:v>137</ns0:v>
      </ns0:c>
      <ns0:c r="K162" s="4" t="inlineStr">
        <ns0:is>
          <ns0:t>城限</ns0:t>
        </ns0:is>
      </ns0:c>
      <ns0:c r="L162" s="9">
        <ns0:f>I162-J162</ns0:f>
        <ns0:v>383</ns0:v>
      </ns0:c>
      <ns0:c r="M162" s="4" t="n">
        <ns0:v>7.7</ns0:v>
      </ns0:c>
      <ns0:c r="N162" s="10">
        <ns0:f>DATE(YEAR(C162),MONTH(C162),1)</ns0:f>
        <ns0:v>46054.0</ns0:v>
      </ns0:c>
      <ns0:c r="O162" s="4" t="str">
        <ns0:f>TEXT(N162,"yyyy-mm")</ns0:f>
        <ns0:v>2026-02</ns0:v>
      </ns0:c>
    </ns0:row>
    <ns0:row r="163">
      <ns0:c r="A163" s="4" t="inlineStr">
        <ns0:is>
          <ns0:t>SES-0162</ns0:t>
        </ns0:is>
      </ns0:c>
      <ns0:c r="B163" s="4" t="inlineStr">
        <ns0:is>
          <ns0:t>SYN-065</ns0:t>
        </ns0:is>
      </ns0:c>
      <ns0:c r="C163" s="10" t="n">
        <ns0:v>46057</ns0:v>
      </ns0:c>
      <ns0:c r="D163" s="4" t="inlineStr">
        <ns0:is>
          <ns0:t>Synthetic Script 065</ns0:t>
        </ns0:is>
      </ns0:c>
      <ns0:c r="E163" s="4" t="inlineStr">
        <ns0:is>
          <ns0:t>推理</ns0:t>
        </ns0:is>
      </ns0:c>
      <ns0:c r="F163" s="4" t="n">
        <ns0:v>2</ns0:v>
      </ns0:c>
      <ns0:c r="G163" s="4" t="n">
        <ns0:v>8</ns0:v>
      </ns0:c>
      <ns0:c r="H163" s="9" t="n">
        <ns0:v>65</ns0:v>
      </ns0:c>
      <ns0:c r="I163" s="9">
        <ns0:f>G163*H163</ns0:f>
        <ns0:v>520</ns0:v>
      </ns0:c>
      <ns0:c r="J163" s="9">
        <ns0:f>INDEX(Script_List!$H$2:$H$161,MATCH(B163,Script_List!$A$2:$A$161,0))</ns0:f>
        <ns0:v>137</ns0:v>
      </ns0:c>
      <ns0:c r="K163" s="4" t="inlineStr">
        <ns0:is>
          <ns0:t>城限</ns0:t>
        </ns0:is>
      </ns0:c>
      <ns0:c r="L163" s="9">
        <ns0:f>I163-J163</ns0:f>
        <ns0:v>383</ns0:v>
      </ns0:c>
      <ns0:c r="M163" s="4" t="n">
        <ns0:v>7.7</ns0:v>
      </ns0:c>
      <ns0:c r="N163" s="10">
        <ns0:f>DATE(YEAR(C163),MONTH(C163),1)</ns0:f>
        <ns0:v>46054.0</ns0:v>
      </ns0:c>
      <ns0:c r="O163" s="4" t="str">
        <ns0:f>TEXT(N163,"yyyy-mm")</ns0:f>
        <ns0:v>2026-02</ns0:v>
      </ns0:c>
    </ns0:row>
    <ns0:row r="164">
      <ns0:c r="A164" s="4" t="inlineStr">
        <ns0:is>
          <ns0:t>SES-0163</ns0:t>
        </ns0:is>
      </ns0:c>
      <ns0:c r="B164" s="4" t="inlineStr">
        <ns0:is>
          <ns0:t>SYN-066</ns0:t>
        </ns0:is>
      </ns0:c>
      <ns0:c r="C164" s="10" t="n">
        <ns0:v>46058</ns0:v>
      </ns0:c>
      <ns0:c r="D164" s="4" t="inlineStr">
        <ns0:is>
          <ns0:t>Synthetic Script 066</ns0:t>
        </ns0:is>
      </ns0:c>
      <ns0:c r="E164" s="4" t="inlineStr">
        <ns0:is>
          <ns0:t>情感</ns0:t>
        </ns0:is>
      </ns0:c>
      <ns0:c r="F164" s="4" t="n">
        <ns0:v>2</ns0:v>
      </ns0:c>
      <ns0:c r="G164" s="4" t="n">
        <ns0:v>6</ns0:v>
      </ns0:c>
      <ns0:c r="H164" s="9" t="n">
        <ns0:v>109</ns0:v>
      </ns0:c>
      <ns0:c r="I164" s="9">
        <ns0:f>G164*H164</ns0:f>
        <ns0:v>654</ns0:v>
      </ns0:c>
      <ns0:c r="J164" s="9">
        <ns0:f>INDEX(Script_List!$H$2:$H$161,MATCH(B164,Script_List!$A$2:$A$161,0))</ns0:f>
        <ns0:v>180</ns0:v>
      </ns0:c>
      <ns0:c r="K164" s="4" t="inlineStr">
        <ns0:is>
          <ns0:t>盒装</ns0:t>
        </ns0:is>
      </ns0:c>
      <ns0:c r="L164" s="9">
        <ns0:f>I164-J164</ns0:f>
        <ns0:v>474</ns0:v>
      </ns0:c>
      <ns0:c r="M164" s="4" t="n">
        <ns0:v>8.4</ns0:v>
      </ns0:c>
      <ns0:c r="N164" s="10">
        <ns0:f>DATE(YEAR(C164),MONTH(C164),1)</ns0:f>
        <ns0:v>46054.0</ns0:v>
      </ns0:c>
      <ns0:c r="O164" s="4" t="str">
        <ns0:f>TEXT(N164,"yyyy-mm")</ns0:f>
        <ns0:v>2026-02</ns0:v>
      </ns0:c>
    </ns0:row>
    <ns0:row r="165">
      <ns0:c r="A165" s="4" t="inlineStr">
        <ns0:is>
          <ns0:t>SES-0164</ns0:t>
        </ns0:is>
      </ns0:c>
      <ns0:c r="B165" s="4" t="inlineStr">
        <ns0:is>
          <ns0:t>SYN-066</ns0:t>
        </ns0:is>
      </ns0:c>
      <ns0:c r="C165" s="10" t="n">
        <ns0:v>46059</ns0:v>
      </ns0:c>
      <ns0:c r="D165" s="4" t="inlineStr">
        <ns0:is>
          <ns0:t>Synthetic Script 066</ns0:t>
        </ns0:is>
      </ns0:c>
      <ns0:c r="E165" s="4" t="inlineStr">
        <ns0:is>
          <ns0:t>情感</ns0:t>
        </ns0:is>
      </ns0:c>
      <ns0:c r="F165" s="4" t="n">
        <ns0:v>2</ns0:v>
      </ns0:c>
      <ns0:c r="G165" s="4" t="n">
        <ns0:v>6</ns0:v>
      </ns0:c>
      <ns0:c r="H165" s="9" t="n">
        <ns0:v>109</ns0:v>
      </ns0:c>
      <ns0:c r="I165" s="9">
        <ns0:f>G165*H165</ns0:f>
        <ns0:v>654</ns0:v>
      </ns0:c>
      <ns0:c r="J165" s="9">
        <ns0:f>INDEX(Script_List!$H$2:$H$161,MATCH(B165,Script_List!$A$2:$A$161,0))</ns0:f>
        <ns0:v>180</ns0:v>
      </ns0:c>
      <ns0:c r="K165" s="4" t="inlineStr">
        <ns0:is>
          <ns0:t>盒装</ns0:t>
        </ns0:is>
      </ns0:c>
      <ns0:c r="L165" s="9">
        <ns0:f>I165-J165</ns0:f>
        <ns0:v>474</ns0:v>
      </ns0:c>
      <ns0:c r="M165" s="4" t="n">
        <ns0:v>8.4</ns0:v>
      </ns0:c>
      <ns0:c r="N165" s="10">
        <ns0:f>DATE(YEAR(C165),MONTH(C165),1)</ns0:f>
        <ns0:v>46054.0</ns0:v>
      </ns0:c>
      <ns0:c r="O165" s="4" t="str">
        <ns0:f>TEXT(N165,"yyyy-mm")</ns0:f>
        <ns0:v>2026-02</ns0:v>
      </ns0:c>
    </ns0:row>
    <ns0:row r="166">
      <ns0:c r="A166" s="4" t="inlineStr">
        <ns0:is>
          <ns0:t>SES-0165</ns0:t>
        </ns0:is>
      </ns0:c>
      <ns0:c r="B166" s="4" t="inlineStr">
        <ns0:is>
          <ns0:t>SYN-066</ns0:t>
        </ns0:is>
      </ns0:c>
      <ns0:c r="C166" s="10" t="n">
        <ns0:v>46060</ns0:v>
      </ns0:c>
      <ns0:c r="D166" s="4" t="inlineStr">
        <ns0:is>
          <ns0:t>Synthetic Script 066</ns0:t>
        </ns0:is>
      </ns0:c>
      <ns0:c r="E166" s="4" t="inlineStr">
        <ns0:is>
          <ns0:t>情感</ns0:t>
        </ns0:is>
      </ns0:c>
      <ns0:c r="F166" s="4" t="n">
        <ns0:v>2</ns0:v>
      </ns0:c>
      <ns0:c r="G166" s="4" t="n">
        <ns0:v>6</ns0:v>
      </ns0:c>
      <ns0:c r="H166" s="9" t="n">
        <ns0:v>109</ns0:v>
      </ns0:c>
      <ns0:c r="I166" s="9">
        <ns0:f>G166*H166</ns0:f>
        <ns0:v>654</ns0:v>
      </ns0:c>
      <ns0:c r="J166" s="9">
        <ns0:f>INDEX(Script_List!$H$2:$H$161,MATCH(B166,Script_List!$A$2:$A$161,0))</ns0:f>
        <ns0:v>180</ns0:v>
      </ns0:c>
      <ns0:c r="K166" s="4" t="inlineStr">
        <ns0:is>
          <ns0:t>盒装</ns0:t>
        </ns0:is>
      </ns0:c>
      <ns0:c r="L166" s="9">
        <ns0:f>I166-J166</ns0:f>
        <ns0:v>474</ns0:v>
      </ns0:c>
      <ns0:c r="M166" s="4" t="n">
        <ns0:v>8.4</ns0:v>
      </ns0:c>
      <ns0:c r="N166" s="10">
        <ns0:f>DATE(YEAR(C166),MONTH(C166),1)</ns0:f>
        <ns0:v>46054.0</ns0:v>
      </ns0:c>
      <ns0:c r="O166" s="4" t="str">
        <ns0:f>TEXT(N166,"yyyy-mm")</ns0:f>
        <ns0:v>2026-02</ns0:v>
      </ns0:c>
    </ns0:row>
    <ns0:row r="167">
      <ns0:c r="A167" s="4" t="inlineStr">
        <ns0:is>
          <ns0:t>SES-0166</ns0:t>
        </ns0:is>
      </ns0:c>
      <ns0:c r="B167" s="4" t="inlineStr">
        <ns0:is>
          <ns0:t>SYN-066</ns0:t>
        </ns0:is>
      </ns0:c>
      <ns0:c r="C167" s="10" t="n">
        <ns0:v>46061</ns0:v>
      </ns0:c>
      <ns0:c r="D167" s="4" t="inlineStr">
        <ns0:is>
          <ns0:t>Synthetic Script 066</ns0:t>
        </ns0:is>
      </ns0:c>
      <ns0:c r="E167" s="4" t="inlineStr">
        <ns0:is>
          <ns0:t>情感</ns0:t>
        </ns0:is>
      </ns0:c>
      <ns0:c r="F167" s="4" t="n">
        <ns0:v>2</ns0:v>
      </ns0:c>
      <ns0:c r="G167" s="4" t="n">
        <ns0:v>6</ns0:v>
      </ns0:c>
      <ns0:c r="H167" s="9" t="n">
        <ns0:v>109</ns0:v>
      </ns0:c>
      <ns0:c r="I167" s="9">
        <ns0:f>G167*H167</ns0:f>
        <ns0:v>654</ns0:v>
      </ns0:c>
      <ns0:c r="J167" s="9">
        <ns0:f>INDEX(Script_List!$H$2:$H$161,MATCH(B167,Script_List!$A$2:$A$161,0))</ns0:f>
        <ns0:v>180</ns0:v>
      </ns0:c>
      <ns0:c r="K167" s="4" t="inlineStr">
        <ns0:is>
          <ns0:t>盒装</ns0:t>
        </ns0:is>
      </ns0:c>
      <ns0:c r="L167" s="9">
        <ns0:f>I167-J167</ns0:f>
        <ns0:v>474</ns0:v>
      </ns0:c>
      <ns0:c r="M167" s="4" t="n">
        <ns0:v>8.4</ns0:v>
      </ns0:c>
      <ns0:c r="N167" s="10">
        <ns0:f>DATE(YEAR(C167),MONTH(C167),1)</ns0:f>
        <ns0:v>46054.0</ns0:v>
      </ns0:c>
      <ns0:c r="O167" s="4" t="str">
        <ns0:f>TEXT(N167,"yyyy-mm")</ns0:f>
        <ns0:v>2026-02</ns0:v>
      </ns0:c>
    </ns0:row>
    <ns0:row r="168">
      <ns0:c r="A168" s="4" t="inlineStr">
        <ns0:is>
          <ns0:t>SES-0167</ns0:t>
        </ns0:is>
      </ns0:c>
      <ns0:c r="B168" s="4" t="inlineStr">
        <ns0:is>
          <ns0:t>SYN-068</ns0:t>
        </ns0:is>
      </ns0:c>
      <ns0:c r="C168" s="10" t="n">
        <ns0:v>46062</ns0:v>
      </ns0:c>
      <ns0:c r="D168" s="4" t="inlineStr">
        <ns0:is>
          <ns0:t>Synthetic Script 068</ns0:t>
        </ns0:is>
      </ns0:c>
      <ns0:c r="E168" s="4" t="inlineStr">
        <ns0:is>
          <ns0:t>推理</ns0:t>
        </ns0:is>
      </ns0:c>
      <ns0:c r="F168" s="4" t="n">
        <ns0:v>1</ns0:v>
      </ns0:c>
      <ns0:c r="G168" s="4" t="n">
        <ns0:v>6</ns0:v>
      </ns0:c>
      <ns0:c r="H168" s="9" t="n">
        <ns0:v>119</ns0:v>
      </ns0:c>
      <ns0:c r="I168" s="9">
        <ns0:f>G168*H168</ns0:f>
        <ns0:v>714</ns0:v>
      </ns0:c>
      <ns0:c r="J168" s="9">
        <ns0:f>INDEX(Script_List!$H$2:$H$161,MATCH(B168,Script_List!$A$2:$A$161,0))</ns0:f>
        <ns0:v>187</ns0:v>
      </ns0:c>
      <ns0:c r="K168" s="4" t="inlineStr">
        <ns0:is>
          <ns0:t>盒装</ns0:t>
        </ns0:is>
      </ns0:c>
      <ns0:c r="L168" s="9">
        <ns0:f>I168-J168</ns0:f>
        <ns0:v>527</ns0:v>
      </ns0:c>
      <ns0:c r="M168" s="4" t="n">
        <ns0:v>7.7</ns0:v>
      </ns0:c>
      <ns0:c r="N168" s="10">
        <ns0:f>DATE(YEAR(C168),MONTH(C168),1)</ns0:f>
        <ns0:v>46054.0</ns0:v>
      </ns0:c>
      <ns0:c r="O168" s="4" t="str">
        <ns0:f>TEXT(N168,"yyyy-mm")</ns0:f>
        <ns0:v>2026-02</ns0:v>
      </ns0:c>
    </ns0:row>
    <ns0:row r="169">
      <ns0:c r="A169" s="4" t="inlineStr">
        <ns0:is>
          <ns0:t>SES-0168</ns0:t>
        </ns0:is>
      </ns0:c>
      <ns0:c r="B169" s="4" t="inlineStr">
        <ns0:is>
          <ns0:t>SYN-068</ns0:t>
        </ns0:is>
      </ns0:c>
      <ns0:c r="C169" s="10" t="n">
        <ns0:v>46063</ns0:v>
      </ns0:c>
      <ns0:c r="D169" s="4" t="inlineStr">
        <ns0:is>
          <ns0:t>Synthetic Script 068</ns0:t>
        </ns0:is>
      </ns0:c>
      <ns0:c r="E169" s="4" t="inlineStr">
        <ns0:is>
          <ns0:t>推理</ns0:t>
        </ns0:is>
      </ns0:c>
      <ns0:c r="F169" s="4" t="n">
        <ns0:v>1</ns0:v>
      </ns0:c>
      <ns0:c r="G169" s="4" t="n">
        <ns0:v>6</ns0:v>
      </ns0:c>
      <ns0:c r="H169" s="9" t="n">
        <ns0:v>119</ns0:v>
      </ns0:c>
      <ns0:c r="I169" s="9">
        <ns0:f>G169*H169</ns0:f>
        <ns0:v>714</ns0:v>
      </ns0:c>
      <ns0:c r="J169" s="9">
        <ns0:f>INDEX(Script_List!$H$2:$H$161,MATCH(B169,Script_List!$A$2:$A$161,0))</ns0:f>
        <ns0:v>187</ns0:v>
      </ns0:c>
      <ns0:c r="K169" s="4" t="inlineStr">
        <ns0:is>
          <ns0:t>盒装</ns0:t>
        </ns0:is>
      </ns0:c>
      <ns0:c r="L169" s="9">
        <ns0:f>I169-J169</ns0:f>
        <ns0:v>527</ns0:v>
      </ns0:c>
      <ns0:c r="M169" s="4" t="n">
        <ns0:v>7.7</ns0:v>
      </ns0:c>
      <ns0:c r="N169" s="10">
        <ns0:f>DATE(YEAR(C169),MONTH(C169),1)</ns0:f>
        <ns0:v>46054.0</ns0:v>
      </ns0:c>
      <ns0:c r="O169" s="4" t="str">
        <ns0:f>TEXT(N169,"yyyy-mm")</ns0:f>
        <ns0:v>2026-02</ns0:v>
      </ns0:c>
    </ns0:row>
    <ns0:row r="170">
      <ns0:c r="A170" s="4" t="inlineStr">
        <ns0:is>
          <ns0:t>SES-0169</ns0:t>
        </ns0:is>
      </ns0:c>
      <ns0:c r="B170" s="4" t="inlineStr">
        <ns0:is>
          <ns0:t>SYN-069</ns0:t>
        </ns0:is>
      </ns0:c>
      <ns0:c r="C170" s="10" t="n">
        <ns0:v>46064</ns0:v>
      </ns0:c>
      <ns0:c r="D170" s="4" t="inlineStr">
        <ns0:is>
          <ns0:t>Synthetic Script 069</ns0:t>
        </ns0:is>
      </ns0:c>
      <ns0:c r="E170" s="4" t="inlineStr">
        <ns0:is>
          <ns0:t>欢乐</ns0:t>
        </ns0:is>
      </ns0:c>
      <ns0:c r="F170" s="4" t="n">
        <ns0:v>3</ns0:v>
      </ns0:c>
      <ns0:c r="G170" s="4" t="n">
        <ns0:v>7</ns0:v>
      </ns0:c>
      <ns0:c r="H170" s="9" t="n">
        <ns0:v>95</ns0:v>
      </ns0:c>
      <ns0:c r="I170" s="9">
        <ns0:f>G170*H170</ns0:f>
        <ns0:v>665</ns0:v>
      </ns0:c>
      <ns0:c r="J170" s="9">
        <ns0:f>INDEX(Script_List!$H$2:$H$161,MATCH(B170,Script_List!$A$2:$A$161,0))</ns0:f>
        <ns0:v>175</ns0:v>
      </ns0:c>
      <ns0:c r="K170" s="4" t="inlineStr">
        <ns0:is>
          <ns0:t>独家</ns0:t>
        </ns0:is>
      </ns0:c>
      <ns0:c r="L170" s="9">
        <ns0:f>I170-J170</ns0:f>
        <ns0:v>490</ns0:v>
      </ns0:c>
      <ns0:c r="M170" s="4" t="n">
        <ns0:v>8.4</ns0:v>
      </ns0:c>
      <ns0:c r="N170" s="10">
        <ns0:f>DATE(YEAR(C170),MONTH(C170),1)</ns0:f>
        <ns0:v>46054.0</ns0:v>
      </ns0:c>
      <ns0:c r="O170" s="4" t="str">
        <ns0:f>TEXT(N170,"yyyy-mm")</ns0:f>
        <ns0:v>2026-02</ns0:v>
      </ns0:c>
    </ns0:row>
    <ns0:row r="171">
      <ns0:c r="A171" s="4" t="inlineStr">
        <ns0:is>
          <ns0:t>SES-0170</ns0:t>
        </ns0:is>
      </ns0:c>
      <ns0:c r="B171" s="4" t="inlineStr">
        <ns0:is>
          <ns0:t>SYN-069</ns0:t>
        </ns0:is>
      </ns0:c>
      <ns0:c r="C171" s="10" t="n">
        <ns0:v>46065</ns0:v>
      </ns0:c>
      <ns0:c r="D171" s="4" t="inlineStr">
        <ns0:is>
          <ns0:t>Synthetic Script 069</ns0:t>
        </ns0:is>
      </ns0:c>
      <ns0:c r="E171" s="4" t="inlineStr">
        <ns0:is>
          <ns0:t>欢乐</ns0:t>
        </ns0:is>
      </ns0:c>
      <ns0:c r="F171" s="4" t="n">
        <ns0:v>3</ns0:v>
      </ns0:c>
      <ns0:c r="G171" s="4" t="n">
        <ns0:v>7</ns0:v>
      </ns0:c>
      <ns0:c r="H171" s="9" t="n">
        <ns0:v>95</ns0:v>
      </ns0:c>
      <ns0:c r="I171" s="9">
        <ns0:f>G171*H171</ns0:f>
        <ns0:v>665</ns0:v>
      </ns0:c>
      <ns0:c r="J171" s="9">
        <ns0:f>INDEX(Script_List!$H$2:$H$161,MATCH(B171,Script_List!$A$2:$A$161,0))</ns0:f>
        <ns0:v>175</ns0:v>
      </ns0:c>
      <ns0:c r="K171" s="4" t="inlineStr">
        <ns0:is>
          <ns0:t>独家</ns0:t>
        </ns0:is>
      </ns0:c>
      <ns0:c r="L171" s="9">
        <ns0:f>I171-J171</ns0:f>
        <ns0:v>490</ns0:v>
      </ns0:c>
      <ns0:c r="M171" s="4" t="n">
        <ns0:v>8.4</ns0:v>
      </ns0:c>
      <ns0:c r="N171" s="10">
        <ns0:f>DATE(YEAR(C171),MONTH(C171),1)</ns0:f>
        <ns0:v>46054.0</ns0:v>
      </ns0:c>
      <ns0:c r="O171" s="4" t="str">
        <ns0:f>TEXT(N171,"yyyy-mm")</ns0:f>
        <ns0:v>2026-02</ns0:v>
      </ns0:c>
    </ns0:row>
    <ns0:row r="172">
      <ns0:c r="A172" s="4" t="inlineStr">
        <ns0:is>
          <ns0:t>SES-0171</ns0:t>
        </ns0:is>
      </ns0:c>
      <ns0:c r="B172" s="4" t="inlineStr">
        <ns0:is>
          <ns0:t>SYN-069</ns0:t>
        </ns0:is>
      </ns0:c>
      <ns0:c r="C172" s="10" t="n">
        <ns0:v>46066</ns0:v>
      </ns0:c>
      <ns0:c r="D172" s="4" t="inlineStr">
        <ns0:is>
          <ns0:t>Synthetic Script 069</ns0:t>
        </ns0:is>
      </ns0:c>
      <ns0:c r="E172" s="4" t="inlineStr">
        <ns0:is>
          <ns0:t>欢乐</ns0:t>
        </ns0:is>
      </ns0:c>
      <ns0:c r="F172" s="4" t="n">
        <ns0:v>3</ns0:v>
      </ns0:c>
      <ns0:c r="G172" s="4" t="n">
        <ns0:v>7</ns0:v>
      </ns0:c>
      <ns0:c r="H172" s="9" t="n">
        <ns0:v>95</ns0:v>
      </ns0:c>
      <ns0:c r="I172" s="9">
        <ns0:f>G172*H172</ns0:f>
        <ns0:v>665</ns0:v>
      </ns0:c>
      <ns0:c r="J172" s="9">
        <ns0:f>INDEX(Script_List!$H$2:$H$161,MATCH(B172,Script_List!$A$2:$A$161,0))</ns0:f>
        <ns0:v>175</ns0:v>
      </ns0:c>
      <ns0:c r="K172" s="4" t="inlineStr">
        <ns0:is>
          <ns0:t>独家</ns0:t>
        </ns0:is>
      </ns0:c>
      <ns0:c r="L172" s="9">
        <ns0:f>I172-J172</ns0:f>
        <ns0:v>490</ns0:v>
      </ns0:c>
      <ns0:c r="M172" s="4" t="n">
        <ns0:v>8.4</ns0:v>
      </ns0:c>
      <ns0:c r="N172" s="10">
        <ns0:f>DATE(YEAR(C172),MONTH(C172),1)</ns0:f>
        <ns0:v>46054.0</ns0:v>
      </ns0:c>
      <ns0:c r="O172" s="4" t="str">
        <ns0:f>TEXT(N172,"yyyy-mm")</ns0:f>
        <ns0:v>2026-02</ns0:v>
      </ns0:c>
    </ns0:row>
    <ns0:row r="173">
      <ns0:c r="A173" s="4" t="inlineStr">
        <ns0:is>
          <ns0:t>SES-0172</ns0:t>
        </ns0:is>
      </ns0:c>
      <ns0:c r="B173" s="4" t="inlineStr">
        <ns0:is>
          <ns0:t>SYN-069</ns0:t>
        </ns0:is>
      </ns0:c>
      <ns0:c r="C173" s="10" t="n">
        <ns0:v>46067</ns0:v>
      </ns0:c>
      <ns0:c r="D173" s="4" t="inlineStr">
        <ns0:is>
          <ns0:t>Synthetic Script 069</ns0:t>
        </ns0:is>
      </ns0:c>
      <ns0:c r="E173" s="4" t="inlineStr">
        <ns0:is>
          <ns0:t>欢乐</ns0:t>
        </ns0:is>
      </ns0:c>
      <ns0:c r="F173" s="4" t="n">
        <ns0:v>3</ns0:v>
      </ns0:c>
      <ns0:c r="G173" s="4" t="n">
        <ns0:v>7</ns0:v>
      </ns0:c>
      <ns0:c r="H173" s="9" t="n">
        <ns0:v>95</ns0:v>
      </ns0:c>
      <ns0:c r="I173" s="9">
        <ns0:f>G173*H173</ns0:f>
        <ns0:v>665</ns0:v>
      </ns0:c>
      <ns0:c r="J173" s="9">
        <ns0:f>INDEX(Script_List!$H$2:$H$161,MATCH(B173,Script_List!$A$2:$A$161,0))</ns0:f>
        <ns0:v>175</ns0:v>
      </ns0:c>
      <ns0:c r="K173" s="4" t="inlineStr">
        <ns0:is>
          <ns0:t>独家</ns0:t>
        </ns0:is>
      </ns0:c>
      <ns0:c r="L173" s="9">
        <ns0:f>I173-J173</ns0:f>
        <ns0:v>490</ns0:v>
      </ns0:c>
      <ns0:c r="M173" s="4" t="n">
        <ns0:v>8.4</ns0:v>
      </ns0:c>
      <ns0:c r="N173" s="10">
        <ns0:f>DATE(YEAR(C173),MONTH(C173),1)</ns0:f>
        <ns0:v>46054.0</ns0:v>
      </ns0:c>
      <ns0:c r="O173" s="4" t="str">
        <ns0:f>TEXT(N173,"yyyy-mm")</ns0:f>
        <ns0:v>2026-02</ns0:v>
      </ns0:c>
    </ns0:row>
    <ns0:row r="174">
      <ns0:c r="A174" s="4" t="inlineStr">
        <ns0:is>
          <ns0:t>SES-0173</ns0:t>
        </ns0:is>
      </ns0:c>
      <ns0:c r="B174" s="4" t="inlineStr">
        <ns0:is>
          <ns0:t>SYN-070</ns0:t>
        </ns0:is>
      </ns0:c>
      <ns0:c r="C174" s="10" t="n">
        <ns0:v>46068</ns0:v>
      </ns0:c>
      <ns0:c r="D174" s="4" t="inlineStr">
        <ns0:is>
          <ns0:t>Synthetic Script 070</ns0:t>
        </ns0:is>
      </ns0:c>
      <ns0:c r="E174" s="4" t="inlineStr">
        <ns0:is>
          <ns0:t>情感</ns0:t>
        </ns0:is>
      </ns0:c>
      <ns0:c r="F174" s="4" t="n">
        <ns0:v>6</ns0:v>
      </ns0:c>
      <ns0:c r="G174" s="4" t="n">
        <ns0:v>8</ns0:v>
      </ns0:c>
      <ns0:c r="H174" s="9" t="n">
        <ns0:v>109</ns0:v>
      </ns0:c>
      <ns0:c r="I174" s="9">
        <ns0:f>G174*H174</ns0:f>
        <ns0:v>872</ns0:v>
      </ns0:c>
      <ns0:c r="J174" s="9">
        <ns0:f>INDEX(Script_List!$H$2:$H$161,MATCH(B174,Script_List!$A$2:$A$161,0))</ns0:f>
        <ns0:v>540</ns0:v>
      </ns0:c>
      <ns0:c r="K174" s="4" t="inlineStr">
        <ns0:is>
          <ns0:t>盒装</ns0:t>
        </ns0:is>
      </ns0:c>
      <ns0:c r="L174" s="9">
        <ns0:f>I174-J174</ns0:f>
        <ns0:v>332</ns0:v>
      </ns0:c>
      <ns0:c r="M174" s="4" t="n">
        <ns0:v>7</ns0:v>
      </ns0:c>
      <ns0:c r="N174" s="10">
        <ns0:f>DATE(YEAR(C174),MONTH(C174),1)</ns0:f>
        <ns0:v>46054.0</ns0:v>
      </ns0:c>
      <ns0:c r="O174" s="4" t="str">
        <ns0:f>TEXT(N174,"yyyy-mm")</ns0:f>
        <ns0:v>2026-02</ns0:v>
      </ns0:c>
    </ns0:row>
    <ns0:row r="175">
      <ns0:c r="A175" s="4" t="inlineStr">
        <ns0:is>
          <ns0:t>SES-0174</ns0:t>
        </ns0:is>
      </ns0:c>
      <ns0:c r="B175" s="4" t="inlineStr">
        <ns0:is>
          <ns0:t>SYN-071</ns0:t>
        </ns0:is>
      </ns0:c>
      <ns0:c r="C175" s="10" t="n">
        <ns0:v>46069</ns0:v>
      </ns0:c>
      <ns0:c r="D175" s="4" t="inlineStr">
        <ns0:is>
          <ns0:t>Synthetic Script 071</ns0:t>
        </ns0:is>
      </ns0:c>
      <ns0:c r="E175" s="4" t="inlineStr">
        <ns0:is>
          <ns0:t>情感</ns0:t>
        </ns0:is>
      </ns0:c>
      <ns0:c r="F175" s="4" t="n">
        <ns0:v>2</ns0:v>
      </ns0:c>
      <ns0:c r="G175" s="4" t="n">
        <ns0:v>6</ns0:v>
      </ns0:c>
      <ns0:c r="H175" s="9" t="n">
        <ns0:v>118</ns0:v>
      </ns0:c>
      <ns0:c r="I175" s="9">
        <ns0:f>G175*H175</ns0:f>
        <ns0:v>708</ns0:v>
      </ns0:c>
      <ns0:c r="J175" s="9">
        <ns0:f>INDEX(Script_List!$H$2:$H$161,MATCH(B175,Script_List!$A$2:$A$161,0))</ns0:f>
        <ns0:v>180</ns0:v>
      </ns0:c>
      <ns0:c r="K175" s="4" t="inlineStr">
        <ns0:is>
          <ns0:t>盒装</ns0:t>
        </ns0:is>
      </ns0:c>
      <ns0:c r="L175" s="9">
        <ns0:f>I175-J175</ns0:f>
        <ns0:v>528</ns0:v>
      </ns0:c>
      <ns0:c r="M175" s="4" t="n">
        <ns0:v>7.7</ns0:v>
      </ns0:c>
      <ns0:c r="N175" s="10">
        <ns0:f>DATE(YEAR(C175),MONTH(C175),1)</ns0:f>
        <ns0:v>46054.0</ns0:v>
      </ns0:c>
      <ns0:c r="O175" s="4" t="str">
        <ns0:f>TEXT(N175,"yyyy-mm")</ns0:f>
        <ns0:v>2026-02</ns0:v>
      </ns0:c>
    </ns0:row>
    <ns0:row r="176">
      <ns0:c r="A176" s="4" t="inlineStr">
        <ns0:is>
          <ns0:t>SES-0175</ns0:t>
        </ns0:is>
      </ns0:c>
      <ns0:c r="B176" s="4" t="inlineStr">
        <ns0:is>
          <ns0:t>SYN-071</ns0:t>
        </ns0:is>
      </ns0:c>
      <ns0:c r="C176" s="10" t="n">
        <ns0:v>46070</ns0:v>
      </ns0:c>
      <ns0:c r="D176" s="4" t="inlineStr">
        <ns0:is>
          <ns0:t>Synthetic Script 071</ns0:t>
        </ns0:is>
      </ns0:c>
      <ns0:c r="E176" s="4" t="inlineStr">
        <ns0:is>
          <ns0:t>情感</ns0:t>
        </ns0:is>
      </ns0:c>
      <ns0:c r="F176" s="4" t="n">
        <ns0:v>2</ns0:v>
      </ns0:c>
      <ns0:c r="G176" s="4" t="n">
        <ns0:v>6</ns0:v>
      </ns0:c>
      <ns0:c r="H176" s="9" t="n">
        <ns0:v>118</ns0:v>
      </ns0:c>
      <ns0:c r="I176" s="9">
        <ns0:f>G176*H176</ns0:f>
        <ns0:v>708</ns0:v>
      </ns0:c>
      <ns0:c r="J176" s="9">
        <ns0:f>INDEX(Script_List!$H$2:$H$161,MATCH(B176,Script_List!$A$2:$A$161,0))</ns0:f>
        <ns0:v>180</ns0:v>
      </ns0:c>
      <ns0:c r="K176" s="4" t="inlineStr">
        <ns0:is>
          <ns0:t>盒装</ns0:t>
        </ns0:is>
      </ns0:c>
      <ns0:c r="L176" s="9">
        <ns0:f>I176-J176</ns0:f>
        <ns0:v>528</ns0:v>
      </ns0:c>
      <ns0:c r="M176" s="4" t="n">
        <ns0:v>7.7</ns0:v>
      </ns0:c>
      <ns0:c r="N176" s="10">
        <ns0:f>DATE(YEAR(C176),MONTH(C176),1)</ns0:f>
        <ns0:v>46054.0</ns0:v>
      </ns0:c>
      <ns0:c r="O176" s="4" t="str">
        <ns0:f>TEXT(N176,"yyyy-mm")</ns0:f>
        <ns0:v>2026-02</ns0:v>
      </ns0:c>
    </ns0:row>
    <ns0:row r="177">
      <ns0:c r="A177" s="4" t="inlineStr">
        <ns0:is>
          <ns0:t>SES-0176</ns0:t>
        </ns0:is>
      </ns0:c>
      <ns0:c r="B177" s="4" t="inlineStr">
        <ns0:is>
          <ns0:t>SYN-072</ns0:t>
        </ns0:is>
      </ns0:c>
      <ns0:c r="C177" s="10" t="n">
        <ns0:v>46071</ns0:v>
      </ns0:c>
      <ns0:c r="D177" s="4" t="inlineStr">
        <ns0:is>
          <ns0:t>Synthetic Script 072</ns0:t>
        </ns0:is>
      </ns0:c>
      <ns0:c r="E177" s="4" t="inlineStr">
        <ns0:is>
          <ns0:t>推理</ns0:t>
        </ns0:is>
      </ns0:c>
      <ns0:c r="F177" s="4" t="n">
        <ns0:v>1</ns0:v>
      </ns0:c>
      <ns0:c r="G177" s="4" t="n">
        <ns0:v>6</ns0:v>
      </ns0:c>
      <ns0:c r="H177" s="9" t="n">
        <ns0:v>119</ns0:v>
      </ns0:c>
      <ns0:c r="I177" s="9">
        <ns0:f>G177*H177</ns0:f>
        <ns0:v>714</ns0:v>
      </ns0:c>
      <ns0:c r="J177" s="9">
        <ns0:f>INDEX(Script_List!$H$2:$H$161,MATCH(B177,Script_List!$A$2:$A$161,0))</ns0:f>
        <ns0:v>187</ns0:v>
      </ns0:c>
      <ns0:c r="K177" s="4" t="inlineStr">
        <ns0:is>
          <ns0:t>城限</ns0:t>
        </ns0:is>
      </ns0:c>
      <ns0:c r="L177" s="9">
        <ns0:f>I177-J177</ns0:f>
        <ns0:v>527</ns0:v>
      </ns0:c>
      <ns0:c r="M177" s="4" t="n">
        <ns0:v>8.4</ns0:v>
      </ns0:c>
      <ns0:c r="N177" s="10">
        <ns0:f>DATE(YEAR(C177),MONTH(C177),1)</ns0:f>
        <ns0:v>46054.0</ns0:v>
      </ns0:c>
      <ns0:c r="O177" s="4" t="str">
        <ns0:f>TEXT(N177,"yyyy-mm")</ns0:f>
        <ns0:v>2026-02</ns0:v>
      </ns0:c>
    </ns0:row>
    <ns0:row r="178">
      <ns0:c r="A178" s="4" t="inlineStr">
        <ns0:is>
          <ns0:t>SES-0177</ns0:t>
        </ns0:is>
      </ns0:c>
      <ns0:c r="B178" s="4" t="inlineStr">
        <ns0:is>
          <ns0:t>SYN-072</ns0:t>
        </ns0:is>
      </ns0:c>
      <ns0:c r="C178" s="10" t="n">
        <ns0:v>46071</ns0:v>
      </ns0:c>
      <ns0:c r="D178" s="4" t="inlineStr">
        <ns0:is>
          <ns0:t>Synthetic Script 072</ns0:t>
        </ns0:is>
      </ns0:c>
      <ns0:c r="E178" s="4" t="inlineStr">
        <ns0:is>
          <ns0:t>推理</ns0:t>
        </ns0:is>
      </ns0:c>
      <ns0:c r="F178" s="4" t="n">
        <ns0:v>1</ns0:v>
      </ns0:c>
      <ns0:c r="G178" s="4" t="n">
        <ns0:v>6</ns0:v>
      </ns0:c>
      <ns0:c r="H178" s="9" t="n">
        <ns0:v>119</ns0:v>
      </ns0:c>
      <ns0:c r="I178" s="9">
        <ns0:f>G178*H178</ns0:f>
        <ns0:v>714</ns0:v>
      </ns0:c>
      <ns0:c r="J178" s="9">
        <ns0:f>INDEX(Script_List!$H$2:$H$161,MATCH(B178,Script_List!$A$2:$A$161,0))</ns0:f>
        <ns0:v>187</ns0:v>
      </ns0:c>
      <ns0:c r="K178" s="4" t="inlineStr">
        <ns0:is>
          <ns0:t>城限</ns0:t>
        </ns0:is>
      </ns0:c>
      <ns0:c r="L178" s="9">
        <ns0:f>I178-J178</ns0:f>
        <ns0:v>527</ns0:v>
      </ns0:c>
      <ns0:c r="M178" s="4" t="n">
        <ns0:v>8.4</ns0:v>
      </ns0:c>
      <ns0:c r="N178" s="10">
        <ns0:f>DATE(YEAR(C178),MONTH(C178),1)</ns0:f>
        <ns0:v>46054.0</ns0:v>
      </ns0:c>
      <ns0:c r="O178" s="4" t="str">
        <ns0:f>TEXT(N178,"yyyy-mm")</ns0:f>
        <ns0:v>2026-02</ns0:v>
      </ns0:c>
    </ns0:row>
    <ns0:row r="179">
      <ns0:c r="A179" s="4" t="inlineStr">
        <ns0:is>
          <ns0:t>SES-0178</ns0:t>
        </ns0:is>
      </ns0:c>
      <ns0:c r="B179" s="4" t="inlineStr">
        <ns0:is>
          <ns0:t>SYN-072</ns0:t>
        </ns0:is>
      </ns0:c>
      <ns0:c r="C179" s="10" t="n">
        <ns0:v>46072</ns0:v>
      </ns0:c>
      <ns0:c r="D179" s="4" t="inlineStr">
        <ns0:is>
          <ns0:t>Synthetic Script 072</ns0:t>
        </ns0:is>
      </ns0:c>
      <ns0:c r="E179" s="4" t="inlineStr">
        <ns0:is>
          <ns0:t>推理</ns0:t>
        </ns0:is>
      </ns0:c>
      <ns0:c r="F179" s="4" t="n">
        <ns0:v>1</ns0:v>
      </ns0:c>
      <ns0:c r="G179" s="4" t="n">
        <ns0:v>6</ns0:v>
      </ns0:c>
      <ns0:c r="H179" s="9" t="n">
        <ns0:v>119</ns0:v>
      </ns0:c>
      <ns0:c r="I179" s="9">
        <ns0:f>G179*H179</ns0:f>
        <ns0:v>714</ns0:v>
      </ns0:c>
      <ns0:c r="J179" s="9">
        <ns0:f>INDEX(Script_List!$H$2:$H$161,MATCH(B179,Script_List!$A$2:$A$161,0))</ns0:f>
        <ns0:v>187</ns0:v>
      </ns0:c>
      <ns0:c r="K179" s="4" t="inlineStr">
        <ns0:is>
          <ns0:t>城限</ns0:t>
        </ns0:is>
      </ns0:c>
      <ns0:c r="L179" s="9">
        <ns0:f>I179-J179</ns0:f>
        <ns0:v>527</ns0:v>
      </ns0:c>
      <ns0:c r="M179" s="4" t="n">
        <ns0:v>8.4</ns0:v>
      </ns0:c>
      <ns0:c r="N179" s="10">
        <ns0:f>DATE(YEAR(C179),MONTH(C179),1)</ns0:f>
        <ns0:v>46054.0</ns0:v>
      </ns0:c>
      <ns0:c r="O179" s="4" t="str">
        <ns0:f>TEXT(N179,"yyyy-mm")</ns0:f>
        <ns0:v>2026-02</ns0:v>
      </ns0:c>
    </ns0:row>
    <ns0:row r="180">
      <ns0:c r="A180" s="4" t="inlineStr">
        <ns0:is>
          <ns0:t>SES-0179</ns0:t>
        </ns0:is>
      </ns0:c>
      <ns0:c r="B180" s="4" t="inlineStr">
        <ns0:is>
          <ns0:t>SYN-072</ns0:t>
        </ns0:is>
      </ns0:c>
      <ns0:c r="C180" s="10" t="n">
        <ns0:v>46073</ns0:v>
      </ns0:c>
      <ns0:c r="D180" s="4" t="inlineStr">
        <ns0:is>
          <ns0:t>Synthetic Script 072</ns0:t>
        </ns0:is>
      </ns0:c>
      <ns0:c r="E180" s="4" t="inlineStr">
        <ns0:is>
          <ns0:t>推理</ns0:t>
        </ns0:is>
      </ns0:c>
      <ns0:c r="F180" s="4" t="n">
        <ns0:v>1</ns0:v>
      </ns0:c>
      <ns0:c r="G180" s="4" t="n">
        <ns0:v>6</ns0:v>
      </ns0:c>
      <ns0:c r="H180" s="9" t="n">
        <ns0:v>119</ns0:v>
      </ns0:c>
      <ns0:c r="I180" s="9">
        <ns0:f>G180*H180</ns0:f>
        <ns0:v>714</ns0:v>
      </ns0:c>
      <ns0:c r="J180" s="9">
        <ns0:f>INDEX(Script_List!$H$2:$H$161,MATCH(B180,Script_List!$A$2:$A$161,0))</ns0:f>
        <ns0:v>187</ns0:v>
      </ns0:c>
      <ns0:c r="K180" s="4" t="inlineStr">
        <ns0:is>
          <ns0:t>城限</ns0:t>
        </ns0:is>
      </ns0:c>
      <ns0:c r="L180" s="9">
        <ns0:f>I180-J180</ns0:f>
        <ns0:v>527</ns0:v>
      </ns0:c>
      <ns0:c r="M180" s="4" t="n">
        <ns0:v>8.4</ns0:v>
      </ns0:c>
      <ns0:c r="N180" s="10">
        <ns0:f>DATE(YEAR(C180),MONTH(C180),1)</ns0:f>
        <ns0:v>46054.0</ns0:v>
      </ns0:c>
      <ns0:c r="O180" s="4" t="str">
        <ns0:f>TEXT(N180,"yyyy-mm")</ns0:f>
        <ns0:v>2026-02</ns0:v>
      </ns0:c>
    </ns0:row>
    <ns0:row r="181">
      <ns0:c r="A181" s="4" t="inlineStr">
        <ns0:is>
          <ns0:t>SES-0180</ns0:t>
        </ns0:is>
      </ns0:c>
      <ns0:c r="B181" s="4" t="inlineStr">
        <ns0:is>
          <ns0:t>SYN-072</ns0:t>
        </ns0:is>
      </ns0:c>
      <ns0:c r="C181" s="10" t="n">
        <ns0:v>46074</ns0:v>
      </ns0:c>
      <ns0:c r="D181" s="4" t="inlineStr">
        <ns0:is>
          <ns0:t>Synthetic Script 072</ns0:t>
        </ns0:is>
      </ns0:c>
      <ns0:c r="E181" s="4" t="inlineStr">
        <ns0:is>
          <ns0:t>推理</ns0:t>
        </ns0:is>
      </ns0:c>
      <ns0:c r="F181" s="4" t="n">
        <ns0:v>1</ns0:v>
      </ns0:c>
      <ns0:c r="G181" s="4" t="n">
        <ns0:v>6</ns0:v>
      </ns0:c>
      <ns0:c r="H181" s="9" t="n">
        <ns0:v>119</ns0:v>
      </ns0:c>
      <ns0:c r="I181" s="9">
        <ns0:f>G181*H181</ns0:f>
        <ns0:v>714</ns0:v>
      </ns0:c>
      <ns0:c r="J181" s="9">
        <ns0:f>INDEX(Script_List!$H$2:$H$161,MATCH(B181,Script_List!$A$2:$A$161,0))</ns0:f>
        <ns0:v>187</ns0:v>
      </ns0:c>
      <ns0:c r="K181" s="4" t="inlineStr">
        <ns0:is>
          <ns0:t>城限</ns0:t>
        </ns0:is>
      </ns0:c>
      <ns0:c r="L181" s="9">
        <ns0:f>I181-J181</ns0:f>
        <ns0:v>527</ns0:v>
      </ns0:c>
      <ns0:c r="M181" s="4" t="n">
        <ns0:v>8.4</ns0:v>
      </ns0:c>
      <ns0:c r="N181" s="10">
        <ns0:f>DATE(YEAR(C181),MONTH(C181),1)</ns0:f>
        <ns0:v>46054.0</ns0:v>
      </ns0:c>
      <ns0:c r="O181" s="4" t="str">
        <ns0:f>TEXT(N181,"yyyy-mm")</ns0:f>
        <ns0:v>2026-02</ns0:v>
      </ns0:c>
    </ns0:row>
    <ns0:row r="182">
      <ns0:c r="A182" s="4" t="inlineStr">
        <ns0:is>
          <ns0:t>SES-0181</ns0:t>
        </ns0:is>
      </ns0:c>
      <ns0:c r="B182" s="4" t="inlineStr">
        <ns0:is>
          <ns0:t>SYN-073</ns0:t>
        </ns0:is>
      </ns0:c>
      <ns0:c r="C182" s="10" t="n">
        <ns0:v>46075</ns0:v>
      </ns0:c>
      <ns0:c r="D182" s="4" t="inlineStr">
        <ns0:is>
          <ns0:t>Synthetic Script 073</ns0:t>
        </ns0:is>
      </ns0:c>
      <ns0:c r="E182" s="4" t="inlineStr">
        <ns0:is>
          <ns0:t>情感</ns0:t>
        </ns0:is>
      </ns0:c>
      <ns0:c r="F182" s="4" t="n">
        <ns0:v>3</ns0:v>
      </ns0:c>
      <ns0:c r="G182" s="4" t="n">
        <ns0:v>6</ns0:v>
      </ns0:c>
      <ns0:c r="H182" s="9" t="n">
        <ns0:v>99</ns0:v>
      </ns0:c>
      <ns0:c r="I182" s="9">
        <ns0:f>G182*H182</ns0:f>
        <ns0:v>594</ns0:v>
      </ns0:c>
      <ns0:c r="J182" s="9">
        <ns0:f>INDEX(Script_List!$H$2:$H$161,MATCH(B182,Script_List!$A$2:$A$161,0))</ns0:f>
        <ns0:v>270</ns0:v>
      </ns0:c>
      <ns0:c r="K182" s="4" t="inlineStr">
        <ns0:is>
          <ns0:t>盒装</ns0:t>
        </ns0:is>
      </ns0:c>
      <ns0:c r="L182" s="9">
        <ns0:f>I182-J182</ns0:f>
        <ns0:v>324</ns0:v>
      </ns0:c>
      <ns0:c r="M182" s="4" t="n">
        <ns0:v>7</ns0:v>
      </ns0:c>
      <ns0:c r="N182" s="10">
        <ns0:f>DATE(YEAR(C182),MONTH(C182),1)</ns0:f>
        <ns0:v>46054.0</ns0:v>
      </ns0:c>
      <ns0:c r="O182" s="4" t="str">
        <ns0:f>TEXT(N182,"yyyy-mm")</ns0:f>
        <ns0:v>2026-02</ns0:v>
      </ns0:c>
    </ns0:row>
    <ns0:row r="183">
      <ns0:c r="A183" s="4" t="inlineStr">
        <ns0:is>
          <ns0:t>SES-0182</ns0:t>
        </ns0:is>
      </ns0:c>
      <ns0:c r="B183" s="4" t="inlineStr">
        <ns0:is>
          <ns0:t>SYN-074</ns0:t>
        </ns0:is>
      </ns0:c>
      <ns0:c r="C183" s="10" t="n">
        <ns0:v>46076</ns0:v>
      </ns0:c>
      <ns0:c r="D183" s="4" t="inlineStr">
        <ns0:is>
          <ns0:t>Synthetic Script 074</ns0:t>
        </ns0:is>
      </ns0:c>
      <ns0:c r="E183" s="4" t="inlineStr">
        <ns0:is>
          <ns0:t>欢乐</ns0:t>
        </ns0:is>
      </ns0:c>
      <ns0:c r="F183" s="4" t="n">
        <ns0:v>3</ns0:v>
      </ns0:c>
      <ns0:c r="G183" s="4" t="n">
        <ns0:v>7</ns0:v>
      </ns0:c>
      <ns0:c r="H183" s="9" t="n">
        <ns0:v>109</ns0:v>
      </ns0:c>
      <ns0:c r="I183" s="9">
        <ns0:f>G183*H183</ns0:f>
        <ns0:v>763</ns0:v>
      </ns0:c>
      <ns0:c r="J183" s="9">
        <ns0:f>INDEX(Script_List!$H$2:$H$161,MATCH(B183,Script_List!$A$2:$A$161,0))</ns0:f>
        <ns0:v>200</ns0:v>
      </ns0:c>
      <ns0:c r="K183" s="4" t="inlineStr">
        <ns0:is>
          <ns0:t>独家</ns0:t>
        </ns0:is>
      </ns0:c>
      <ns0:c r="L183" s="9">
        <ns0:f>I183-J183</ns0:f>
        <ns0:v>563</ns0:v>
      </ns0:c>
      <ns0:c r="M183" s="4" t="n">
        <ns0:v>7.7</ns0:v>
      </ns0:c>
      <ns0:c r="N183" s="10">
        <ns0:f>DATE(YEAR(C183),MONTH(C183),1)</ns0:f>
        <ns0:v>46054.0</ns0:v>
      </ns0:c>
      <ns0:c r="O183" s="4" t="str">
        <ns0:f>TEXT(N183,"yyyy-mm")</ns0:f>
        <ns0:v>2026-02</ns0:v>
      </ns0:c>
    </ns0:row>
    <ns0:row r="184">
      <ns0:c r="A184" s="4" t="inlineStr">
        <ns0:is>
          <ns0:t>SES-0183</ns0:t>
        </ns0:is>
      </ns0:c>
      <ns0:c r="B184" s="4" t="inlineStr">
        <ns0:is>
          <ns0:t>SYN-074</ns0:t>
        </ns0:is>
      </ns0:c>
      <ns0:c r="C184" s="10" t="n">
        <ns0:v>46077</ns0:v>
      </ns0:c>
      <ns0:c r="D184" s="4" t="inlineStr">
        <ns0:is>
          <ns0:t>Synthetic Script 074</ns0:t>
        </ns0:is>
      </ns0:c>
      <ns0:c r="E184" s="4" t="inlineStr">
        <ns0:is>
          <ns0:t>欢乐</ns0:t>
        </ns0:is>
      </ns0:c>
      <ns0:c r="F184" s="4" t="n">
        <ns0:v>3</ns0:v>
      </ns0:c>
      <ns0:c r="G184" s="4" t="n">
        <ns0:v>7</ns0:v>
      </ns0:c>
      <ns0:c r="H184" s="9" t="n">
        <ns0:v>109</ns0:v>
      </ns0:c>
      <ns0:c r="I184" s="9">
        <ns0:f>G184*H184</ns0:f>
        <ns0:v>763</ns0:v>
      </ns0:c>
      <ns0:c r="J184" s="9">
        <ns0:f>INDEX(Script_List!$H$2:$H$161,MATCH(B184,Script_List!$A$2:$A$161,0))</ns0:f>
        <ns0:v>200</ns0:v>
      </ns0:c>
      <ns0:c r="K184" s="4" t="inlineStr">
        <ns0:is>
          <ns0:t>独家</ns0:t>
        </ns0:is>
      </ns0:c>
      <ns0:c r="L184" s="9">
        <ns0:f>I184-J184</ns0:f>
        <ns0:v>563</ns0:v>
      </ns0:c>
      <ns0:c r="M184" s="4" t="n">
        <ns0:v>7.7</ns0:v>
      </ns0:c>
      <ns0:c r="N184" s="10">
        <ns0:f>DATE(YEAR(C184),MONTH(C184),1)</ns0:f>
        <ns0:v>46054.0</ns0:v>
      </ns0:c>
      <ns0:c r="O184" s="4" t="str">
        <ns0:f>TEXT(N184,"yyyy-mm")</ns0:f>
        <ns0:v>2026-02</ns0:v>
      </ns0:c>
    </ns0:row>
    <ns0:row r="185">
      <ns0:c r="A185" s="4" t="inlineStr">
        <ns0:is>
          <ns0:t>SES-0184</ns0:t>
        </ns0:is>
      </ns0:c>
      <ns0:c r="B185" s="4" t="inlineStr">
        <ns0:is>
          <ns0:t>SYN-075</ns0:t>
        </ns0:is>
      </ns0:c>
      <ns0:c r="C185" s="10" t="n">
        <ns0:v>46078</ns0:v>
      </ns0:c>
      <ns0:c r="D185" s="4" t="inlineStr">
        <ns0:is>
          <ns0:t>Synthetic Script 075</ns0:t>
        </ns0:is>
      </ns0:c>
      <ns0:c r="E185" s="4" t="inlineStr">
        <ns0:is>
          <ns0:t>推理</ns0:t>
        </ns0:is>
      </ns0:c>
      <ns0:c r="F185" s="4" t="n">
        <ns0:v>2</ns0:v>
      </ns0:c>
      <ns0:c r="G185" s="4" t="n">
        <ns0:v>8</ns0:v>
      </ns0:c>
      <ns0:c r="H185" s="9" t="n">
        <ns0:v>95</ns0:v>
      </ns0:c>
      <ns0:c r="I185" s="9">
        <ns0:f>G185*H185</ns0:f>
        <ns0:v>760</ns0:v>
      </ns0:c>
      <ns0:c r="J185" s="9">
        <ns0:f>INDEX(Script_List!$H$2:$H$161,MATCH(B185,Script_List!$A$2:$A$161,0))</ns0:f>
        <ns0:v>200</ns0:v>
      </ns0:c>
      <ns0:c r="K185" s="4" t="inlineStr">
        <ns0:is>
          <ns0:t>城限</ns0:t>
        </ns0:is>
      </ns0:c>
      <ns0:c r="L185" s="9">
        <ns0:f>I185-J185</ns0:f>
        <ns0:v>560</ns0:v>
      </ns0:c>
      <ns0:c r="M185" s="4" t="n">
        <ns0:v>8.4</ns0:v>
      </ns0:c>
      <ns0:c r="N185" s="10">
        <ns0:f>DATE(YEAR(C185),MONTH(C185),1)</ns0:f>
        <ns0:v>46054.0</ns0:v>
      </ns0:c>
      <ns0:c r="O185" s="4" t="str">
        <ns0:f>TEXT(N185,"yyyy-mm")</ns0:f>
        <ns0:v>2026-02</ns0:v>
      </ns0:c>
    </ns0:row>
    <ns0:row r="186">
      <ns0:c r="A186" s="4" t="inlineStr">
        <ns0:is>
          <ns0:t>SES-0185</ns0:t>
        </ns0:is>
      </ns0:c>
      <ns0:c r="B186" s="4" t="inlineStr">
        <ns0:is>
          <ns0:t>SYN-075</ns0:t>
        </ns0:is>
      </ns0:c>
      <ns0:c r="C186" s="10" t="n">
        <ns0:v>46079</ns0:v>
      </ns0:c>
      <ns0:c r="D186" s="4" t="inlineStr">
        <ns0:is>
          <ns0:t>Synthetic Script 075</ns0:t>
        </ns0:is>
      </ns0:c>
      <ns0:c r="E186" s="4" t="inlineStr">
        <ns0:is>
          <ns0:t>推理</ns0:t>
        </ns0:is>
      </ns0:c>
      <ns0:c r="F186" s="4" t="n">
        <ns0:v>2</ns0:v>
      </ns0:c>
      <ns0:c r="G186" s="4" t="n">
        <ns0:v>8</ns0:v>
      </ns0:c>
      <ns0:c r="H186" s="9" t="n">
        <ns0:v>95</ns0:v>
      </ns0:c>
      <ns0:c r="I186" s="9">
        <ns0:f>G186*H186</ns0:f>
        <ns0:v>760</ns0:v>
      </ns0:c>
      <ns0:c r="J186" s="9">
        <ns0:f>INDEX(Script_List!$H$2:$H$161,MATCH(B186,Script_List!$A$2:$A$161,0))</ns0:f>
        <ns0:v>200</ns0:v>
      </ns0:c>
      <ns0:c r="K186" s="4" t="inlineStr">
        <ns0:is>
          <ns0:t>城限</ns0:t>
        </ns0:is>
      </ns0:c>
      <ns0:c r="L186" s="9">
        <ns0:f>I186-J186</ns0:f>
        <ns0:v>560</ns0:v>
      </ns0:c>
      <ns0:c r="M186" s="4" t="n">
        <ns0:v>8.4</ns0:v>
      </ns0:c>
      <ns0:c r="N186" s="10">
        <ns0:f>DATE(YEAR(C186),MONTH(C186),1)</ns0:f>
        <ns0:v>46054.0</ns0:v>
      </ns0:c>
      <ns0:c r="O186" s="4" t="str">
        <ns0:f>TEXT(N186,"yyyy-mm")</ns0:f>
        <ns0:v>2026-02</ns0:v>
      </ns0:c>
    </ns0:row>
    <ns0:row r="187">
      <ns0:c r="A187" s="4" t="inlineStr">
        <ns0:is>
          <ns0:t>SES-0186</ns0:t>
        </ns0:is>
      </ns0:c>
      <ns0:c r="B187" s="4" t="inlineStr">
        <ns0:is>
          <ns0:t>SYN-075</ns0:t>
        </ns0:is>
      </ns0:c>
      <ns0:c r="C187" s="10" t="n">
        <ns0:v>46080</ns0:v>
      </ns0:c>
      <ns0:c r="D187" s="4" t="inlineStr">
        <ns0:is>
          <ns0:t>Synthetic Script 075</ns0:t>
        </ns0:is>
      </ns0:c>
      <ns0:c r="E187" s="4" t="inlineStr">
        <ns0:is>
          <ns0:t>推理</ns0:t>
        </ns0:is>
      </ns0:c>
      <ns0:c r="F187" s="4" t="n">
        <ns0:v>2</ns0:v>
      </ns0:c>
      <ns0:c r="G187" s="4" t="n">
        <ns0:v>8</ns0:v>
      </ns0:c>
      <ns0:c r="H187" s="9" t="n">
        <ns0:v>95</ns0:v>
      </ns0:c>
      <ns0:c r="I187" s="9">
        <ns0:f>G187*H187</ns0:f>
        <ns0:v>760</ns0:v>
      </ns0:c>
      <ns0:c r="J187" s="9">
        <ns0:f>INDEX(Script_List!$H$2:$H$161,MATCH(B187,Script_List!$A$2:$A$161,0))</ns0:f>
        <ns0:v>200</ns0:v>
      </ns0:c>
      <ns0:c r="K187" s="4" t="inlineStr">
        <ns0:is>
          <ns0:t>城限</ns0:t>
        </ns0:is>
      </ns0:c>
      <ns0:c r="L187" s="9">
        <ns0:f>I187-J187</ns0:f>
        <ns0:v>560</ns0:v>
      </ns0:c>
      <ns0:c r="M187" s="4" t="n">
        <ns0:v>8.4</ns0:v>
      </ns0:c>
      <ns0:c r="N187" s="10">
        <ns0:f>DATE(YEAR(C187),MONTH(C187),1)</ns0:f>
        <ns0:v>46054.0</ns0:v>
      </ns0:c>
      <ns0:c r="O187" s="4" t="str">
        <ns0:f>TEXT(N187,"yyyy-mm")</ns0:f>
        <ns0:v>2026-02</ns0:v>
      </ns0:c>
    </ns0:row>
    <ns0:row r="188">
      <ns0:c r="A188" s="4" t="inlineStr">
        <ns0:is>
          <ns0:t>SES-0187</ns0:t>
        </ns0:is>
      </ns0:c>
      <ns0:c r="B188" s="4" t="inlineStr">
        <ns0:is>
          <ns0:t>SYN-075</ns0:t>
        </ns0:is>
      </ns0:c>
      <ns0:c r="C188" s="10" t="n">
        <ns0:v>46081</ns0:v>
      </ns0:c>
      <ns0:c r="D188" s="4" t="inlineStr">
        <ns0:is>
          <ns0:t>Synthetic Script 075</ns0:t>
        </ns0:is>
      </ns0:c>
      <ns0:c r="E188" s="4" t="inlineStr">
        <ns0:is>
          <ns0:t>推理</ns0:t>
        </ns0:is>
      </ns0:c>
      <ns0:c r="F188" s="4" t="n">
        <ns0:v>2</ns0:v>
      </ns0:c>
      <ns0:c r="G188" s="4" t="n">
        <ns0:v>8</ns0:v>
      </ns0:c>
      <ns0:c r="H188" s="9" t="n">
        <ns0:v>95</ns0:v>
      </ns0:c>
      <ns0:c r="I188" s="9">
        <ns0:f>G188*H188</ns0:f>
        <ns0:v>760</ns0:v>
      </ns0:c>
      <ns0:c r="J188" s="9">
        <ns0:f>INDEX(Script_List!$H$2:$H$161,MATCH(B188,Script_List!$A$2:$A$161,0))</ns0:f>
        <ns0:v>200</ns0:v>
      </ns0:c>
      <ns0:c r="K188" s="4" t="inlineStr">
        <ns0:is>
          <ns0:t>城限</ns0:t>
        </ns0:is>
      </ns0:c>
      <ns0:c r="L188" s="9">
        <ns0:f>I188-J188</ns0:f>
        <ns0:v>560</ns0:v>
      </ns0:c>
      <ns0:c r="M188" s="4" t="n">
        <ns0:v>8.4</ns0:v>
      </ns0:c>
      <ns0:c r="N188" s="10">
        <ns0:f>DATE(YEAR(C188),MONTH(C188),1)</ns0:f>
        <ns0:v>46054.0</ns0:v>
      </ns0:c>
      <ns0:c r="O188" s="4" t="str">
        <ns0:f>TEXT(N188,"yyyy-mm")</ns0:f>
        <ns0:v>2026-02</ns0:v>
      </ns0:c>
    </ns0:row>
    <ns0:row r="189">
      <ns0:c r="A189" s="4" t="inlineStr">
        <ns0:is>
          <ns0:t>SES-0188</ns0:t>
        </ns0:is>
      </ns0:c>
      <ns0:c r="B189" s="4" t="inlineStr">
        <ns0:is>
          <ns0:t>SYN-075</ns0:t>
        </ns0:is>
      </ns0:c>
      <ns0:c r="C189" s="10" t="n">
        <ns0:v>46082</ns0:v>
      </ns0:c>
      <ns0:c r="D189" s="4" t="inlineStr">
        <ns0:is>
          <ns0:t>Synthetic Script 075</ns0:t>
        </ns0:is>
      </ns0:c>
      <ns0:c r="E189" s="4" t="inlineStr">
        <ns0:is>
          <ns0:t>推理</ns0:t>
        </ns0:is>
      </ns0:c>
      <ns0:c r="F189" s="4" t="n">
        <ns0:v>2</ns0:v>
      </ns0:c>
      <ns0:c r="G189" s="4" t="n">
        <ns0:v>8</ns0:v>
      </ns0:c>
      <ns0:c r="H189" s="9" t="n">
        <ns0:v>95</ns0:v>
      </ns0:c>
      <ns0:c r="I189" s="9">
        <ns0:f>G189*H189</ns0:f>
        <ns0:v>760</ns0:v>
      </ns0:c>
      <ns0:c r="J189" s="9">
        <ns0:f>INDEX(Script_List!$H$2:$H$161,MATCH(B189,Script_List!$A$2:$A$161,0))</ns0:f>
        <ns0:v>200</ns0:v>
      </ns0:c>
      <ns0:c r="K189" s="4" t="inlineStr">
        <ns0:is>
          <ns0:t>城限</ns0:t>
        </ns0:is>
      </ns0:c>
      <ns0:c r="L189" s="9">
        <ns0:f>I189-J189</ns0:f>
        <ns0:v>560</ns0:v>
      </ns0:c>
      <ns0:c r="M189" s="4" t="n">
        <ns0:v>8.4</ns0:v>
      </ns0:c>
      <ns0:c r="N189" s="10">
        <ns0:f>DATE(YEAR(C189),MONTH(C189),1)</ns0:f>
        <ns0:v>46082.0</ns0:v>
      </ns0:c>
      <ns0:c r="O189" s="4" t="str">
        <ns0:f>TEXT(N189,"yyyy-mm")</ns0:f>
        <ns0:v>2026-03</ns0:v>
      </ns0:c>
    </ns0:row>
    <ns0:row r="190">
      <ns0:c r="A190" s="4" t="inlineStr">
        <ns0:is>
          <ns0:t>SES-0189</ns0:t>
        </ns0:is>
      </ns0:c>
      <ns0:c r="B190" s="4" t="inlineStr">
        <ns0:is>
          <ns0:t>SYN-075</ns0:t>
        </ns0:is>
      </ns0:c>
      <ns0:c r="C190" s="10" t="n">
        <ns0:v>46083</ns0:v>
      </ns0:c>
      <ns0:c r="D190" s="4" t="inlineStr">
        <ns0:is>
          <ns0:t>Synthetic Script 075</ns0:t>
        </ns0:is>
      </ns0:c>
      <ns0:c r="E190" s="4" t="inlineStr">
        <ns0:is>
          <ns0:t>推理</ns0:t>
        </ns0:is>
      </ns0:c>
      <ns0:c r="F190" s="4" t="n">
        <ns0:v>2</ns0:v>
      </ns0:c>
      <ns0:c r="G190" s="4" t="n">
        <ns0:v>8</ns0:v>
      </ns0:c>
      <ns0:c r="H190" s="9" t="n">
        <ns0:v>95</ns0:v>
      </ns0:c>
      <ns0:c r="I190" s="9">
        <ns0:f>G190*H190</ns0:f>
        <ns0:v>760</ns0:v>
      </ns0:c>
      <ns0:c r="J190" s="9">
        <ns0:f>INDEX(Script_List!$H$2:$H$161,MATCH(B190,Script_List!$A$2:$A$161,0))</ns0:f>
        <ns0:v>200</ns0:v>
      </ns0:c>
      <ns0:c r="K190" s="4" t="inlineStr">
        <ns0:is>
          <ns0:t>城限</ns0:t>
        </ns0:is>
      </ns0:c>
      <ns0:c r="L190" s="9">
        <ns0:f>I190-J190</ns0:f>
        <ns0:v>560</ns0:v>
      </ns0:c>
      <ns0:c r="M190" s="4" t="n">
        <ns0:v>8.4</ns0:v>
      </ns0:c>
      <ns0:c r="N190" s="10">
        <ns0:f>DATE(YEAR(C190),MONTH(C190),1)</ns0:f>
        <ns0:v>46082.0</ns0:v>
      </ns0:c>
      <ns0:c r="O190" s="4" t="str">
        <ns0:f>TEXT(N190,"yyyy-mm")</ns0:f>
        <ns0:v>2026-03</ns0:v>
      </ns0:c>
    </ns0:row>
    <ns0:row r="191">
      <ns0:c r="A191" s="4" t="inlineStr">
        <ns0:is>
          <ns0:t>SES-0190</ns0:t>
        </ns0:is>
      </ns0:c>
      <ns0:c r="B191" s="4" t="inlineStr">
        <ns0:is>
          <ns0:t>SYN-075</ns0:t>
        </ns0:is>
      </ns0:c>
      <ns0:c r="C191" s="10" t="n">
        <ns0:v>46084</ns0:v>
      </ns0:c>
      <ns0:c r="D191" s="4" t="inlineStr">
        <ns0:is>
          <ns0:t>Synthetic Script 075</ns0:t>
        </ns0:is>
      </ns0:c>
      <ns0:c r="E191" s="4" t="inlineStr">
        <ns0:is>
          <ns0:t>推理</ns0:t>
        </ns0:is>
      </ns0:c>
      <ns0:c r="F191" s="4" t="n">
        <ns0:v>2</ns0:v>
      </ns0:c>
      <ns0:c r="G191" s="4" t="n">
        <ns0:v>8</ns0:v>
      </ns0:c>
      <ns0:c r="H191" s="9" t="n">
        <ns0:v>95</ns0:v>
      </ns0:c>
      <ns0:c r="I191" s="9">
        <ns0:f>G191*H191</ns0:f>
        <ns0:v>760</ns0:v>
      </ns0:c>
      <ns0:c r="J191" s="9">
        <ns0:f>INDEX(Script_List!$H$2:$H$161,MATCH(B191,Script_List!$A$2:$A$161,0))</ns0:f>
        <ns0:v>200</ns0:v>
      </ns0:c>
      <ns0:c r="K191" s="4" t="inlineStr">
        <ns0:is>
          <ns0:t>城限</ns0:t>
        </ns0:is>
      </ns0:c>
      <ns0:c r="L191" s="9">
        <ns0:f>I191-J191</ns0:f>
        <ns0:v>560</ns0:v>
      </ns0:c>
      <ns0:c r="M191" s="4" t="n">
        <ns0:v>8.4</ns0:v>
      </ns0:c>
      <ns0:c r="N191" s="10">
        <ns0:f>DATE(YEAR(C191),MONTH(C191),1)</ns0:f>
        <ns0:v>46082.0</ns0:v>
      </ns0:c>
      <ns0:c r="O191" s="4" t="str">
        <ns0:f>TEXT(N191,"yyyy-mm")</ns0:f>
        <ns0:v>2026-03</ns0:v>
      </ns0:c>
    </ns0:row>
    <ns0:row r="192">
      <ns0:c r="A192" s="4" t="inlineStr">
        <ns0:is>
          <ns0:t>SES-0191</ns0:t>
        </ns0:is>
      </ns0:c>
      <ns0:c r="B192" s="4" t="inlineStr">
        <ns0:is>
          <ns0:t>SYN-076</ns0:t>
        </ns0:is>
      </ns0:c>
      <ns0:c r="C192" s="10" t="n">
        <ns0:v>46085</ns0:v>
      </ns0:c>
      <ns0:c r="D192" s="4" t="inlineStr">
        <ns0:is>
          <ns0:t>Synthetic Script 076</ns0:t>
        </ns0:is>
      </ns0:c>
      <ns0:c r="E192" s="4" t="inlineStr">
        <ns0:is>
          <ns0:t>情感</ns0:t>
        </ns0:is>
      </ns0:c>
      <ns0:c r="F192" s="4" t="n">
        <ns0:v>2</ns0:v>
      </ns0:c>
      <ns0:c r="G192" s="4" t="n">
        <ns0:v>6</ns0:v>
      </ns0:c>
      <ns0:c r="H192" s="9" t="n">
        <ns0:v>138</ns0:v>
      </ns0:c>
      <ns0:c r="I192" s="9">
        <ns0:f>G192*H192</ns0:f>
        <ns0:v>828</ns0:v>
      </ns0:c>
      <ns0:c r="J192" s="9">
        <ns0:f>INDEX(Script_List!$H$2:$H$161,MATCH(B192,Script_List!$A$2:$A$161,0))</ns0:f>
        <ns0:v>180</ns0:v>
      </ns0:c>
      <ns0:c r="K192" s="4" t="inlineStr">
        <ns0:is>
          <ns0:t>盒装</ns0:t>
        </ns0:is>
      </ns0:c>
      <ns0:c r="L192" s="9">
        <ns0:f>I192-J192</ns0:f>
        <ns0:v>648</ns0:v>
      </ns0:c>
      <ns0:c r="M192" s="4" t="n">
        <ns0:v>7</ns0:v>
      </ns0:c>
      <ns0:c r="N192" s="10">
        <ns0:f>DATE(YEAR(C192),MONTH(C192),1)</ns0:f>
        <ns0:v>46082.0</ns0:v>
      </ns0:c>
      <ns0:c r="O192" s="4" t="str">
        <ns0:f>TEXT(N192,"yyyy-mm")</ns0:f>
        <ns0:v>2026-03</ns0:v>
      </ns0:c>
    </ns0:row>
    <ns0:row r="193">
      <ns0:c r="A193" s="4" t="inlineStr">
        <ns0:is>
          <ns0:t>SES-0192</ns0:t>
        </ns0:is>
      </ns0:c>
      <ns0:c r="B193" s="4" t="inlineStr">
        <ns0:is>
          <ns0:t>SYN-077</ns0:t>
        </ns0:is>
      </ns0:c>
      <ns0:c r="C193" s="10" t="n">
        <ns0:v>46086</ns0:v>
      </ns0:c>
      <ns0:c r="D193" s="4" t="inlineStr">
        <ns0:is>
          <ns0:t>Synthetic Script 077</ns0:t>
        </ns0:is>
      </ns0:c>
      <ns0:c r="E193" s="4" t="inlineStr">
        <ns0:is>
          <ns0:t>机制</ns0:t>
        </ns0:is>
      </ns0:c>
      <ns0:c r="F193" s="4" t="n">
        <ns0:v>1</ns0:v>
      </ns0:c>
      <ns0:c r="G193" s="4" t="n">
        <ns0:v>6</ns0:v>
      </ns0:c>
      <ns0:c r="H193" s="9" t="n">
        <ns0:v>109</ns0:v>
      </ns0:c>
      <ns0:c r="I193" s="9">
        <ns0:f>G193*H193</ns0:f>
        <ns0:v>654</ns0:v>
      </ns0:c>
      <ns0:c r="J193" s="9">
        <ns0:f>INDEX(Script_List!$H$2:$H$161,MATCH(B193,Script_List!$A$2:$A$161,0))</ns0:f>
        <ns0:v>172</ns0:v>
      </ns0:c>
      <ns0:c r="K193" s="4" t="inlineStr">
        <ns0:is>
          <ns0:t>城限</ns0:t>
        </ns0:is>
      </ns0:c>
      <ns0:c r="L193" s="9">
        <ns0:f>I193-J193</ns0:f>
        <ns0:v>482</ns0:v>
      </ns0:c>
      <ns0:c r="M193" s="4" t="n">
        <ns0:v>7.7</ns0:v>
      </ns0:c>
      <ns0:c r="N193" s="10">
        <ns0:f>DATE(YEAR(C193),MONTH(C193),1)</ns0:f>
        <ns0:v>46082.0</ns0:v>
      </ns0:c>
      <ns0:c r="O193" s="4" t="str">
        <ns0:f>TEXT(N193,"yyyy-mm")</ns0:f>
        <ns0:v>2026-03</ns0:v>
      </ns0:c>
    </ns0:row>
    <ns0:row r="194">
      <ns0:c r="A194" s="4" t="inlineStr">
        <ns0:is>
          <ns0:t>SES-0193</ns0:t>
        </ns0:is>
      </ns0:c>
      <ns0:c r="B194" s="4" t="inlineStr">
        <ns0:is>
          <ns0:t>SYN-077</ns0:t>
        </ns0:is>
      </ns0:c>
      <ns0:c r="C194" s="10" t="n">
        <ns0:v>46087</ns0:v>
      </ns0:c>
      <ns0:c r="D194" s="4" t="inlineStr">
        <ns0:is>
          <ns0:t>Synthetic Script 077</ns0:t>
        </ns0:is>
      </ns0:c>
      <ns0:c r="E194" s="4" t="inlineStr">
        <ns0:is>
          <ns0:t>机制</ns0:t>
        </ns0:is>
      </ns0:c>
      <ns0:c r="F194" s="4" t="n">
        <ns0:v>1</ns0:v>
      </ns0:c>
      <ns0:c r="G194" s="4" t="n">
        <ns0:v>6</ns0:v>
      </ns0:c>
      <ns0:c r="H194" s="9" t="n">
        <ns0:v>109</ns0:v>
      </ns0:c>
      <ns0:c r="I194" s="9">
        <ns0:f>G194*H194</ns0:f>
        <ns0:v>654</ns0:v>
      </ns0:c>
      <ns0:c r="J194" s="9">
        <ns0:f>INDEX(Script_List!$H$2:$H$161,MATCH(B194,Script_List!$A$2:$A$161,0))</ns0:f>
        <ns0:v>172</ns0:v>
      </ns0:c>
      <ns0:c r="K194" s="4" t="inlineStr">
        <ns0:is>
          <ns0:t>城限</ns0:t>
        </ns0:is>
      </ns0:c>
      <ns0:c r="L194" s="9">
        <ns0:f>I194-J194</ns0:f>
        <ns0:v>482</ns0:v>
      </ns0:c>
      <ns0:c r="M194" s="4" t="n">
        <ns0:v>7.7</ns0:v>
      </ns0:c>
      <ns0:c r="N194" s="10">
        <ns0:f>DATE(YEAR(C194),MONTH(C194),1)</ns0:f>
        <ns0:v>46082.0</ns0:v>
      </ns0:c>
      <ns0:c r="O194" s="4" t="str">
        <ns0:f>TEXT(N194,"yyyy-mm")</ns0:f>
        <ns0:v>2026-03</ns0:v>
      </ns0:c>
    </ns0:row>
    <ns0:row r="195">
      <ns0:c r="A195" s="4" t="inlineStr">
        <ns0:is>
          <ns0:t>SES-0194</ns0:t>
        </ns0:is>
      </ns0:c>
      <ns0:c r="B195" s="4" t="inlineStr">
        <ns0:is>
          <ns0:t>SYN-077</ns0:t>
        </ns0:is>
      </ns0:c>
      <ns0:c r="C195" s="10" t="n">
        <ns0:v>46088</ns0:v>
      </ns0:c>
      <ns0:c r="D195" s="4" t="inlineStr">
        <ns0:is>
          <ns0:t>Synthetic Script 077</ns0:t>
        </ns0:is>
      </ns0:c>
      <ns0:c r="E195" s="4" t="inlineStr">
        <ns0:is>
          <ns0:t>机制</ns0:t>
        </ns0:is>
      </ns0:c>
      <ns0:c r="F195" s="4" t="n">
        <ns0:v>1</ns0:v>
      </ns0:c>
      <ns0:c r="G195" s="4" t="n">
        <ns0:v>6</ns0:v>
      </ns0:c>
      <ns0:c r="H195" s="9" t="n">
        <ns0:v>109</ns0:v>
      </ns0:c>
      <ns0:c r="I195" s="9">
        <ns0:f>G195*H195</ns0:f>
        <ns0:v>654</ns0:v>
      </ns0:c>
      <ns0:c r="J195" s="9">
        <ns0:f>INDEX(Script_List!$H$2:$H$161,MATCH(B195,Script_List!$A$2:$A$161,0))</ns0:f>
        <ns0:v>172</ns0:v>
      </ns0:c>
      <ns0:c r="K195" s="4" t="inlineStr">
        <ns0:is>
          <ns0:t>城限</ns0:t>
        </ns0:is>
      </ns0:c>
      <ns0:c r="L195" s="9">
        <ns0:f>I195-J195</ns0:f>
        <ns0:v>482</ns0:v>
      </ns0:c>
      <ns0:c r="M195" s="4" t="n">
        <ns0:v>7.7</ns0:v>
      </ns0:c>
      <ns0:c r="N195" s="10">
        <ns0:f>DATE(YEAR(C195),MONTH(C195),1)</ns0:f>
        <ns0:v>46082.0</ns0:v>
      </ns0:c>
      <ns0:c r="O195" s="4" t="str">
        <ns0:f>TEXT(N195,"yyyy-mm")</ns0:f>
        <ns0:v>2026-03</ns0:v>
      </ns0:c>
    </ns0:row>
    <ns0:row r="196">
      <ns0:c r="A196" s="4" t="inlineStr">
        <ns0:is>
          <ns0:t>SES-0195</ns0:t>
        </ns0:is>
      </ns0:c>
      <ns0:c r="B196" s="4" t="inlineStr">
        <ns0:is>
          <ns0:t>SYN-078</ns0:t>
        </ns0:is>
      </ns0:c>
      <ns0:c r="C196" s="10" t="n">
        <ns0:v>46089</ns0:v>
      </ns0:c>
      <ns0:c r="D196" s="4" t="inlineStr">
        <ns0:is>
          <ns0:t>Synthetic Script 078</ns0:t>
        </ns0:is>
      </ns0:c>
      <ns0:c r="E196" s="4" t="inlineStr">
        <ns0:is>
          <ns0:t>推理</ns0:t>
        </ns0:is>
      </ns0:c>
      <ns0:c r="F196" s="4" t="n">
        <ns0:v>1</ns0:v>
      </ns0:c>
      <ns0:c r="G196" s="4" t="n">
        <ns0:v>6</ns0:v>
      </ns0:c>
      <ns0:c r="H196" s="9" t="n">
        <ns0:v>75</ns0:v>
      </ns0:c>
      <ns0:c r="I196" s="9">
        <ns0:f>G196*H196</ns0:f>
        <ns0:v>450</ns0:v>
      </ns0:c>
      <ns0:c r="J196" s="9">
        <ns0:f>INDEX(Script_List!$H$2:$H$161,MATCH(B196,Script_List!$A$2:$A$161,0))</ns0:f>
        <ns0:v>118</ns0:v>
      </ns0:c>
      <ns0:c r="K196" s="4" t="inlineStr">
        <ns0:is>
          <ns0:t>盒装</ns0:t>
        </ns0:is>
      </ns0:c>
      <ns0:c r="L196" s="9">
        <ns0:f>I196-J196</ns0:f>
        <ns0:v>332</ns0:v>
      </ns0:c>
      <ns0:c r="M196" s="4" t="n">
        <ns0:v>8.4</ns0:v>
      </ns0:c>
      <ns0:c r="N196" s="10">
        <ns0:f>DATE(YEAR(C196),MONTH(C196),1)</ns0:f>
        <ns0:v>46082.0</ns0:v>
      </ns0:c>
      <ns0:c r="O196" s="4" t="str">
        <ns0:f>TEXT(N196,"yyyy-mm")</ns0:f>
        <ns0:v>2026-03</ns0:v>
      </ns0:c>
    </ns0:row>
    <ns0:row r="197">
      <ns0:c r="A197" s="4" t="inlineStr">
        <ns0:is>
          <ns0:t>SES-0196</ns0:t>
        </ns0:is>
      </ns0:c>
      <ns0:c r="B197" s="4" t="inlineStr">
        <ns0:is>
          <ns0:t>SYN-078</ns0:t>
        </ns0:is>
      </ns0:c>
      <ns0:c r="C197" s="10" t="n">
        <ns0:v>46090</ns0:v>
      </ns0:c>
      <ns0:c r="D197" s="4" t="inlineStr">
        <ns0:is>
          <ns0:t>Synthetic Script 078</ns0:t>
        </ns0:is>
      </ns0:c>
      <ns0:c r="E197" s="4" t="inlineStr">
        <ns0:is>
          <ns0:t>推理</ns0:t>
        </ns0:is>
      </ns0:c>
      <ns0:c r="F197" s="4" t="n">
        <ns0:v>1</ns0:v>
      </ns0:c>
      <ns0:c r="G197" s="4" t="n">
        <ns0:v>6</ns0:v>
      </ns0:c>
      <ns0:c r="H197" s="9" t="n">
        <ns0:v>75</ns0:v>
      </ns0:c>
      <ns0:c r="I197" s="9">
        <ns0:f>G197*H197</ns0:f>
        <ns0:v>450</ns0:v>
      </ns0:c>
      <ns0:c r="J197" s="9">
        <ns0:f>INDEX(Script_List!$H$2:$H$161,MATCH(B197,Script_List!$A$2:$A$161,0))</ns0:f>
        <ns0:v>118</ns0:v>
      </ns0:c>
      <ns0:c r="K197" s="4" t="inlineStr">
        <ns0:is>
          <ns0:t>盒装</ns0:t>
        </ns0:is>
      </ns0:c>
      <ns0:c r="L197" s="9">
        <ns0:f>I197-J197</ns0:f>
        <ns0:v>332</ns0:v>
      </ns0:c>
      <ns0:c r="M197" s="4" t="n">
        <ns0:v>8.4</ns0:v>
      </ns0:c>
      <ns0:c r="N197" s="10">
        <ns0:f>DATE(YEAR(C197),MONTH(C197),1)</ns0:f>
        <ns0:v>46082.0</ns0:v>
      </ns0:c>
      <ns0:c r="O197" s="4" t="str">
        <ns0:f>TEXT(N197,"yyyy-mm")</ns0:f>
        <ns0:v>2026-03</ns0:v>
      </ns0:c>
    </ns0:row>
    <ns0:row r="198">
      <ns0:c r="A198" s="4" t="inlineStr">
        <ns0:is>
          <ns0:t>SES-0197</ns0:t>
        </ns0:is>
      </ns0:c>
      <ns0:c r="B198" s="4" t="inlineStr">
        <ns0:is>
          <ns0:t>SYN-078</ns0:t>
        </ns0:is>
      </ns0:c>
      <ns0:c r="C198" s="10" t="n">
        <ns0:v>46091</ns0:v>
      </ns0:c>
      <ns0:c r="D198" s="4" t="inlineStr">
        <ns0:is>
          <ns0:t>Synthetic Script 078</ns0:t>
        </ns0:is>
      </ns0:c>
      <ns0:c r="E198" s="4" t="inlineStr">
        <ns0:is>
          <ns0:t>推理</ns0:t>
        </ns0:is>
      </ns0:c>
      <ns0:c r="F198" s="4" t="n">
        <ns0:v>1</ns0:v>
      </ns0:c>
      <ns0:c r="G198" s="4" t="n">
        <ns0:v>6</ns0:v>
      </ns0:c>
      <ns0:c r="H198" s="9" t="n">
        <ns0:v>75</ns0:v>
      </ns0:c>
      <ns0:c r="I198" s="9">
        <ns0:f>G198*H198</ns0:f>
        <ns0:v>450</ns0:v>
      </ns0:c>
      <ns0:c r="J198" s="9">
        <ns0:f>INDEX(Script_List!$H$2:$H$161,MATCH(B198,Script_List!$A$2:$A$161,0))</ns0:f>
        <ns0:v>118</ns0:v>
      </ns0:c>
      <ns0:c r="K198" s="4" t="inlineStr">
        <ns0:is>
          <ns0:t>盒装</ns0:t>
        </ns0:is>
      </ns0:c>
      <ns0:c r="L198" s="9">
        <ns0:f>I198-J198</ns0:f>
        <ns0:v>332</ns0:v>
      </ns0:c>
      <ns0:c r="M198" s="4" t="n">
        <ns0:v>8.4</ns0:v>
      </ns0:c>
      <ns0:c r="N198" s="10">
        <ns0:f>DATE(YEAR(C198),MONTH(C198),1)</ns0:f>
        <ns0:v>46082.0</ns0:v>
      </ns0:c>
      <ns0:c r="O198" s="4" t="str">
        <ns0:f>TEXT(N198,"yyyy-mm")</ns0:f>
        <ns0:v>2026-03</ns0:v>
      </ns0:c>
    </ns0:row>
    <ns0:row r="199">
      <ns0:c r="A199" s="4" t="inlineStr">
        <ns0:is>
          <ns0:t>SES-0198</ns0:t>
        </ns0:is>
      </ns0:c>
      <ns0:c r="B199" s="4" t="inlineStr">
        <ns0:is>
          <ns0:t>SYN-078</ns0:t>
        </ns0:is>
      </ns0:c>
      <ns0:c r="C199" s="10" t="n">
        <ns0:v>46092</ns0:v>
      </ns0:c>
      <ns0:c r="D199" s="4" t="inlineStr">
        <ns0:is>
          <ns0:t>Synthetic Script 078</ns0:t>
        </ns0:is>
      </ns0:c>
      <ns0:c r="E199" s="4" t="inlineStr">
        <ns0:is>
          <ns0:t>推理</ns0:t>
        </ns0:is>
      </ns0:c>
      <ns0:c r="F199" s="4" t="n">
        <ns0:v>1</ns0:v>
      </ns0:c>
      <ns0:c r="G199" s="4" t="n">
        <ns0:v>6</ns0:v>
      </ns0:c>
      <ns0:c r="H199" s="9" t="n">
        <ns0:v>75</ns0:v>
      </ns0:c>
      <ns0:c r="I199" s="9">
        <ns0:f>G199*H199</ns0:f>
        <ns0:v>450</ns0:v>
      </ns0:c>
      <ns0:c r="J199" s="9">
        <ns0:f>INDEX(Script_List!$H$2:$H$161,MATCH(B199,Script_List!$A$2:$A$161,0))</ns0:f>
        <ns0:v>118</ns0:v>
      </ns0:c>
      <ns0:c r="K199" s="4" t="inlineStr">
        <ns0:is>
          <ns0:t>盒装</ns0:t>
        </ns0:is>
      </ns0:c>
      <ns0:c r="L199" s="9">
        <ns0:f>I199-J199</ns0:f>
        <ns0:v>332</ns0:v>
      </ns0:c>
      <ns0:c r="M199" s="4" t="n">
        <ns0:v>8.4</ns0:v>
      </ns0:c>
      <ns0:c r="N199" s="10">
        <ns0:f>DATE(YEAR(C199),MONTH(C199),1)</ns0:f>
        <ns0:v>46082.0</ns0:v>
      </ns0:c>
      <ns0:c r="O199" s="4" t="str">
        <ns0:f>TEXT(N199,"yyyy-mm")</ns0:f>
        <ns0:v>2026-03</ns0:v>
      </ns0:c>
    </ns0:row>
    <ns0:row r="200">
      <ns0:c r="A200" s="4" t="inlineStr">
        <ns0:is>
          <ns0:t>SES-0199</ns0:t>
        </ns0:is>
      </ns0:c>
      <ns0:c r="B200" s="4" t="inlineStr">
        <ns0:is>
          <ns0:t>SYN-078</ns0:t>
        </ns0:is>
      </ns0:c>
      <ns0:c r="C200" s="10" t="n">
        <ns0:v>46093</ns0:v>
      </ns0:c>
      <ns0:c r="D200" s="4" t="inlineStr">
        <ns0:is>
          <ns0:t>Synthetic Script 078</ns0:t>
        </ns0:is>
      </ns0:c>
      <ns0:c r="E200" s="4" t="inlineStr">
        <ns0:is>
          <ns0:t>推理</ns0:t>
        </ns0:is>
      </ns0:c>
      <ns0:c r="F200" s="4" t="n">
        <ns0:v>1</ns0:v>
      </ns0:c>
      <ns0:c r="G200" s="4" t="n">
        <ns0:v>6</ns0:v>
      </ns0:c>
      <ns0:c r="H200" s="9" t="n">
        <ns0:v>75</ns0:v>
      </ns0:c>
      <ns0:c r="I200" s="9">
        <ns0:f>G200*H200</ns0:f>
        <ns0:v>450</ns0:v>
      </ns0:c>
      <ns0:c r="J200" s="9">
        <ns0:f>INDEX(Script_List!$H$2:$H$161,MATCH(B200,Script_List!$A$2:$A$161,0))</ns0:f>
        <ns0:v>118</ns0:v>
      </ns0:c>
      <ns0:c r="K200" s="4" t="inlineStr">
        <ns0:is>
          <ns0:t>盒装</ns0:t>
        </ns0:is>
      </ns0:c>
      <ns0:c r="L200" s="9">
        <ns0:f>I200-J200</ns0:f>
        <ns0:v>332</ns0:v>
      </ns0:c>
      <ns0:c r="M200" s="4" t="n">
        <ns0:v>8.4</ns0:v>
      </ns0:c>
      <ns0:c r="N200" s="10">
        <ns0:f>DATE(YEAR(C200),MONTH(C200),1)</ns0:f>
        <ns0:v>46082.0</ns0:v>
      </ns0:c>
      <ns0:c r="O200" s="4" t="str">
        <ns0:f>TEXT(N200,"yyyy-mm")</ns0:f>
        <ns0:v>2026-03</ns0:v>
      </ns0:c>
    </ns0:row>
    <ns0:row r="201">
      <ns0:c r="A201" s="4" t="inlineStr">
        <ns0:is>
          <ns0:t>SES-0200</ns0:t>
        </ns0:is>
      </ns0:c>
      <ns0:c r="B201" s="4" t="inlineStr">
        <ns0:is>
          <ns0:t>SYN-078</ns0:t>
        </ns0:is>
      </ns0:c>
      <ns0:c r="C201" s="10" t="n">
        <ns0:v>46094</ns0:v>
      </ns0:c>
      <ns0:c r="D201" s="4" t="inlineStr">
        <ns0:is>
          <ns0:t>Synthetic Script 078</ns0:t>
        </ns0:is>
      </ns0:c>
      <ns0:c r="E201" s="4" t="inlineStr">
        <ns0:is>
          <ns0:t>推理</ns0:t>
        </ns0:is>
      </ns0:c>
      <ns0:c r="F201" s="4" t="n">
        <ns0:v>1</ns0:v>
      </ns0:c>
      <ns0:c r="G201" s="4" t="n">
        <ns0:v>6</ns0:v>
      </ns0:c>
      <ns0:c r="H201" s="9" t="n">
        <ns0:v>75</ns0:v>
      </ns0:c>
      <ns0:c r="I201" s="9">
        <ns0:f>G201*H201</ns0:f>
        <ns0:v>450</ns0:v>
      </ns0:c>
      <ns0:c r="J201" s="9">
        <ns0:f>INDEX(Script_List!$H$2:$H$161,MATCH(B201,Script_List!$A$2:$A$161,0))</ns0:f>
        <ns0:v>118</ns0:v>
      </ns0:c>
      <ns0:c r="K201" s="4" t="inlineStr">
        <ns0:is>
          <ns0:t>盒装</ns0:t>
        </ns0:is>
      </ns0:c>
      <ns0:c r="L201" s="9">
        <ns0:f>I201-J201</ns0:f>
        <ns0:v>332</ns0:v>
      </ns0:c>
      <ns0:c r="M201" s="4" t="n">
        <ns0:v>8.4</ns0:v>
      </ns0:c>
      <ns0:c r="N201" s="10">
        <ns0:f>DATE(YEAR(C201),MONTH(C201),1)</ns0:f>
        <ns0:v>46082.0</ns0:v>
      </ns0:c>
      <ns0:c r="O201" s="4" t="str">
        <ns0:f>TEXT(N201,"yyyy-mm")</ns0:f>
        <ns0:v>2026-03</ns0:v>
      </ns0:c>
    </ns0:row>
    <ns0:row r="202">
      <ns0:c r="A202" s="4" t="inlineStr">
        <ns0:is>
          <ns0:t>SES-0201</ns0:t>
        </ns0:is>
      </ns0:c>
      <ns0:c r="B202" s="4" t="inlineStr">
        <ns0:is>
          <ns0:t>SYN-078</ns0:t>
        </ns0:is>
      </ns0:c>
      <ns0:c r="C202" s="10" t="n">
        <ns0:v>46095</ns0:v>
      </ns0:c>
      <ns0:c r="D202" s="4" t="inlineStr">
        <ns0:is>
          <ns0:t>Synthetic Script 078</ns0:t>
        </ns0:is>
      </ns0:c>
      <ns0:c r="E202" s="4" t="inlineStr">
        <ns0:is>
          <ns0:t>推理</ns0:t>
        </ns0:is>
      </ns0:c>
      <ns0:c r="F202" s="4" t="n">
        <ns0:v>1</ns0:v>
      </ns0:c>
      <ns0:c r="G202" s="4" t="n">
        <ns0:v>6</ns0:v>
      </ns0:c>
      <ns0:c r="H202" s="9" t="n">
        <ns0:v>75</ns0:v>
      </ns0:c>
      <ns0:c r="I202" s="9">
        <ns0:f>G202*H202</ns0:f>
        <ns0:v>450</ns0:v>
      </ns0:c>
      <ns0:c r="J202" s="9">
        <ns0:f>INDEX(Script_List!$H$2:$H$161,MATCH(B202,Script_List!$A$2:$A$161,0))</ns0:f>
        <ns0:v>118</ns0:v>
      </ns0:c>
      <ns0:c r="K202" s="4" t="inlineStr">
        <ns0:is>
          <ns0:t>盒装</ns0:t>
        </ns0:is>
      </ns0:c>
      <ns0:c r="L202" s="9">
        <ns0:f>I202-J202</ns0:f>
        <ns0:v>332</ns0:v>
      </ns0:c>
      <ns0:c r="M202" s="4" t="n">
        <ns0:v>8.4</ns0:v>
      </ns0:c>
      <ns0:c r="N202" s="10">
        <ns0:f>DATE(YEAR(C202),MONTH(C202),1)</ns0:f>
        <ns0:v>46082.0</ns0:v>
      </ns0:c>
      <ns0:c r="O202" s="4" t="str">
        <ns0:f>TEXT(N202,"yyyy-mm")</ns0:f>
        <ns0:v>2026-03</ns0:v>
      </ns0:c>
    </ns0:row>
    <ns0:row r="203">
      <ns0:c r="A203" s="4" t="inlineStr">
        <ns0:is>
          <ns0:t>SES-0202</ns0:t>
        </ns0:is>
      </ns0:c>
      <ns0:c r="B203" s="4" t="inlineStr">
        <ns0:is>
          <ns0:t>SYN-078</ns0:t>
        </ns0:is>
      </ns0:c>
      <ns0:c r="C203" s="10" t="n">
        <ns0:v>46096</ns0:v>
      </ns0:c>
      <ns0:c r="D203" s="4" t="inlineStr">
        <ns0:is>
          <ns0:t>Synthetic Script 078</ns0:t>
        </ns0:is>
      </ns0:c>
      <ns0:c r="E203" s="4" t="inlineStr">
        <ns0:is>
          <ns0:t>推理</ns0:t>
        </ns0:is>
      </ns0:c>
      <ns0:c r="F203" s="4" t="n">
        <ns0:v>1</ns0:v>
      </ns0:c>
      <ns0:c r="G203" s="4" t="n">
        <ns0:v>6</ns0:v>
      </ns0:c>
      <ns0:c r="H203" s="9" t="n">
        <ns0:v>75</ns0:v>
      </ns0:c>
      <ns0:c r="I203" s="9">
        <ns0:f>G203*H203</ns0:f>
        <ns0:v>450</ns0:v>
      </ns0:c>
      <ns0:c r="J203" s="9">
        <ns0:f>INDEX(Script_List!$H$2:$H$161,MATCH(B203,Script_List!$A$2:$A$161,0))</ns0:f>
        <ns0:v>118</ns0:v>
      </ns0:c>
      <ns0:c r="K203" s="4" t="inlineStr">
        <ns0:is>
          <ns0:t>盒装</ns0:t>
        </ns0:is>
      </ns0:c>
      <ns0:c r="L203" s="9">
        <ns0:f>I203-J203</ns0:f>
        <ns0:v>332</ns0:v>
      </ns0:c>
      <ns0:c r="M203" s="4" t="n">
        <ns0:v>8.4</ns0:v>
      </ns0:c>
      <ns0:c r="N203" s="10">
        <ns0:f>DATE(YEAR(C203),MONTH(C203),1)</ns0:f>
        <ns0:v>46082.0</ns0:v>
      </ns0:c>
      <ns0:c r="O203" s="4" t="str">
        <ns0:f>TEXT(N203,"yyyy-mm")</ns0:f>
        <ns0:v>2026-03</ns0:v>
      </ns0:c>
    </ns0:row>
    <ns0:row r="204">
      <ns0:c r="A204" s="4" t="inlineStr">
        <ns0:is>
          <ns0:t>SES-0203</ns0:t>
        </ns0:is>
      </ns0:c>
      <ns0:c r="B204" s="4" t="inlineStr">
        <ns0:is>
          <ns0:t>SYN-078</ns0:t>
        </ns0:is>
      </ns0:c>
      <ns0:c r="C204" s="10" t="n">
        <ns0:v>46097</ns0:v>
      </ns0:c>
      <ns0:c r="D204" s="4" t="inlineStr">
        <ns0:is>
          <ns0:t>Synthetic Script 078</ns0:t>
        </ns0:is>
      </ns0:c>
      <ns0:c r="E204" s="4" t="inlineStr">
        <ns0:is>
          <ns0:t>推理</ns0:t>
        </ns0:is>
      </ns0:c>
      <ns0:c r="F204" s="4" t="n">
        <ns0:v>1</ns0:v>
      </ns0:c>
      <ns0:c r="G204" s="4" t="n">
        <ns0:v>6</ns0:v>
      </ns0:c>
      <ns0:c r="H204" s="9" t="n">
        <ns0:v>75</ns0:v>
      </ns0:c>
      <ns0:c r="I204" s="9">
        <ns0:f>G204*H204</ns0:f>
        <ns0:v>450</ns0:v>
      </ns0:c>
      <ns0:c r="J204" s="9">
        <ns0:f>INDEX(Script_List!$H$2:$H$161,MATCH(B204,Script_List!$A$2:$A$161,0))</ns0:f>
        <ns0:v>118</ns0:v>
      </ns0:c>
      <ns0:c r="K204" s="4" t="inlineStr">
        <ns0:is>
          <ns0:t>盒装</ns0:t>
        </ns0:is>
      </ns0:c>
      <ns0:c r="L204" s="9">
        <ns0:f>I204-J204</ns0:f>
        <ns0:v>332</ns0:v>
      </ns0:c>
      <ns0:c r="M204" s="4" t="n">
        <ns0:v>8.4</ns0:v>
      </ns0:c>
      <ns0:c r="N204" s="10">
        <ns0:f>DATE(YEAR(C204),MONTH(C204),1)</ns0:f>
        <ns0:v>46082.0</ns0:v>
      </ns0:c>
      <ns0:c r="O204" s="4" t="str">
        <ns0:f>TEXT(N204,"yyyy-mm")</ns0:f>
        <ns0:v>2026-03</ns0:v>
      </ns0:c>
    </ns0:row>
    <ns0:row r="205">
      <ns0:c r="A205" s="4" t="inlineStr">
        <ns0:is>
          <ns0:t>SES-0204</ns0:t>
        </ns0:is>
      </ns0:c>
      <ns0:c r="B205" s="4" t="inlineStr">
        <ns0:is>
          <ns0:t>SYN-078</ns0:t>
        </ns0:is>
      </ns0:c>
      <ns0:c r="C205" s="10" t="n">
        <ns0:v>46098</ns0:v>
      </ns0:c>
      <ns0:c r="D205" s="4" t="inlineStr">
        <ns0:is>
          <ns0:t>Synthetic Script 078</ns0:t>
        </ns0:is>
      </ns0:c>
      <ns0:c r="E205" s="4" t="inlineStr">
        <ns0:is>
          <ns0:t>推理</ns0:t>
        </ns0:is>
      </ns0:c>
      <ns0:c r="F205" s="4" t="n">
        <ns0:v>1</ns0:v>
      </ns0:c>
      <ns0:c r="G205" s="4" t="n">
        <ns0:v>6</ns0:v>
      </ns0:c>
      <ns0:c r="H205" s="9" t="n">
        <ns0:v>75</ns0:v>
      </ns0:c>
      <ns0:c r="I205" s="9">
        <ns0:f>G205*H205</ns0:f>
        <ns0:v>450</ns0:v>
      </ns0:c>
      <ns0:c r="J205" s="9">
        <ns0:f>INDEX(Script_List!$H$2:$H$161,MATCH(B205,Script_List!$A$2:$A$161,0))</ns0:f>
        <ns0:v>118</ns0:v>
      </ns0:c>
      <ns0:c r="K205" s="4" t="inlineStr">
        <ns0:is>
          <ns0:t>盒装</ns0:t>
        </ns0:is>
      </ns0:c>
      <ns0:c r="L205" s="9">
        <ns0:f>I205-J205</ns0:f>
        <ns0:v>332</ns0:v>
      </ns0:c>
      <ns0:c r="M205" s="4" t="n">
        <ns0:v>8.4</ns0:v>
      </ns0:c>
      <ns0:c r="N205" s="10">
        <ns0:f>DATE(YEAR(C205),MONTH(C205),1)</ns0:f>
        <ns0:v>46082.0</ns0:v>
      </ns0:c>
      <ns0:c r="O205" s="4" t="str">
        <ns0:f>TEXT(N205,"yyyy-mm")</ns0:f>
        <ns0:v>2026-03</ns0:v>
      </ns0:c>
    </ns0:row>
    <ns0:row r="206">
      <ns0:c r="A206" s="4" t="inlineStr">
        <ns0:is>
          <ns0:t>SES-0205</ns0:t>
        </ns0:is>
      </ns0:c>
      <ns0:c r="B206" s="4" t="inlineStr">
        <ns0:is>
          <ns0:t>SYN-079</ns0:t>
        </ns0:is>
      </ns0:c>
      <ns0:c r="C206" s="10" t="n">
        <ns0:v>46099</ns0:v>
      </ns0:c>
      <ns0:c r="D206" s="4" t="inlineStr">
        <ns0:is>
          <ns0:t>Synthetic Script 079</ns0:t>
        </ns0:is>
      </ns0:c>
      <ns0:c r="E206" s="4" t="inlineStr">
        <ns0:is>
          <ns0:t>欢乐</ns0:t>
        </ns0:is>
      </ns0:c>
      <ns0:c r="F206" s="4" t="n">
        <ns0:v>3</ns0:v>
      </ns0:c>
      <ns0:c r="G206" s="4" t="n">
        <ns0:v>7</ns0:v>
      </ns0:c>
      <ns0:c r="H206" s="9" t="n">
        <ns0:v>118</ns0:v>
      </ns0:c>
      <ns0:c r="I206" s="9">
        <ns0:f>G206*H206</ns0:f>
        <ns0:v>826</ns0:v>
      </ns0:c>
      <ns0:c r="J206" s="9">
        <ns0:f>INDEX(Script_List!$H$2:$H$161,MATCH(B206,Script_List!$A$2:$A$161,0))</ns0:f>
        <ns0:v>217</ns0:v>
      </ns0:c>
      <ns0:c r="K206" s="4" t="inlineStr">
        <ns0:is>
          <ns0:t>独家</ns0:t>
        </ns0:is>
      </ns0:c>
      <ns0:c r="L206" s="9">
        <ns0:f>I206-J206</ns0:f>
        <ns0:v>609</ns0:v>
      </ns0:c>
      <ns0:c r="M206" s="4" t="n">
        <ns0:v>7</ns0:v>
      </ns0:c>
      <ns0:c r="N206" s="10">
        <ns0:f>DATE(YEAR(C206),MONTH(C206),1)</ns0:f>
        <ns0:v>46082.0</ns0:v>
      </ns0:c>
      <ns0:c r="O206" s="4" t="str">
        <ns0:f>TEXT(N206,"yyyy-mm")</ns0:f>
        <ns0:v>2026-03</ns0:v>
      </ns0:c>
    </ns0:row>
    <ns0:row r="207">
      <ns0:c r="A207" s="4" t="inlineStr">
        <ns0:is>
          <ns0:t>SES-0206</ns0:t>
        </ns0:is>
      </ns0:c>
      <ns0:c r="B207" s="4" t="inlineStr">
        <ns0:is>
          <ns0:t>SYN-080</ns0:t>
        </ns0:is>
      </ns0:c>
      <ns0:c r="C207" s="10" t="n">
        <ns0:v>46100</ns0:v>
      </ns0:c>
      <ns0:c r="D207" s="4" t="inlineStr">
        <ns0:is>
          <ns0:t>Synthetic Script 080</ns0:t>
        </ns0:is>
      </ns0:c>
      <ns0:c r="E207" s="4" t="inlineStr">
        <ns0:is>
          <ns0:t>情感</ns0:t>
        </ns0:is>
      </ns0:c>
      <ns0:c r="F207" s="4" t="n">
        <ns0:v>6</ns0:v>
      </ns0:c>
      <ns0:c r="G207" s="4" t="n">
        <ns0:v>8</ns0:v>
      </ns0:c>
      <ns0:c r="H207" s="9" t="n">
        <ns0:v>138</ns0:v>
      </ns0:c>
      <ns0:c r="I207" s="9">
        <ns0:f>G207*H207</ns0:f>
        <ns0:v>1104</ns0:v>
      </ns0:c>
      <ns0:c r="J207" s="9">
        <ns0:f>INDEX(Script_List!$H$2:$H$161,MATCH(B207,Script_List!$A$2:$A$161,0))</ns0:f>
        <ns0:v>540</ns0:v>
      </ns0:c>
      <ns0:c r="K207" s="4" t="inlineStr">
        <ns0:is>
          <ns0:t>盒装</ns0:t>
        </ns0:is>
      </ns0:c>
      <ns0:c r="L207" s="9">
        <ns0:f>I207-J207</ns0:f>
        <ns0:v>564</ns0:v>
      </ns0:c>
      <ns0:c r="M207" s="4" t="n">
        <ns0:v>7.7</ns0:v>
      </ns0:c>
      <ns0:c r="N207" s="10">
        <ns0:f>DATE(YEAR(C207),MONTH(C207),1)</ns0:f>
        <ns0:v>46082.0</ns0:v>
      </ns0:c>
      <ns0:c r="O207" s="4" t="str">
        <ns0:f>TEXT(N207,"yyyy-mm")</ns0:f>
        <ns0:v>2026-03</ns0:v>
      </ns0:c>
    </ns0:row>
    <ns0:row r="208">
      <ns0:c r="A208" s="4" t="inlineStr">
        <ns0:is>
          <ns0:t>SES-0207</ns0:t>
        </ns0:is>
      </ns0:c>
      <ns0:c r="B208" s="4" t="inlineStr">
        <ns0:is>
          <ns0:t>SYN-080</ns0:t>
        </ns0:is>
      </ns0:c>
      <ns0:c r="C208" s="10" t="n">
        <ns0:v>46101</ns0:v>
      </ns0:c>
      <ns0:c r="D208" s="4" t="inlineStr">
        <ns0:is>
          <ns0:t>Synthetic Script 080</ns0:t>
        </ns0:is>
      </ns0:c>
      <ns0:c r="E208" s="4" t="inlineStr">
        <ns0:is>
          <ns0:t>情感</ns0:t>
        </ns0:is>
      </ns0:c>
      <ns0:c r="F208" s="4" t="n">
        <ns0:v>6</ns0:v>
      </ns0:c>
      <ns0:c r="G208" s="4" t="n">
        <ns0:v>8</ns0:v>
      </ns0:c>
      <ns0:c r="H208" s="9" t="n">
        <ns0:v>138</ns0:v>
      </ns0:c>
      <ns0:c r="I208" s="9">
        <ns0:f>G208*H208</ns0:f>
        <ns0:v>1104</ns0:v>
      </ns0:c>
      <ns0:c r="J208" s="9">
        <ns0:f>INDEX(Script_List!$H$2:$H$161,MATCH(B208,Script_List!$A$2:$A$161,0))</ns0:f>
        <ns0:v>540</ns0:v>
      </ns0:c>
      <ns0:c r="K208" s="4" t="inlineStr">
        <ns0:is>
          <ns0:t>盒装</ns0:t>
        </ns0:is>
      </ns0:c>
      <ns0:c r="L208" s="9">
        <ns0:f>I208-J208</ns0:f>
        <ns0:v>564</ns0:v>
      </ns0:c>
      <ns0:c r="M208" s="4" t="n">
        <ns0:v>7.7</ns0:v>
      </ns0:c>
      <ns0:c r="N208" s="10">
        <ns0:f>DATE(YEAR(C208),MONTH(C208),1)</ns0:f>
        <ns0:v>46082.0</ns0:v>
      </ns0:c>
      <ns0:c r="O208" s="4" t="str">
        <ns0:f>TEXT(N208,"yyyy-mm")</ns0:f>
        <ns0:v>2026-03</ns0:v>
      </ns0:c>
    </ns0:row>
    <ns0:row r="209">
      <ns0:c r="A209" s="4" t="inlineStr">
        <ns0:is>
          <ns0:t>SES-0208</ns0:t>
        </ns0:is>
      </ns0:c>
      <ns0:c r="B209" s="4" t="inlineStr">
        <ns0:is>
          <ns0:t>SYN-080</ns0:t>
        </ns0:is>
      </ns0:c>
      <ns0:c r="C209" s="10" t="n">
        <ns0:v>46102</ns0:v>
      </ns0:c>
      <ns0:c r="D209" s="4" t="inlineStr">
        <ns0:is>
          <ns0:t>Synthetic Script 080</ns0:t>
        </ns0:is>
      </ns0:c>
      <ns0:c r="E209" s="4" t="inlineStr">
        <ns0:is>
          <ns0:t>情感</ns0:t>
        </ns0:is>
      </ns0:c>
      <ns0:c r="F209" s="4" t="n">
        <ns0:v>6</ns0:v>
      </ns0:c>
      <ns0:c r="G209" s="4" t="n">
        <ns0:v>8</ns0:v>
      </ns0:c>
      <ns0:c r="H209" s="9" t="n">
        <ns0:v>138</ns0:v>
      </ns0:c>
      <ns0:c r="I209" s="9">
        <ns0:f>G209*H209</ns0:f>
        <ns0:v>1104</ns0:v>
      </ns0:c>
      <ns0:c r="J209" s="9">
        <ns0:f>INDEX(Script_List!$H$2:$H$161,MATCH(B209,Script_List!$A$2:$A$161,0))</ns0:f>
        <ns0:v>540</ns0:v>
      </ns0:c>
      <ns0:c r="K209" s="4" t="inlineStr">
        <ns0:is>
          <ns0:t>盒装</ns0:t>
        </ns0:is>
      </ns0:c>
      <ns0:c r="L209" s="9">
        <ns0:f>I209-J209</ns0:f>
        <ns0:v>564</ns0:v>
      </ns0:c>
      <ns0:c r="M209" s="4" t="n">
        <ns0:v>7.7</ns0:v>
      </ns0:c>
      <ns0:c r="N209" s="10">
        <ns0:f>DATE(YEAR(C209),MONTH(C209),1)</ns0:f>
        <ns0:v>46082.0</ns0:v>
      </ns0:c>
      <ns0:c r="O209" s="4" t="str">
        <ns0:f>TEXT(N209,"yyyy-mm")</ns0:f>
        <ns0:v>2026-03</ns0:v>
      </ns0:c>
    </ns0:row>
    <ns0:row r="210">
      <ns0:c r="A210" s="4" t="inlineStr">
        <ns0:is>
          <ns0:t>SES-0209</ns0:t>
        </ns0:is>
      </ns0:c>
      <ns0:c r="B210" s="4" t="inlineStr">
        <ns0:is>
          <ns0:t>SYN-082</ns0:t>
        </ns0:is>
      </ns0:c>
      <ns0:c r="C210" s="10" t="n">
        <ns0:v>46102</ns0:v>
      </ns0:c>
      <ns0:c r="D210" s="4" t="inlineStr">
        <ns0:is>
          <ns0:t>Synthetic Script 082</ns0:t>
        </ns0:is>
      </ns0:c>
      <ns0:c r="E210" s="4" t="inlineStr">
        <ns0:is>
          <ns0:t>推理</ns0:t>
        </ns0:is>
      </ns0:c>
      <ns0:c r="F210" s="4" t="n">
        <ns0:v>1</ns0:v>
      </ns0:c>
      <ns0:c r="G210" s="4" t="n">
        <ns0:v>6</ns0:v>
      </ns0:c>
      <ns0:c r="H210" s="9" t="n">
        <ns0:v>75</ns0:v>
      </ns0:c>
      <ns0:c r="I210" s="9">
        <ns0:f>G210*H210</ns0:f>
        <ns0:v>450</ns0:v>
      </ns0:c>
      <ns0:c r="J210" s="9">
        <ns0:f>INDEX(Script_List!$H$2:$H$161,MATCH(B210,Script_List!$A$2:$A$161,0))</ns0:f>
        <ns0:v>118</ns0:v>
      </ns0:c>
      <ns0:c r="K210" s="4" t="inlineStr">
        <ns0:is>
          <ns0:t>城限</ns0:t>
        </ns0:is>
      </ns0:c>
      <ns0:c r="L210" s="9">
        <ns0:f>I210-J210</ns0:f>
        <ns0:v>332</ns0:v>
      </ns0:c>
      <ns0:c r="M210" s="4" t="n">
        <ns0:v>7</ns0:v>
      </ns0:c>
      <ns0:c r="N210" s="10">
        <ns0:f>DATE(YEAR(C210),MONTH(C210),1)</ns0:f>
        <ns0:v>46082.0</ns0:v>
      </ns0:c>
      <ns0:c r="O210" s="4" t="str">
        <ns0:f>TEXT(N210,"yyyy-mm")</ns0:f>
        <ns0:v>2026-03</ns0:v>
      </ns0:c>
    </ns0:row>
    <ns0:row r="211">
      <ns0:c r="A211" s="4" t="inlineStr">
        <ns0:is>
          <ns0:t>SES-0210</ns0:t>
        </ns0:is>
      </ns0:c>
      <ns0:c r="B211" s="4" t="inlineStr">
        <ns0:is>
          <ns0:t>SYN-083</ns0:t>
        </ns0:is>
      </ns0:c>
      <ns0:c r="C211" s="10" t="n">
        <ns0:v>46103</ns0:v>
      </ns0:c>
      <ns0:c r="D211" s="4" t="inlineStr">
        <ns0:is>
          <ns0:t>Synthetic Script 083</ns0:t>
        </ns0:is>
      </ns0:c>
      <ns0:c r="E211" s="4" t="inlineStr">
        <ns0:is>
          <ns0:t>情感</ns0:t>
        </ns0:is>
      </ns0:c>
      <ns0:c r="F211" s="4" t="n">
        <ns0:v>3</ns0:v>
      </ns0:c>
      <ns0:c r="G211" s="4" t="n">
        <ns0:v>6</ns0:v>
      </ns0:c>
      <ns0:c r="H211" s="9" t="n">
        <ns0:v>118</ns0:v>
      </ns0:c>
      <ns0:c r="I211" s="9">
        <ns0:f>G211*H211</ns0:f>
        <ns0:v>708</ns0:v>
      </ns0:c>
      <ns0:c r="J211" s="9">
        <ns0:f>INDEX(Script_List!$H$2:$H$161,MATCH(B211,Script_List!$A$2:$A$161,0))</ns0:f>
        <ns0:v>270</ns0:v>
      </ns0:c>
      <ns0:c r="K211" s="4" t="inlineStr">
        <ns0:is>
          <ns0:t>盒装</ns0:t>
        </ns0:is>
      </ns0:c>
      <ns0:c r="L211" s="9">
        <ns0:f>I211-J211</ns0:f>
        <ns0:v>438</ns0:v>
      </ns0:c>
      <ns0:c r="M211" s="4" t="n">
        <ns0:v>7.7</ns0:v>
      </ns0:c>
      <ns0:c r="N211" s="10">
        <ns0:f>DATE(YEAR(C211),MONTH(C211),1)</ns0:f>
        <ns0:v>46082.0</ns0:v>
      </ns0:c>
      <ns0:c r="O211" s="4" t="str">
        <ns0:f>TEXT(N211,"yyyy-mm")</ns0:f>
        <ns0:v>2026-03</ns0:v>
      </ns0:c>
    </ns0:row>
    <ns0:row r="212">
      <ns0:c r="A212" s="4" t="inlineStr">
        <ns0:is>
          <ns0:t>SES-0211</ns0:t>
        </ns0:is>
      </ns0:c>
      <ns0:c r="B212" s="4" t="inlineStr">
        <ns0:is>
          <ns0:t>SYN-083</ns0:t>
        </ns0:is>
      </ns0:c>
      <ns0:c r="C212" s="10" t="n">
        <ns0:v>46104</ns0:v>
      </ns0:c>
      <ns0:c r="D212" s="4" t="inlineStr">
        <ns0:is>
          <ns0:t>Synthetic Script 083</ns0:t>
        </ns0:is>
      </ns0:c>
      <ns0:c r="E212" s="4" t="inlineStr">
        <ns0:is>
          <ns0:t>情感</ns0:t>
        </ns0:is>
      </ns0:c>
      <ns0:c r="F212" s="4" t="n">
        <ns0:v>3</ns0:v>
      </ns0:c>
      <ns0:c r="G212" s="4" t="n">
        <ns0:v>6</ns0:v>
      </ns0:c>
      <ns0:c r="H212" s="9" t="n">
        <ns0:v>118</ns0:v>
      </ns0:c>
      <ns0:c r="I212" s="9">
        <ns0:f>G212*H212</ns0:f>
        <ns0:v>708</ns0:v>
      </ns0:c>
      <ns0:c r="J212" s="9">
        <ns0:f>INDEX(Script_List!$H$2:$H$161,MATCH(B212,Script_List!$A$2:$A$161,0))</ns0:f>
        <ns0:v>270</ns0:v>
      </ns0:c>
      <ns0:c r="K212" s="4" t="inlineStr">
        <ns0:is>
          <ns0:t>盒装</ns0:t>
        </ns0:is>
      </ns0:c>
      <ns0:c r="L212" s="9">
        <ns0:f>I212-J212</ns0:f>
        <ns0:v>438</ns0:v>
      </ns0:c>
      <ns0:c r="M212" s="4" t="n">
        <ns0:v>7.7</ns0:v>
      </ns0:c>
      <ns0:c r="N212" s="10">
        <ns0:f>DATE(YEAR(C212),MONTH(C212),1)</ns0:f>
        <ns0:v>46082.0</ns0:v>
      </ns0:c>
      <ns0:c r="O212" s="4" t="str">
        <ns0:f>TEXT(N212,"yyyy-mm")</ns0:f>
        <ns0:v>2026-03</ns0:v>
      </ns0:c>
    </ns0:row>
    <ns0:row r="213">
      <ns0:c r="A213" s="4" t="inlineStr">
        <ns0:is>
          <ns0:t>SES-0212</ns0:t>
        </ns0:is>
      </ns0:c>
      <ns0:c r="B213" s="4" t="inlineStr">
        <ns0:is>
          <ns0:t>SYN-083</ns0:t>
        </ns0:is>
      </ns0:c>
      <ns0:c r="C213" s="10" t="n">
        <ns0:v>46105</ns0:v>
      </ns0:c>
      <ns0:c r="D213" s="4" t="inlineStr">
        <ns0:is>
          <ns0:t>Synthetic Script 083</ns0:t>
        </ns0:is>
      </ns0:c>
      <ns0:c r="E213" s="4" t="inlineStr">
        <ns0:is>
          <ns0:t>情感</ns0:t>
        </ns0:is>
      </ns0:c>
      <ns0:c r="F213" s="4" t="n">
        <ns0:v>3</ns0:v>
      </ns0:c>
      <ns0:c r="G213" s="4" t="n">
        <ns0:v>6</ns0:v>
      </ns0:c>
      <ns0:c r="H213" s="9" t="n">
        <ns0:v>118</ns0:v>
      </ns0:c>
      <ns0:c r="I213" s="9">
        <ns0:f>G213*H213</ns0:f>
        <ns0:v>708</ns0:v>
      </ns0:c>
      <ns0:c r="J213" s="9">
        <ns0:f>INDEX(Script_List!$H$2:$H$161,MATCH(B213,Script_List!$A$2:$A$161,0))</ns0:f>
        <ns0:v>270</ns0:v>
      </ns0:c>
      <ns0:c r="K213" s="4" t="inlineStr">
        <ns0:is>
          <ns0:t>盒装</ns0:t>
        </ns0:is>
      </ns0:c>
      <ns0:c r="L213" s="9">
        <ns0:f>I213-J213</ns0:f>
        <ns0:v>438</ns0:v>
      </ns0:c>
      <ns0:c r="M213" s="4" t="n">
        <ns0:v>7.7</ns0:v>
      </ns0:c>
      <ns0:c r="N213" s="10">
        <ns0:f>DATE(YEAR(C213),MONTH(C213),1)</ns0:f>
        <ns0:v>46082.0</ns0:v>
      </ns0:c>
      <ns0:c r="O213" s="4" t="str">
        <ns0:f>TEXT(N213,"yyyy-mm")</ns0:f>
        <ns0:v>2026-03</ns0:v>
      </ns0:c>
    </ns0:row>
    <ns0:row r="214">
      <ns0:c r="A214" s="4" t="inlineStr">
        <ns0:is>
          <ns0:t>SES-0213</ns0:t>
        </ns0:is>
      </ns0:c>
      <ns0:c r="B214" s="4" t="inlineStr">
        <ns0:is>
          <ns0:t>SYN-085</ns0:t>
        </ns0:is>
      </ns0:c>
      <ns0:c r="C214" s="10" t="n">
        <ns0:v>46106</ns0:v>
      </ns0:c>
      <ns0:c r="D214" s="4" t="inlineStr">
        <ns0:is>
          <ns0:t>Synthetic Script 085</ns0:t>
        </ns0:is>
      </ns0:c>
      <ns0:c r="E214" s="4" t="inlineStr">
        <ns0:is>
          <ns0:t>推理</ns0:t>
        </ns0:is>
      </ns0:c>
      <ns0:c r="F214" s="4" t="n">
        <ns0:v>2</ns0:v>
      </ns0:c>
      <ns0:c r="G214" s="4" t="n">
        <ns0:v>8</ns0:v>
      </ns0:c>
      <ns0:c r="H214" s="9" t="n">
        <ns0:v>65</ns0:v>
      </ns0:c>
      <ns0:c r="I214" s="9">
        <ns0:f>G214*H214</ns0:f>
        <ns0:v>520</ns0:v>
      </ns0:c>
      <ns0:c r="J214" s="9">
        <ns0:f>INDEX(Script_List!$H$2:$H$161,MATCH(B214,Script_List!$A$2:$A$161,0))</ns0:f>
        <ns0:v>137</ns0:v>
      </ns0:c>
      <ns0:c r="K214" s="4" t="inlineStr">
        <ns0:is>
          <ns0:t>城限</ns0:t>
        </ns0:is>
      </ns0:c>
      <ns0:c r="L214" s="9">
        <ns0:f>I214-J214</ns0:f>
        <ns0:v>383</ns0:v>
      </ns0:c>
      <ns0:c r="M214" s="4" t="n">
        <ns0:v>7</ns0:v>
      </ns0:c>
      <ns0:c r="N214" s="10">
        <ns0:f>DATE(YEAR(C214),MONTH(C214),1)</ns0:f>
        <ns0:v>46082.0</ns0:v>
      </ns0:c>
      <ns0:c r="O214" s="4" t="str">
        <ns0:f>TEXT(N214,"yyyy-mm")</ns0:f>
        <ns0:v>2026-03</ns0:v>
      </ns0:c>
    </ns0:row>
    <ns0:row r="215">
      <ns0:c r="A215" s="4" t="inlineStr">
        <ns0:is>
          <ns0:t>SES-0214</ns0:t>
        </ns0:is>
      </ns0:c>
      <ns0:c r="B215" s="4" t="inlineStr">
        <ns0:is>
          <ns0:t>SYN-085</ns0:t>
        </ns0:is>
      </ns0:c>
      <ns0:c r="C215" s="10" t="n">
        <ns0:v>46107</ns0:v>
      </ns0:c>
      <ns0:c r="D215" s="4" t="inlineStr">
        <ns0:is>
          <ns0:t>Synthetic Script 085</ns0:t>
        </ns0:is>
      </ns0:c>
      <ns0:c r="E215" s="4" t="inlineStr">
        <ns0:is>
          <ns0:t>推理</ns0:t>
        </ns0:is>
      </ns0:c>
      <ns0:c r="F215" s="4" t="n">
        <ns0:v>2</ns0:v>
      </ns0:c>
      <ns0:c r="G215" s="4" t="n">
        <ns0:v>8</ns0:v>
      </ns0:c>
      <ns0:c r="H215" s="9" t="n">
        <ns0:v>65</ns0:v>
      </ns0:c>
      <ns0:c r="I215" s="9">
        <ns0:f>G215*H215</ns0:f>
        <ns0:v>520</ns0:v>
      </ns0:c>
      <ns0:c r="J215" s="9">
        <ns0:f>INDEX(Script_List!$H$2:$H$161,MATCH(B215,Script_List!$A$2:$A$161,0))</ns0:f>
        <ns0:v>137</ns0:v>
      </ns0:c>
      <ns0:c r="K215" s="4" t="inlineStr">
        <ns0:is>
          <ns0:t>城限</ns0:t>
        </ns0:is>
      </ns0:c>
      <ns0:c r="L215" s="9">
        <ns0:f>I215-J215</ns0:f>
        <ns0:v>383</ns0:v>
      </ns0:c>
      <ns0:c r="M215" s="4" t="n">
        <ns0:v>7</ns0:v>
      </ns0:c>
      <ns0:c r="N215" s="10">
        <ns0:f>DATE(YEAR(C215),MONTH(C215),1)</ns0:f>
        <ns0:v>46082.0</ns0:v>
      </ns0:c>
      <ns0:c r="O215" s="4" t="str">
        <ns0:f>TEXT(N215,"yyyy-mm")</ns0:f>
        <ns0:v>2026-03</ns0:v>
      </ns0:c>
    </ns0:row>
    <ns0:row r="216">
      <ns0:c r="A216" s="4" t="inlineStr">
        <ns0:is>
          <ns0:t>SES-0215</ns0:t>
        </ns0:is>
      </ns0:c>
      <ns0:c r="B216" s="4" t="inlineStr">
        <ns0:is>
          <ns0:t>SYN-086</ns0:t>
        </ns0:is>
      </ns0:c>
      <ns0:c r="C216" s="10" t="n">
        <ns0:v>46108</ns0:v>
      </ns0:c>
      <ns0:c r="D216" s="4" t="inlineStr">
        <ns0:is>
          <ns0:t>Synthetic Script 086</ns0:t>
        </ns0:is>
      </ns0:c>
      <ns0:c r="E216" s="4" t="inlineStr">
        <ns0:is>
          <ns0:t>情感</ns0:t>
        </ns0:is>
      </ns0:c>
      <ns0:c r="F216" s="4" t="n">
        <ns0:v>2</ns0:v>
      </ns0:c>
      <ns0:c r="G216" s="4" t="n">
        <ns0:v>6</ns0:v>
      </ns0:c>
      <ns0:c r="H216" s="9" t="n">
        <ns0:v>109</ns0:v>
      </ns0:c>
      <ns0:c r="I216" s="9">
        <ns0:f>G216*H216</ns0:f>
        <ns0:v>654</ns0:v>
      </ns0:c>
      <ns0:c r="J216" s="9">
        <ns0:f>INDEX(Script_List!$H$2:$H$161,MATCH(B216,Script_List!$A$2:$A$161,0))</ns0:f>
        <ns0:v>180</ns0:v>
      </ns0:c>
      <ns0:c r="K216" s="4" t="inlineStr">
        <ns0:is>
          <ns0:t>盒装</ns0:t>
        </ns0:is>
      </ns0:c>
      <ns0:c r="L216" s="9">
        <ns0:f>I216-J216</ns0:f>
        <ns0:v>474</ns0:v>
      </ns0:c>
      <ns0:c r="M216" s="4" t="n">
        <ns0:v>7.7</ns0:v>
      </ns0:c>
      <ns0:c r="N216" s="10">
        <ns0:f>DATE(YEAR(C216),MONTH(C216),1)</ns0:f>
        <ns0:v>46082.0</ns0:v>
      </ns0:c>
      <ns0:c r="O216" s="4" t="str">
        <ns0:f>TEXT(N216,"yyyy-mm")</ns0:f>
        <ns0:v>2026-03</ns0:v>
      </ns0:c>
    </ns0:row>
    <ns0:row r="217">
      <ns0:c r="A217" s="4" t="inlineStr">
        <ns0:is>
          <ns0:t>SES-0216</ns0:t>
        </ns0:is>
      </ns0:c>
      <ns0:c r="B217" s="4" t="inlineStr">
        <ns0:is>
          <ns0:t>SYN-086</ns0:t>
        </ns0:is>
      </ns0:c>
      <ns0:c r="C217" s="10" t="n">
        <ns0:v>46109</ns0:v>
      </ns0:c>
      <ns0:c r="D217" s="4" t="inlineStr">
        <ns0:is>
          <ns0:t>Synthetic Script 086</ns0:t>
        </ns0:is>
      </ns0:c>
      <ns0:c r="E217" s="4" t="inlineStr">
        <ns0:is>
          <ns0:t>情感</ns0:t>
        </ns0:is>
      </ns0:c>
      <ns0:c r="F217" s="4" t="n">
        <ns0:v>2</ns0:v>
      </ns0:c>
      <ns0:c r="G217" s="4" t="n">
        <ns0:v>6</ns0:v>
      </ns0:c>
      <ns0:c r="H217" s="9" t="n">
        <ns0:v>109</ns0:v>
      </ns0:c>
      <ns0:c r="I217" s="9">
        <ns0:f>G217*H217</ns0:f>
        <ns0:v>654</ns0:v>
      </ns0:c>
      <ns0:c r="J217" s="9">
        <ns0:f>INDEX(Script_List!$H$2:$H$161,MATCH(B217,Script_List!$A$2:$A$161,0))</ns0:f>
        <ns0:v>180</ns0:v>
      </ns0:c>
      <ns0:c r="K217" s="4" t="inlineStr">
        <ns0:is>
          <ns0:t>盒装</ns0:t>
        </ns0:is>
      </ns0:c>
      <ns0:c r="L217" s="9">
        <ns0:f>I217-J217</ns0:f>
        <ns0:v>474</ns0:v>
      </ns0:c>
      <ns0:c r="M217" s="4" t="n">
        <ns0:v>7.7</ns0:v>
      </ns0:c>
      <ns0:c r="N217" s="10">
        <ns0:f>DATE(YEAR(C217),MONTH(C217),1)</ns0:f>
        <ns0:v>46082.0</ns0:v>
      </ns0:c>
      <ns0:c r="O217" s="4" t="str">
        <ns0:f>TEXT(N217,"yyyy-mm")</ns0:f>
        <ns0:v>2026-03</ns0:v>
      </ns0:c>
    </ns0:row>
    <ns0:row r="218">
      <ns0:c r="A218" s="4" t="inlineStr">
        <ns0:is>
          <ns0:t>SES-0217</ns0:t>
        </ns0:is>
      </ns0:c>
      <ns0:c r="B218" s="4" t="inlineStr">
        <ns0:is>
          <ns0:t>SYN-086</ns0:t>
        </ns0:is>
      </ns0:c>
      <ns0:c r="C218" s="10" t="n">
        <ns0:v>46110</ns0:v>
      </ns0:c>
      <ns0:c r="D218" s="4" t="inlineStr">
        <ns0:is>
          <ns0:t>Synthetic Script 086</ns0:t>
        </ns0:is>
      </ns0:c>
      <ns0:c r="E218" s="4" t="inlineStr">
        <ns0:is>
          <ns0:t>情感</ns0:t>
        </ns0:is>
      </ns0:c>
      <ns0:c r="F218" s="4" t="n">
        <ns0:v>2</ns0:v>
      </ns0:c>
      <ns0:c r="G218" s="4" t="n">
        <ns0:v>6</ns0:v>
      </ns0:c>
      <ns0:c r="H218" s="9" t="n">
        <ns0:v>109</ns0:v>
      </ns0:c>
      <ns0:c r="I218" s="9">
        <ns0:f>G218*H218</ns0:f>
        <ns0:v>654</ns0:v>
      </ns0:c>
      <ns0:c r="J218" s="9">
        <ns0:f>INDEX(Script_List!$H$2:$H$161,MATCH(B218,Script_List!$A$2:$A$161,0))</ns0:f>
        <ns0:v>180</ns0:v>
      </ns0:c>
      <ns0:c r="K218" s="4" t="inlineStr">
        <ns0:is>
          <ns0:t>盒装</ns0:t>
        </ns0:is>
      </ns0:c>
      <ns0:c r="L218" s="9">
        <ns0:f>I218-J218</ns0:f>
        <ns0:v>474</ns0:v>
      </ns0:c>
      <ns0:c r="M218" s="4" t="n">
        <ns0:v>7.7</ns0:v>
      </ns0:c>
      <ns0:c r="N218" s="10">
        <ns0:f>DATE(YEAR(C218),MONTH(C218),1)</ns0:f>
        <ns0:v>46082.0</ns0:v>
      </ns0:c>
      <ns0:c r="O218" s="4" t="str">
        <ns0:f>TEXT(N218,"yyyy-mm")</ns0:f>
        <ns0:v>2026-03</ns0:v>
      </ns0:c>
    </ns0:row>
    <ns0:row r="219">
      <ns0:c r="A219" s="4" t="inlineStr">
        <ns0:is>
          <ns0:t>SES-0218</ns0:t>
        </ns0:is>
      </ns0:c>
      <ns0:c r="B219" s="4" t="inlineStr">
        <ns0:is>
          <ns0:t>SYN-086</ns0:t>
        </ns0:is>
      </ns0:c>
      <ns0:c r="C219" s="10" t="n">
        <ns0:v>46111</ns0:v>
      </ns0:c>
      <ns0:c r="D219" s="4" t="inlineStr">
        <ns0:is>
          <ns0:t>Synthetic Script 086</ns0:t>
        </ns0:is>
      </ns0:c>
      <ns0:c r="E219" s="4" t="inlineStr">
        <ns0:is>
          <ns0:t>情感</ns0:t>
        </ns0:is>
      </ns0:c>
      <ns0:c r="F219" s="4" t="n">
        <ns0:v>2</ns0:v>
      </ns0:c>
      <ns0:c r="G219" s="4" t="n">
        <ns0:v>6</ns0:v>
      </ns0:c>
      <ns0:c r="H219" s="9" t="n">
        <ns0:v>109</ns0:v>
      </ns0:c>
      <ns0:c r="I219" s="9">
        <ns0:f>G219*H219</ns0:f>
        <ns0:v>654</ns0:v>
      </ns0:c>
      <ns0:c r="J219" s="9">
        <ns0:f>INDEX(Script_List!$H$2:$H$161,MATCH(B219,Script_List!$A$2:$A$161,0))</ns0:f>
        <ns0:v>180</ns0:v>
      </ns0:c>
      <ns0:c r="K219" s="4" t="inlineStr">
        <ns0:is>
          <ns0:t>盒装</ns0:t>
        </ns0:is>
      </ns0:c>
      <ns0:c r="L219" s="9">
        <ns0:f>I219-J219</ns0:f>
        <ns0:v>474</ns0:v>
      </ns0:c>
      <ns0:c r="M219" s="4" t="n">
        <ns0:v>7.7</ns0:v>
      </ns0:c>
      <ns0:c r="N219" s="10">
        <ns0:f>DATE(YEAR(C219),MONTH(C219),1)</ns0:f>
        <ns0:v>46082.0</ns0:v>
      </ns0:c>
      <ns0:c r="O219" s="4" t="str">
        <ns0:f>TEXT(N219,"yyyy-mm")</ns0:f>
        <ns0:v>2026-03</ns0:v>
      </ns0:c>
    </ns0:row>
    <ns0:row r="220">
      <ns0:c r="A220" s="4" t="inlineStr">
        <ns0:is>
          <ns0:t>SES-0219</ns0:t>
        </ns0:is>
      </ns0:c>
      <ns0:c r="B220" s="4" t="inlineStr">
        <ns0:is>
          <ns0:t>SYN-088</ns0:t>
        </ns0:is>
      </ns0:c>
      <ns0:c r="C220" s="10" t="n">
        <ns0:v>46112</ns0:v>
      </ns0:c>
      <ns0:c r="D220" s="4" t="inlineStr">
        <ns0:is>
          <ns0:t>Synthetic Script 088</ns0:t>
        </ns0:is>
      </ns0:c>
      <ns0:c r="E220" s="4" t="inlineStr">
        <ns0:is>
          <ns0:t>推理</ns0:t>
        </ns0:is>
      </ns0:c>
      <ns0:c r="F220" s="4" t="n">
        <ns0:v>1</ns0:v>
      </ns0:c>
      <ns0:c r="G220" s="4" t="n">
        <ns0:v>6</ns0:v>
      </ns0:c>
      <ns0:c r="H220" s="9" t="n">
        <ns0:v>119</ns0:v>
      </ns0:c>
      <ns0:c r="I220" s="9">
        <ns0:f>G220*H220</ns0:f>
        <ns0:v>714</ns0:v>
      </ns0:c>
      <ns0:c r="J220" s="9">
        <ns0:f>INDEX(Script_List!$H$2:$H$161,MATCH(B220,Script_List!$A$2:$A$161,0))</ns0:f>
        <ns0:v>187</ns0:v>
      </ns0:c>
      <ns0:c r="K220" s="4" t="inlineStr">
        <ns0:is>
          <ns0:t>盒装</ns0:t>
        </ns0:is>
      </ns0:c>
      <ns0:c r="L220" s="9">
        <ns0:f>I220-J220</ns0:f>
        <ns0:v>527</ns0:v>
      </ns0:c>
      <ns0:c r="M220" s="4" t="n">
        <ns0:v>7</ns0:v>
      </ns0:c>
      <ns0:c r="N220" s="10">
        <ns0:f>DATE(YEAR(C220),MONTH(C220),1)</ns0:f>
        <ns0:v>46082.0</ns0:v>
      </ns0:c>
      <ns0:c r="O220" s="4" t="str">
        <ns0:f>TEXT(N220,"yyyy-mm")</ns0:f>
        <ns0:v>2026-03</ns0:v>
      </ns0:c>
    </ns0:row>
    <ns0:row r="221">
      <ns0:c r="A221" s="4" t="inlineStr">
        <ns0:is>
          <ns0:t>SES-0220</ns0:t>
        </ns0:is>
      </ns0:c>
      <ns0:c r="B221" s="4" t="inlineStr">
        <ns0:is>
          <ns0:t>SYN-088</ns0:t>
        </ns0:is>
      </ns0:c>
      <ns0:c r="C221" s="10" t="n">
        <ns0:v>46113</ns0:v>
      </ns0:c>
      <ns0:c r="D221" s="4" t="inlineStr">
        <ns0:is>
          <ns0:t>Synthetic Script 088</ns0:t>
        </ns0:is>
      </ns0:c>
      <ns0:c r="E221" s="4" t="inlineStr">
        <ns0:is>
          <ns0:t>推理</ns0:t>
        </ns0:is>
      </ns0:c>
      <ns0:c r="F221" s="4" t="n">
        <ns0:v>1</ns0:v>
      </ns0:c>
      <ns0:c r="G221" s="4" t="n">
        <ns0:v>6</ns0:v>
      </ns0:c>
      <ns0:c r="H221" s="9" t="n">
        <ns0:v>119</ns0:v>
      </ns0:c>
      <ns0:c r="I221" s="9">
        <ns0:f>G221*H221</ns0:f>
        <ns0:v>714</ns0:v>
      </ns0:c>
      <ns0:c r="J221" s="9">
        <ns0:f>INDEX(Script_List!$H$2:$H$161,MATCH(B221,Script_List!$A$2:$A$161,0))</ns0:f>
        <ns0:v>187</ns0:v>
      </ns0:c>
      <ns0:c r="K221" s="4" t="inlineStr">
        <ns0:is>
          <ns0:t>盒装</ns0:t>
        </ns0:is>
      </ns0:c>
      <ns0:c r="L221" s="9">
        <ns0:f>I221-J221</ns0:f>
        <ns0:v>527</ns0:v>
      </ns0:c>
      <ns0:c r="M221" s="4" t="n">
        <ns0:v>7</ns0:v>
      </ns0:c>
      <ns0:c r="N221" s="10">
        <ns0:f>DATE(YEAR(C221),MONTH(C221),1)</ns0:f>
        <ns0:v>46113.0</ns0:v>
      </ns0:c>
      <ns0:c r="O221" s="4" t="str">
        <ns0:f>TEXT(N221,"yyyy-mm")</ns0:f>
        <ns0:v>2026-04</ns0:v>
      </ns0:c>
    </ns0:row>
    <ns0:row r="222">
      <ns0:c r="A222" s="4" t="inlineStr">
        <ns0:is>
          <ns0:t>SES-0221</ns0:t>
        </ns0:is>
      </ns0:c>
      <ns0:c r="B222" s="4" t="inlineStr">
        <ns0:is>
          <ns0:t>SYN-089</ns0:t>
        </ns0:is>
      </ns0:c>
      <ns0:c r="C222" s="10" t="n">
        <ns0:v>46114</ns0:v>
      </ns0:c>
      <ns0:c r="D222" s="4" t="inlineStr">
        <ns0:is>
          <ns0:t>Synthetic Script 089</ns0:t>
        </ns0:is>
      </ns0:c>
      <ns0:c r="E222" s="4" t="inlineStr">
        <ns0:is>
          <ns0:t>欢乐</ns0:t>
        </ns0:is>
      </ns0:c>
      <ns0:c r="F222" s="4" t="n">
        <ns0:v>3</ns0:v>
      </ns0:c>
      <ns0:c r="G222" s="4" t="n">
        <ns0:v>7</ns0:v>
      </ns0:c>
      <ns0:c r="H222" s="9" t="n">
        <ns0:v>95</ns0:v>
      </ns0:c>
      <ns0:c r="I222" s="9">
        <ns0:f>G222*H222</ns0:f>
        <ns0:v>665</ns0:v>
      </ns0:c>
      <ns0:c r="J222" s="9">
        <ns0:f>INDEX(Script_List!$H$2:$H$161,MATCH(B222,Script_List!$A$2:$A$161,0))</ns0:f>
        <ns0:v>175</ns0:v>
      </ns0:c>
      <ns0:c r="K222" s="4" t="inlineStr">
        <ns0:is>
          <ns0:t>独家</ns0:t>
        </ns0:is>
      </ns0:c>
      <ns0:c r="L222" s="9">
        <ns0:f>I222-J222</ns0:f>
        <ns0:v>490</ns0:v>
      </ns0:c>
      <ns0:c r="M222" s="4" t="n">
        <ns0:v>7.7</ns0:v>
      </ns0:c>
      <ns0:c r="N222" s="10">
        <ns0:f>DATE(YEAR(C222),MONTH(C222),1)</ns0:f>
        <ns0:v>46113.0</ns0:v>
      </ns0:c>
      <ns0:c r="O222" s="4" t="str">
        <ns0:f>TEXT(N222,"yyyy-mm")</ns0:f>
        <ns0:v>2026-04</ns0:v>
      </ns0:c>
    </ns0:row>
    <ns0:row r="223">
      <ns0:c r="A223" s="4" t="inlineStr">
        <ns0:is>
          <ns0:t>SES-0222</ns0:t>
        </ns0:is>
      </ns0:c>
      <ns0:c r="B223" s="4" t="inlineStr">
        <ns0:is>
          <ns0:t>SYN-089</ns0:t>
        </ns0:is>
      </ns0:c>
      <ns0:c r="C223" s="10" t="n">
        <ns0:v>46115</ns0:v>
      </ns0:c>
      <ns0:c r="D223" s="4" t="inlineStr">
        <ns0:is>
          <ns0:t>Synthetic Script 089</ns0:t>
        </ns0:is>
      </ns0:c>
      <ns0:c r="E223" s="4" t="inlineStr">
        <ns0:is>
          <ns0:t>欢乐</ns0:t>
        </ns0:is>
      </ns0:c>
      <ns0:c r="F223" s="4" t="n">
        <ns0:v>3</ns0:v>
      </ns0:c>
      <ns0:c r="G223" s="4" t="n">
        <ns0:v>7</ns0:v>
      </ns0:c>
      <ns0:c r="H223" s="9" t="n">
        <ns0:v>95</ns0:v>
      </ns0:c>
      <ns0:c r="I223" s="9">
        <ns0:f>G223*H223</ns0:f>
        <ns0:v>665</ns0:v>
      </ns0:c>
      <ns0:c r="J223" s="9">
        <ns0:f>INDEX(Script_List!$H$2:$H$161,MATCH(B223,Script_List!$A$2:$A$161,0))</ns0:f>
        <ns0:v>175</ns0:v>
      </ns0:c>
      <ns0:c r="K223" s="4" t="inlineStr">
        <ns0:is>
          <ns0:t>独家</ns0:t>
        </ns0:is>
      </ns0:c>
      <ns0:c r="L223" s="9">
        <ns0:f>I223-J223</ns0:f>
        <ns0:v>490</ns0:v>
      </ns0:c>
      <ns0:c r="M223" s="4" t="n">
        <ns0:v>7.7</ns0:v>
      </ns0:c>
      <ns0:c r="N223" s="10">
        <ns0:f>DATE(YEAR(C223),MONTH(C223),1)</ns0:f>
        <ns0:v>46113.0</ns0:v>
      </ns0:c>
      <ns0:c r="O223" s="4" t="str">
        <ns0:f>TEXT(N223,"yyyy-mm")</ns0:f>
        <ns0:v>2026-04</ns0:v>
      </ns0:c>
    </ns0:row>
    <ns0:row r="224">
      <ns0:c r="A224" s="4" t="inlineStr">
        <ns0:is>
          <ns0:t>SES-0223</ns0:t>
        </ns0:is>
      </ns0:c>
      <ns0:c r="B224" s="4" t="inlineStr">
        <ns0:is>
          <ns0:t>SYN-089</ns0:t>
        </ns0:is>
      </ns0:c>
      <ns0:c r="C224" s="10" t="n">
        <ns0:v>46116</ns0:v>
      </ns0:c>
      <ns0:c r="D224" s="4" t="inlineStr">
        <ns0:is>
          <ns0:t>Synthetic Script 089</ns0:t>
        </ns0:is>
      </ns0:c>
      <ns0:c r="E224" s="4" t="inlineStr">
        <ns0:is>
          <ns0:t>欢乐</ns0:t>
        </ns0:is>
      </ns0:c>
      <ns0:c r="F224" s="4" t="n">
        <ns0:v>3</ns0:v>
      </ns0:c>
      <ns0:c r="G224" s="4" t="n">
        <ns0:v>7</ns0:v>
      </ns0:c>
      <ns0:c r="H224" s="9" t="n">
        <ns0:v>95</ns0:v>
      </ns0:c>
      <ns0:c r="I224" s="9">
        <ns0:f>G224*H224</ns0:f>
        <ns0:v>665</ns0:v>
      </ns0:c>
      <ns0:c r="J224" s="9">
        <ns0:f>INDEX(Script_List!$H$2:$H$161,MATCH(B224,Script_List!$A$2:$A$161,0))</ns0:f>
        <ns0:v>175</ns0:v>
      </ns0:c>
      <ns0:c r="K224" s="4" t="inlineStr">
        <ns0:is>
          <ns0:t>独家</ns0:t>
        </ns0:is>
      </ns0:c>
      <ns0:c r="L224" s="9">
        <ns0:f>I224-J224</ns0:f>
        <ns0:v>490</ns0:v>
      </ns0:c>
      <ns0:c r="M224" s="4" t="n">
        <ns0:v>7.7</ns0:v>
      </ns0:c>
      <ns0:c r="N224" s="10">
        <ns0:f>DATE(YEAR(C224),MONTH(C224),1)</ns0:f>
        <ns0:v>46113.0</ns0:v>
      </ns0:c>
      <ns0:c r="O224" s="4" t="str">
        <ns0:f>TEXT(N224,"yyyy-mm")</ns0:f>
        <ns0:v>2026-04</ns0:v>
      </ns0:c>
    </ns0:row>
    <ns0:row r="225">
      <ns0:c r="A225" s="4" t="inlineStr">
        <ns0:is>
          <ns0:t>SES-0224</ns0:t>
        </ns0:is>
      </ns0:c>
      <ns0:c r="B225" s="4" t="inlineStr">
        <ns0:is>
          <ns0:t>SYN-089</ns0:t>
        </ns0:is>
      </ns0:c>
      <ns0:c r="C225" s="10" t="n">
        <ns0:v>46117</ns0:v>
      </ns0:c>
      <ns0:c r="D225" s="4" t="inlineStr">
        <ns0:is>
          <ns0:t>Synthetic Script 089</ns0:t>
        </ns0:is>
      </ns0:c>
      <ns0:c r="E225" s="4" t="inlineStr">
        <ns0:is>
          <ns0:t>欢乐</ns0:t>
        </ns0:is>
      </ns0:c>
      <ns0:c r="F225" s="4" t="n">
        <ns0:v>3</ns0:v>
      </ns0:c>
      <ns0:c r="G225" s="4" t="n">
        <ns0:v>7</ns0:v>
      </ns0:c>
      <ns0:c r="H225" s="9" t="n">
        <ns0:v>95</ns0:v>
      </ns0:c>
      <ns0:c r="I225" s="9">
        <ns0:f>G225*H225</ns0:f>
        <ns0:v>665</ns0:v>
      </ns0:c>
      <ns0:c r="J225" s="9">
        <ns0:f>INDEX(Script_List!$H$2:$H$161,MATCH(B225,Script_List!$A$2:$A$161,0))</ns0:f>
        <ns0:v>175</ns0:v>
      </ns0:c>
      <ns0:c r="K225" s="4" t="inlineStr">
        <ns0:is>
          <ns0:t>独家</ns0:t>
        </ns0:is>
      </ns0:c>
      <ns0:c r="L225" s="9">
        <ns0:f>I225-J225</ns0:f>
        <ns0:v>490</ns0:v>
      </ns0:c>
      <ns0:c r="M225" s="4" t="n">
        <ns0:v>7.7</ns0:v>
      </ns0:c>
      <ns0:c r="N225" s="10">
        <ns0:f>DATE(YEAR(C225),MONTH(C225),1)</ns0:f>
        <ns0:v>46113.0</ns0:v>
      </ns0:c>
      <ns0:c r="O225" s="4" t="str">
        <ns0:f>TEXT(N225,"yyyy-mm")</ns0:f>
        <ns0:v>2026-04</ns0:v>
      </ns0:c>
    </ns0:row>
    <ns0:row r="226">
      <ns0:c r="A226" s="4" t="inlineStr">
        <ns0:is>
          <ns0:t>SES-0225</ns0:t>
        </ns0:is>
      </ns0:c>
      <ns0:c r="B226" s="4" t="inlineStr">
        <ns0:is>
          <ns0:t>SYN-090</ns0:t>
        </ns0:is>
      </ns0:c>
      <ns0:c r="C226" s="10" t="n">
        <ns0:v>46118</ns0:v>
      </ns0:c>
      <ns0:c r="D226" s="4" t="inlineStr">
        <ns0:is>
          <ns0:t>Synthetic Script 090</ns0:t>
        </ns0:is>
      </ns0:c>
      <ns0:c r="E226" s="4" t="inlineStr">
        <ns0:is>
          <ns0:t>情感</ns0:t>
        </ns0:is>
      </ns0:c>
      <ns0:c r="F226" s="4" t="n">
        <ns0:v>6</ns0:v>
      </ns0:c>
      <ns0:c r="G226" s="4" t="n">
        <ns0:v>8</ns0:v>
      </ns0:c>
      <ns0:c r="H226" s="9" t="n">
        <ns0:v>109</ns0:v>
      </ns0:c>
      <ns0:c r="I226" s="9">
        <ns0:f>G226*H226</ns0:f>
        <ns0:v>872</ns0:v>
      </ns0:c>
      <ns0:c r="J226" s="9">
        <ns0:f>INDEX(Script_List!$H$2:$H$161,MATCH(B226,Script_List!$A$2:$A$161,0))</ns0:f>
        <ns0:v>540</ns0:v>
      </ns0:c>
      <ns0:c r="K226" s="4" t="inlineStr">
        <ns0:is>
          <ns0:t>盒装</ns0:t>
        </ns0:is>
      </ns0:c>
      <ns0:c r="L226" s="9">
        <ns0:f>I226-J226</ns0:f>
        <ns0:v>332</ns0:v>
      </ns0:c>
      <ns0:c r="M226" s="4" t="n">
        <ns0:v>8.4</ns0:v>
      </ns0:c>
      <ns0:c r="N226" s="10">
        <ns0:f>DATE(YEAR(C226),MONTH(C226),1)</ns0:f>
        <ns0:v>46113.0</ns0:v>
      </ns0:c>
      <ns0:c r="O226" s="4" t="str">
        <ns0:f>TEXT(N226,"yyyy-mm")</ns0:f>
        <ns0:v>2026-04</ns0:v>
      </ns0:c>
    </ns0:row>
    <ns0:row r="227">
      <ns0:c r="A227" s="4" t="inlineStr">
        <ns0:is>
          <ns0:t>SES-0226</ns0:t>
        </ns0:is>
      </ns0:c>
      <ns0:c r="B227" s="4" t="inlineStr">
        <ns0:is>
          <ns0:t>SYN-091</ns0:t>
        </ns0:is>
      </ns0:c>
      <ns0:c r="C227" s="10" t="n">
        <ns0:v>46119</ns0:v>
      </ns0:c>
      <ns0:c r="D227" s="4" t="inlineStr">
        <ns0:is>
          <ns0:t>Synthetic Script 091</ns0:t>
        </ns0:is>
      </ns0:c>
      <ns0:c r="E227" s="4" t="inlineStr">
        <ns0:is>
          <ns0:t>情感</ns0:t>
        </ns0:is>
      </ns0:c>
      <ns0:c r="F227" s="4" t="n">
        <ns0:v>2</ns0:v>
      </ns0:c>
      <ns0:c r="G227" s="4" t="n">
        <ns0:v>6</ns0:v>
      </ns0:c>
      <ns0:c r="H227" s="9" t="n">
        <ns0:v>118</ns0:v>
      </ns0:c>
      <ns0:c r="I227" s="9">
        <ns0:f>G227*H227</ns0:f>
        <ns0:v>708</ns0:v>
      </ns0:c>
      <ns0:c r="J227" s="9">
        <ns0:f>INDEX(Script_List!$H$2:$H$161,MATCH(B227,Script_List!$A$2:$A$161,0))</ns0:f>
        <ns0:v>180</ns0:v>
      </ns0:c>
      <ns0:c r="K227" s="4" t="inlineStr">
        <ns0:is>
          <ns0:t>盒装</ns0:t>
        </ns0:is>
      </ns0:c>
      <ns0:c r="L227" s="9">
        <ns0:f>I227-J227</ns0:f>
        <ns0:v>528</ns0:v>
      </ns0:c>
      <ns0:c r="M227" s="4" t="n">
        <ns0:v>7</ns0:v>
      </ns0:c>
      <ns0:c r="N227" s="10">
        <ns0:f>DATE(YEAR(C227),MONTH(C227),1)</ns0:f>
        <ns0:v>46113.0</ns0:v>
      </ns0:c>
      <ns0:c r="O227" s="4" t="str">
        <ns0:f>TEXT(N227,"yyyy-mm")</ns0:f>
        <ns0:v>2026-04</ns0:v>
      </ns0:c>
    </ns0:row>
    <ns0:row r="228">
      <ns0:c r="A228" s="4" t="inlineStr">
        <ns0:is>
          <ns0:t>SES-0227</ns0:t>
        </ns0:is>
      </ns0:c>
      <ns0:c r="B228" s="4" t="inlineStr">
        <ns0:is>
          <ns0:t>SYN-091</ns0:t>
        </ns0:is>
      </ns0:c>
      <ns0:c r="C228" s="10" t="n">
        <ns0:v>46120</ns0:v>
      </ns0:c>
      <ns0:c r="D228" s="4" t="inlineStr">
        <ns0:is>
          <ns0:t>Synthetic Script 091</ns0:t>
        </ns0:is>
      </ns0:c>
      <ns0:c r="E228" s="4" t="inlineStr">
        <ns0:is>
          <ns0:t>情感</ns0:t>
        </ns0:is>
      </ns0:c>
      <ns0:c r="F228" s="4" t="n">
        <ns0:v>2</ns0:v>
      </ns0:c>
      <ns0:c r="G228" s="4" t="n">
        <ns0:v>6</ns0:v>
      </ns0:c>
      <ns0:c r="H228" s="9" t="n">
        <ns0:v>118</ns0:v>
      </ns0:c>
      <ns0:c r="I228" s="9">
        <ns0:f>G228*H228</ns0:f>
        <ns0:v>708</ns0:v>
      </ns0:c>
      <ns0:c r="J228" s="9">
        <ns0:f>INDEX(Script_List!$H$2:$H$161,MATCH(B228,Script_List!$A$2:$A$161,0))</ns0:f>
        <ns0:v>180</ns0:v>
      </ns0:c>
      <ns0:c r="K228" s="4" t="inlineStr">
        <ns0:is>
          <ns0:t>盒装</ns0:t>
        </ns0:is>
      </ns0:c>
      <ns0:c r="L228" s="9">
        <ns0:f>I228-J228</ns0:f>
        <ns0:v>528</ns0:v>
      </ns0:c>
      <ns0:c r="M228" s="4" t="n">
        <ns0:v>7</ns0:v>
      </ns0:c>
      <ns0:c r="N228" s="10">
        <ns0:f>DATE(YEAR(C228),MONTH(C228),1)</ns0:f>
        <ns0:v>46113.0</ns0:v>
      </ns0:c>
      <ns0:c r="O228" s="4" t="str">
        <ns0:f>TEXT(N228,"yyyy-mm")</ns0:f>
        <ns0:v>2026-04</ns0:v>
      </ns0:c>
    </ns0:row>
    <ns0:row r="229">
      <ns0:c r="A229" s="4" t="inlineStr">
        <ns0:is>
          <ns0:t>SES-0228</ns0:t>
        </ns0:is>
      </ns0:c>
      <ns0:c r="B229" s="4" t="inlineStr">
        <ns0:is>
          <ns0:t>SYN-092</ns0:t>
        </ns0:is>
      </ns0:c>
      <ns0:c r="C229" s="10" t="n">
        <ns0:v>46121</ns0:v>
      </ns0:c>
      <ns0:c r="D229" s="4" t="inlineStr">
        <ns0:is>
          <ns0:t>Synthetic Script 092</ns0:t>
        </ns0:is>
      </ns0:c>
      <ns0:c r="E229" s="4" t="inlineStr">
        <ns0:is>
          <ns0:t>推理</ns0:t>
        </ns0:is>
      </ns0:c>
      <ns0:c r="F229" s="4" t="n">
        <ns0:v>1</ns0:v>
      </ns0:c>
      <ns0:c r="G229" s="4" t="n">
        <ns0:v>6</ns0:v>
      </ns0:c>
      <ns0:c r="H229" s="9" t="n">
        <ns0:v>119</ns0:v>
      </ns0:c>
      <ns0:c r="I229" s="9">
        <ns0:f>G229*H229</ns0:f>
        <ns0:v>714</ns0:v>
      </ns0:c>
      <ns0:c r="J229" s="9">
        <ns0:f>INDEX(Script_List!$H$2:$H$161,MATCH(B229,Script_List!$A$2:$A$161,0))</ns0:f>
        <ns0:v>187</ns0:v>
      </ns0:c>
      <ns0:c r="K229" s="4" t="inlineStr">
        <ns0:is>
          <ns0:t>城限</ns0:t>
        </ns0:is>
      </ns0:c>
      <ns0:c r="L229" s="9">
        <ns0:f>I229-J229</ns0:f>
        <ns0:v>527</ns0:v>
      </ns0:c>
      <ns0:c r="M229" s="4" t="n">
        <ns0:v>7.7</ns0:v>
      </ns0:c>
      <ns0:c r="N229" s="10">
        <ns0:f>DATE(YEAR(C229),MONTH(C229),1)</ns0:f>
        <ns0:v>46113.0</ns0:v>
      </ns0:c>
      <ns0:c r="O229" s="4" t="str">
        <ns0:f>TEXT(N229,"yyyy-mm")</ns0:f>
        <ns0:v>2026-04</ns0:v>
      </ns0:c>
    </ns0:row>
    <ns0:row r="230">
      <ns0:c r="A230" s="4" t="inlineStr">
        <ns0:is>
          <ns0:t>SES-0229</ns0:t>
        </ns0:is>
      </ns0:c>
      <ns0:c r="B230" s="4" t="inlineStr">
        <ns0:is>
          <ns0:t>SYN-092</ns0:t>
        </ns0:is>
      </ns0:c>
      <ns0:c r="C230" s="10" t="n">
        <ns0:v>46122</ns0:v>
      </ns0:c>
      <ns0:c r="D230" s="4" t="inlineStr">
        <ns0:is>
          <ns0:t>Synthetic Script 092</ns0:t>
        </ns0:is>
      </ns0:c>
      <ns0:c r="E230" s="4" t="inlineStr">
        <ns0:is>
          <ns0:t>推理</ns0:t>
        </ns0:is>
      </ns0:c>
      <ns0:c r="F230" s="4" t="n">
        <ns0:v>1</ns0:v>
      </ns0:c>
      <ns0:c r="G230" s="4" t="n">
        <ns0:v>6</ns0:v>
      </ns0:c>
      <ns0:c r="H230" s="9" t="n">
        <ns0:v>119</ns0:v>
      </ns0:c>
      <ns0:c r="I230" s="9">
        <ns0:f>G230*H230</ns0:f>
        <ns0:v>714</ns0:v>
      </ns0:c>
      <ns0:c r="J230" s="9">
        <ns0:f>INDEX(Script_List!$H$2:$H$161,MATCH(B230,Script_List!$A$2:$A$161,0))</ns0:f>
        <ns0:v>187</ns0:v>
      </ns0:c>
      <ns0:c r="K230" s="4" t="inlineStr">
        <ns0:is>
          <ns0:t>城限</ns0:t>
        </ns0:is>
      </ns0:c>
      <ns0:c r="L230" s="9">
        <ns0:f>I230-J230</ns0:f>
        <ns0:v>527</ns0:v>
      </ns0:c>
      <ns0:c r="M230" s="4" t="n">
        <ns0:v>7.7</ns0:v>
      </ns0:c>
      <ns0:c r="N230" s="10">
        <ns0:f>DATE(YEAR(C230),MONTH(C230),1)</ns0:f>
        <ns0:v>46113.0</ns0:v>
      </ns0:c>
      <ns0:c r="O230" s="4" t="str">
        <ns0:f>TEXT(N230,"yyyy-mm")</ns0:f>
        <ns0:v>2026-04</ns0:v>
      </ns0:c>
    </ns0:row>
    <ns0:row r="231">
      <ns0:c r="A231" s="4" t="inlineStr">
        <ns0:is>
          <ns0:t>SES-0230</ns0:t>
        </ns0:is>
      </ns0:c>
      <ns0:c r="B231" s="4" t="inlineStr">
        <ns0:is>
          <ns0:t>SYN-092</ns0:t>
        </ns0:is>
      </ns0:c>
      <ns0:c r="C231" s="10" t="n">
        <ns0:v>46123</ns0:v>
      </ns0:c>
      <ns0:c r="D231" s="4" t="inlineStr">
        <ns0:is>
          <ns0:t>Synthetic Script 092</ns0:t>
        </ns0:is>
      </ns0:c>
      <ns0:c r="E231" s="4" t="inlineStr">
        <ns0:is>
          <ns0:t>推理</ns0:t>
        </ns0:is>
      </ns0:c>
      <ns0:c r="F231" s="4" t="n">
        <ns0:v>1</ns0:v>
      </ns0:c>
      <ns0:c r="G231" s="4" t="n">
        <ns0:v>6</ns0:v>
      </ns0:c>
      <ns0:c r="H231" s="9" t="n">
        <ns0:v>119</ns0:v>
      </ns0:c>
      <ns0:c r="I231" s="9">
        <ns0:f>G231*H231</ns0:f>
        <ns0:v>714</ns0:v>
      </ns0:c>
      <ns0:c r="J231" s="9">
        <ns0:f>INDEX(Script_List!$H$2:$H$161,MATCH(B231,Script_List!$A$2:$A$161,0))</ns0:f>
        <ns0:v>187</ns0:v>
      </ns0:c>
      <ns0:c r="K231" s="4" t="inlineStr">
        <ns0:is>
          <ns0:t>城限</ns0:t>
        </ns0:is>
      </ns0:c>
      <ns0:c r="L231" s="9">
        <ns0:f>I231-J231</ns0:f>
        <ns0:v>527</ns0:v>
      </ns0:c>
      <ns0:c r="M231" s="4" t="n">
        <ns0:v>7.7</ns0:v>
      </ns0:c>
      <ns0:c r="N231" s="10">
        <ns0:f>DATE(YEAR(C231),MONTH(C231),1)</ns0:f>
        <ns0:v>46113.0</ns0:v>
      </ns0:c>
      <ns0:c r="O231" s="4" t="str">
        <ns0:f>TEXT(N231,"yyyy-mm")</ns0:f>
        <ns0:v>2026-04</ns0:v>
      </ns0:c>
    </ns0:row>
    <ns0:row r="232">
      <ns0:c r="A232" s="4" t="inlineStr">
        <ns0:is>
          <ns0:t>SES-0231</ns0:t>
        </ns0:is>
      </ns0:c>
      <ns0:c r="B232" s="4" t="inlineStr">
        <ns0:is>
          <ns0:t>SYN-092</ns0:t>
        </ns0:is>
      </ns0:c>
      <ns0:c r="C232" s="10" t="n">
        <ns0:v>46124</ns0:v>
      </ns0:c>
      <ns0:c r="D232" s="4" t="inlineStr">
        <ns0:is>
          <ns0:t>Synthetic Script 092</ns0:t>
        </ns0:is>
      </ns0:c>
      <ns0:c r="E232" s="4" t="inlineStr">
        <ns0:is>
          <ns0:t>推理</ns0:t>
        </ns0:is>
      </ns0:c>
      <ns0:c r="F232" s="4" t="n">
        <ns0:v>1</ns0:v>
      </ns0:c>
      <ns0:c r="G232" s="4" t="n">
        <ns0:v>6</ns0:v>
      </ns0:c>
      <ns0:c r="H232" s="9" t="n">
        <ns0:v>119</ns0:v>
      </ns0:c>
      <ns0:c r="I232" s="9">
        <ns0:f>G232*H232</ns0:f>
        <ns0:v>714</ns0:v>
      </ns0:c>
      <ns0:c r="J232" s="9">
        <ns0:f>INDEX(Script_List!$H$2:$H$161,MATCH(B232,Script_List!$A$2:$A$161,0))</ns0:f>
        <ns0:v>187</ns0:v>
      </ns0:c>
      <ns0:c r="K232" s="4" t="inlineStr">
        <ns0:is>
          <ns0:t>城限</ns0:t>
        </ns0:is>
      </ns0:c>
      <ns0:c r="L232" s="9">
        <ns0:f>I232-J232</ns0:f>
        <ns0:v>527</ns0:v>
      </ns0:c>
      <ns0:c r="M232" s="4" t="n">
        <ns0:v>7.7</ns0:v>
      </ns0:c>
      <ns0:c r="N232" s="10">
        <ns0:f>DATE(YEAR(C232),MONTH(C232),1)</ns0:f>
        <ns0:v>46113.0</ns0:v>
      </ns0:c>
      <ns0:c r="O232" s="4" t="str">
        <ns0:f>TEXT(N232,"yyyy-mm")</ns0:f>
        <ns0:v>2026-04</ns0:v>
      </ns0:c>
    </ns0:row>
    <ns0:row r="233">
      <ns0:c r="A233" s="4" t="inlineStr">
        <ns0:is>
          <ns0:t>SES-0232</ns0:t>
        </ns0:is>
      </ns0:c>
      <ns0:c r="B233" s="4" t="inlineStr">
        <ns0:is>
          <ns0:t>SYN-092</ns0:t>
        </ns0:is>
      </ns0:c>
      <ns0:c r="C233" s="10" t="n">
        <ns0:v>46125</ns0:v>
      </ns0:c>
      <ns0:c r="D233" s="4" t="inlineStr">
        <ns0:is>
          <ns0:t>Synthetic Script 092</ns0:t>
        </ns0:is>
      </ns0:c>
      <ns0:c r="E233" s="4" t="inlineStr">
        <ns0:is>
          <ns0:t>推理</ns0:t>
        </ns0:is>
      </ns0:c>
      <ns0:c r="F233" s="4" t="n">
        <ns0:v>1</ns0:v>
      </ns0:c>
      <ns0:c r="G233" s="4" t="n">
        <ns0:v>6</ns0:v>
      </ns0:c>
      <ns0:c r="H233" s="9" t="n">
        <ns0:v>119</ns0:v>
      </ns0:c>
      <ns0:c r="I233" s="9">
        <ns0:f>G233*H233</ns0:f>
        <ns0:v>714</ns0:v>
      </ns0:c>
      <ns0:c r="J233" s="9">
        <ns0:f>INDEX(Script_List!$H$2:$H$161,MATCH(B233,Script_List!$A$2:$A$161,0))</ns0:f>
        <ns0:v>187</ns0:v>
      </ns0:c>
      <ns0:c r="K233" s="4" t="inlineStr">
        <ns0:is>
          <ns0:t>城限</ns0:t>
        </ns0:is>
      </ns0:c>
      <ns0:c r="L233" s="9">
        <ns0:f>I233-J233</ns0:f>
        <ns0:v>527</ns0:v>
      </ns0:c>
      <ns0:c r="M233" s="4" t="n">
        <ns0:v>7.7</ns0:v>
      </ns0:c>
      <ns0:c r="N233" s="10">
        <ns0:f>DATE(YEAR(C233),MONTH(C233),1)</ns0:f>
        <ns0:v>46113.0</ns0:v>
      </ns0:c>
      <ns0:c r="O233" s="4" t="str">
        <ns0:f>TEXT(N233,"yyyy-mm")</ns0:f>
        <ns0:v>2026-04</ns0:v>
      </ns0:c>
    </ns0:row>
    <ns0:row r="234">
      <ns0:c r="A234" s="4" t="inlineStr">
        <ns0:is>
          <ns0:t>SES-0233</ns0:t>
        </ns0:is>
      </ns0:c>
      <ns0:c r="B234" s="4" t="inlineStr">
        <ns0:is>
          <ns0:t>SYN-093</ns0:t>
        </ns0:is>
      </ns0:c>
      <ns0:c r="C234" s="10" t="n">
        <ns0:v>46126</ns0:v>
      </ns0:c>
      <ns0:c r="D234" s="4" t="inlineStr">
        <ns0:is>
          <ns0:t>Synthetic Script 093</ns0:t>
        </ns0:is>
      </ns0:c>
      <ns0:c r="E234" s="4" t="inlineStr">
        <ns0:is>
          <ns0:t>情感</ns0:t>
        </ns0:is>
      </ns0:c>
      <ns0:c r="F234" s="4" t="n">
        <ns0:v>3</ns0:v>
      </ns0:c>
      <ns0:c r="G234" s="4" t="n">
        <ns0:v>6</ns0:v>
      </ns0:c>
      <ns0:c r="H234" s="9" t="n">
        <ns0:v>99</ns0:v>
      </ns0:c>
      <ns0:c r="I234" s="9">
        <ns0:f>G234*H234</ns0:f>
        <ns0:v>594</ns0:v>
      </ns0:c>
      <ns0:c r="J234" s="9">
        <ns0:f>INDEX(Script_List!$H$2:$H$161,MATCH(B234,Script_List!$A$2:$A$161,0))</ns0:f>
        <ns0:v>270</ns0:v>
      </ns0:c>
      <ns0:c r="K234" s="4" t="inlineStr">
        <ns0:is>
          <ns0:t>盒装</ns0:t>
        </ns0:is>
      </ns0:c>
      <ns0:c r="L234" s="9">
        <ns0:f>I234-J234</ns0:f>
        <ns0:v>324</ns0:v>
      </ns0:c>
      <ns0:c r="M234" s="4" t="n">
        <ns0:v>8.4</ns0:v>
      </ns0:c>
      <ns0:c r="N234" s="10">
        <ns0:f>DATE(YEAR(C234),MONTH(C234),1)</ns0:f>
        <ns0:v>46113.0</ns0:v>
      </ns0:c>
      <ns0:c r="O234" s="4" t="str">
        <ns0:f>TEXT(N234,"yyyy-mm")</ns0:f>
        <ns0:v>2026-04</ns0:v>
      </ns0:c>
    </ns0:row>
    <ns0:row r="235">
      <ns0:c r="A235" s="4" t="inlineStr">
        <ns0:is>
          <ns0:t>SES-0234</ns0:t>
        </ns0:is>
      </ns0:c>
      <ns0:c r="B235" s="4" t="inlineStr">
        <ns0:is>
          <ns0:t>SYN-094</ns0:t>
        </ns0:is>
      </ns0:c>
      <ns0:c r="C235" s="10" t="n">
        <ns0:v>46127</ns0:v>
      </ns0:c>
      <ns0:c r="D235" s="4" t="inlineStr">
        <ns0:is>
          <ns0:t>Synthetic Script 094</ns0:t>
        </ns0:is>
      </ns0:c>
      <ns0:c r="E235" s="4" t="inlineStr">
        <ns0:is>
          <ns0:t>欢乐</ns0:t>
        </ns0:is>
      </ns0:c>
      <ns0:c r="F235" s="4" t="n">
        <ns0:v>3</ns0:v>
      </ns0:c>
      <ns0:c r="G235" s="4" t="n">
        <ns0:v>7</ns0:v>
      </ns0:c>
      <ns0:c r="H235" s="9" t="n">
        <ns0:v>109</ns0:v>
      </ns0:c>
      <ns0:c r="I235" s="9">
        <ns0:f>G235*H235</ns0:f>
        <ns0:v>763</ns0:v>
      </ns0:c>
      <ns0:c r="J235" s="9">
        <ns0:f>INDEX(Script_List!$H$2:$H$161,MATCH(B235,Script_List!$A$2:$A$161,0))</ns0:f>
        <ns0:v>200</ns0:v>
      </ns0:c>
      <ns0:c r="K235" s="4" t="inlineStr">
        <ns0:is>
          <ns0:t>独家</ns0:t>
        </ns0:is>
      </ns0:c>
      <ns0:c r="L235" s="9">
        <ns0:f>I235-J235</ns0:f>
        <ns0:v>563</ns0:v>
      </ns0:c>
      <ns0:c r="M235" s="4" t="n">
        <ns0:v>7</ns0:v>
      </ns0:c>
      <ns0:c r="N235" s="10">
        <ns0:f>DATE(YEAR(C235),MONTH(C235),1)</ns0:f>
        <ns0:v>46113.0</ns0:v>
      </ns0:c>
      <ns0:c r="O235" s="4" t="str">
        <ns0:f>TEXT(N235,"yyyy-mm")</ns0:f>
        <ns0:v>2026-04</ns0:v>
      </ns0:c>
    </ns0:row>
    <ns0:row r="236">
      <ns0:c r="A236" s="4" t="inlineStr">
        <ns0:is>
          <ns0:t>SES-0235</ns0:t>
        </ns0:is>
      </ns0:c>
      <ns0:c r="B236" s="4" t="inlineStr">
        <ns0:is>
          <ns0:t>SYN-094</ns0:t>
        </ns0:is>
      </ns0:c>
      <ns0:c r="C236" s="10" t="n">
        <ns0:v>46128</ns0:v>
      </ns0:c>
      <ns0:c r="D236" s="4" t="inlineStr">
        <ns0:is>
          <ns0:t>Synthetic Script 094</ns0:t>
        </ns0:is>
      </ns0:c>
      <ns0:c r="E236" s="4" t="inlineStr">
        <ns0:is>
          <ns0:t>欢乐</ns0:t>
        </ns0:is>
      </ns0:c>
      <ns0:c r="F236" s="4" t="n">
        <ns0:v>3</ns0:v>
      </ns0:c>
      <ns0:c r="G236" s="4" t="n">
        <ns0:v>7</ns0:v>
      </ns0:c>
      <ns0:c r="H236" s="9" t="n">
        <ns0:v>109</ns0:v>
      </ns0:c>
      <ns0:c r="I236" s="9">
        <ns0:f>G236*H236</ns0:f>
        <ns0:v>763</ns0:v>
      </ns0:c>
      <ns0:c r="J236" s="9">
        <ns0:f>INDEX(Script_List!$H$2:$H$161,MATCH(B236,Script_List!$A$2:$A$161,0))</ns0:f>
        <ns0:v>200</ns0:v>
      </ns0:c>
      <ns0:c r="K236" s="4" t="inlineStr">
        <ns0:is>
          <ns0:t>独家</ns0:t>
        </ns0:is>
      </ns0:c>
      <ns0:c r="L236" s="9">
        <ns0:f>I236-J236</ns0:f>
        <ns0:v>563</ns0:v>
      </ns0:c>
      <ns0:c r="M236" s="4" t="n">
        <ns0:v>7</ns0:v>
      </ns0:c>
      <ns0:c r="N236" s="10">
        <ns0:f>DATE(YEAR(C236),MONTH(C236),1)</ns0:f>
        <ns0:v>46113.0</ns0:v>
      </ns0:c>
      <ns0:c r="O236" s="4" t="str">
        <ns0:f>TEXT(N236,"yyyy-mm")</ns0:f>
        <ns0:v>2026-04</ns0:v>
      </ns0:c>
    </ns0:row>
    <ns0:row r="237">
      <ns0:c r="A237" s="4" t="inlineStr">
        <ns0:is>
          <ns0:t>SES-0236</ns0:t>
        </ns0:is>
      </ns0:c>
      <ns0:c r="B237" s="4" t="inlineStr">
        <ns0:is>
          <ns0:t>SYN-095</ns0:t>
        </ns0:is>
      </ns0:c>
      <ns0:c r="C237" s="10" t="n">
        <ns0:v>46129</ns0:v>
      </ns0:c>
      <ns0:c r="D237" s="4" t="inlineStr">
        <ns0:is>
          <ns0:t>Synthetic Script 095</ns0:t>
        </ns0:is>
      </ns0:c>
      <ns0:c r="E237" s="4" t="inlineStr">
        <ns0:is>
          <ns0:t>推理</ns0:t>
        </ns0:is>
      </ns0:c>
      <ns0:c r="F237" s="4" t="n">
        <ns0:v>2</ns0:v>
      </ns0:c>
      <ns0:c r="G237" s="4" t="n">
        <ns0:v>8</ns0:v>
      </ns0:c>
      <ns0:c r="H237" s="9" t="n">
        <ns0:v>95</ns0:v>
      </ns0:c>
      <ns0:c r="I237" s="9">
        <ns0:f>G237*H237</ns0:f>
        <ns0:v>760</ns0:v>
      </ns0:c>
      <ns0:c r="J237" s="9">
        <ns0:f>INDEX(Script_List!$H$2:$H$161,MATCH(B237,Script_List!$A$2:$A$161,0))</ns0:f>
        <ns0:v>200</ns0:v>
      </ns0:c>
      <ns0:c r="K237" s="4" t="inlineStr">
        <ns0:is>
          <ns0:t>城限</ns0:t>
        </ns0:is>
      </ns0:c>
      <ns0:c r="L237" s="9">
        <ns0:f>I237-J237</ns0:f>
        <ns0:v>560</ns0:v>
      </ns0:c>
      <ns0:c r="M237" s="4" t="n">
        <ns0:v>7.7</ns0:v>
      </ns0:c>
      <ns0:c r="N237" s="10">
        <ns0:f>DATE(YEAR(C237),MONTH(C237),1)</ns0:f>
        <ns0:v>46113.0</ns0:v>
      </ns0:c>
      <ns0:c r="O237" s="4" t="str">
        <ns0:f>TEXT(N237,"yyyy-mm")</ns0:f>
        <ns0:v>2026-04</ns0:v>
      </ns0:c>
    </ns0:row>
    <ns0:row r="238">
      <ns0:c r="A238" s="4" t="inlineStr">
        <ns0:is>
          <ns0:t>SES-0237</ns0:t>
        </ns0:is>
      </ns0:c>
      <ns0:c r="B238" s="4" t="inlineStr">
        <ns0:is>
          <ns0:t>SYN-095</ns0:t>
        </ns0:is>
      </ns0:c>
      <ns0:c r="C238" s="10" t="n">
        <ns0:v>46130</ns0:v>
      </ns0:c>
      <ns0:c r="D238" s="4" t="inlineStr">
        <ns0:is>
          <ns0:t>Synthetic Script 095</ns0:t>
        </ns0:is>
      </ns0:c>
      <ns0:c r="E238" s="4" t="inlineStr">
        <ns0:is>
          <ns0:t>推理</ns0:t>
        </ns0:is>
      </ns0:c>
      <ns0:c r="F238" s="4" t="n">
        <ns0:v>2</ns0:v>
      </ns0:c>
      <ns0:c r="G238" s="4" t="n">
        <ns0:v>8</ns0:v>
      </ns0:c>
      <ns0:c r="H238" s="9" t="n">
        <ns0:v>95</ns0:v>
      </ns0:c>
      <ns0:c r="I238" s="9">
        <ns0:f>G238*H238</ns0:f>
        <ns0:v>760</ns0:v>
      </ns0:c>
      <ns0:c r="J238" s="9">
        <ns0:f>INDEX(Script_List!$H$2:$H$161,MATCH(B238,Script_List!$A$2:$A$161,0))</ns0:f>
        <ns0:v>200</ns0:v>
      </ns0:c>
      <ns0:c r="K238" s="4" t="inlineStr">
        <ns0:is>
          <ns0:t>城限</ns0:t>
        </ns0:is>
      </ns0:c>
      <ns0:c r="L238" s="9">
        <ns0:f>I238-J238</ns0:f>
        <ns0:v>560</ns0:v>
      </ns0:c>
      <ns0:c r="M238" s="4" t="n">
        <ns0:v>7.7</ns0:v>
      </ns0:c>
      <ns0:c r="N238" s="10">
        <ns0:f>DATE(YEAR(C238),MONTH(C238),1)</ns0:f>
        <ns0:v>46113.0</ns0:v>
      </ns0:c>
      <ns0:c r="O238" s="4" t="str">
        <ns0:f>TEXT(N238,"yyyy-mm")</ns0:f>
        <ns0:v>2026-04</ns0:v>
      </ns0:c>
    </ns0:row>
    <ns0:row r="239">
      <ns0:c r="A239" s="4" t="inlineStr">
        <ns0:is>
          <ns0:t>SES-0238</ns0:t>
        </ns0:is>
      </ns0:c>
      <ns0:c r="B239" s="4" t="inlineStr">
        <ns0:is>
          <ns0:t>SYN-095</ns0:t>
        </ns0:is>
      </ns0:c>
      <ns0:c r="C239" s="10" t="n">
        <ns0:v>46131</ns0:v>
      </ns0:c>
      <ns0:c r="D239" s="4" t="inlineStr">
        <ns0:is>
          <ns0:t>Synthetic Script 095</ns0:t>
        </ns0:is>
      </ns0:c>
      <ns0:c r="E239" s="4" t="inlineStr">
        <ns0:is>
          <ns0:t>推理</ns0:t>
        </ns0:is>
      </ns0:c>
      <ns0:c r="F239" s="4" t="n">
        <ns0:v>2</ns0:v>
      </ns0:c>
      <ns0:c r="G239" s="4" t="n">
        <ns0:v>8</ns0:v>
      </ns0:c>
      <ns0:c r="H239" s="9" t="n">
        <ns0:v>95</ns0:v>
      </ns0:c>
      <ns0:c r="I239" s="9">
        <ns0:f>G239*H239</ns0:f>
        <ns0:v>760</ns0:v>
      </ns0:c>
      <ns0:c r="J239" s="9">
        <ns0:f>INDEX(Script_List!$H$2:$H$161,MATCH(B239,Script_List!$A$2:$A$161,0))</ns0:f>
        <ns0:v>200</ns0:v>
      </ns0:c>
      <ns0:c r="K239" s="4" t="inlineStr">
        <ns0:is>
          <ns0:t>城限</ns0:t>
        </ns0:is>
      </ns0:c>
      <ns0:c r="L239" s="9">
        <ns0:f>I239-J239</ns0:f>
        <ns0:v>560</ns0:v>
      </ns0:c>
      <ns0:c r="M239" s="4" t="n">
        <ns0:v>7.7</ns0:v>
      </ns0:c>
      <ns0:c r="N239" s="10">
        <ns0:f>DATE(YEAR(C239),MONTH(C239),1)</ns0:f>
        <ns0:v>46113.0</ns0:v>
      </ns0:c>
      <ns0:c r="O239" s="4" t="str">
        <ns0:f>TEXT(N239,"yyyy-mm")</ns0:f>
        <ns0:v>2026-04</ns0:v>
      </ns0:c>
    </ns0:row>
    <ns0:row r="240">
      <ns0:c r="A240" s="4" t="inlineStr">
        <ns0:is>
          <ns0:t>SES-0239</ns0:t>
        </ns0:is>
      </ns0:c>
      <ns0:c r="B240" s="4" t="inlineStr">
        <ns0:is>
          <ns0:t>SYN-095</ns0:t>
        </ns0:is>
      </ns0:c>
      <ns0:c r="C240" s="10" t="n">
        <ns0:v>46132</ns0:v>
      </ns0:c>
      <ns0:c r="D240" s="4" t="inlineStr">
        <ns0:is>
          <ns0:t>Synthetic Script 095</ns0:t>
        </ns0:is>
      </ns0:c>
      <ns0:c r="E240" s="4" t="inlineStr">
        <ns0:is>
          <ns0:t>推理</ns0:t>
        </ns0:is>
      </ns0:c>
      <ns0:c r="F240" s="4" t="n">
        <ns0:v>2</ns0:v>
      </ns0:c>
      <ns0:c r="G240" s="4" t="n">
        <ns0:v>8</ns0:v>
      </ns0:c>
      <ns0:c r="H240" s="9" t="n">
        <ns0:v>95</ns0:v>
      </ns0:c>
      <ns0:c r="I240" s="9">
        <ns0:f>G240*H240</ns0:f>
        <ns0:v>760</ns0:v>
      </ns0:c>
      <ns0:c r="J240" s="9">
        <ns0:f>INDEX(Script_List!$H$2:$H$161,MATCH(B240,Script_List!$A$2:$A$161,0))</ns0:f>
        <ns0:v>200</ns0:v>
      </ns0:c>
      <ns0:c r="K240" s="4" t="inlineStr">
        <ns0:is>
          <ns0:t>城限</ns0:t>
        </ns0:is>
      </ns0:c>
      <ns0:c r="L240" s="9">
        <ns0:f>I240-J240</ns0:f>
        <ns0:v>560</ns0:v>
      </ns0:c>
      <ns0:c r="M240" s="4" t="n">
        <ns0:v>7.7</ns0:v>
      </ns0:c>
      <ns0:c r="N240" s="10">
        <ns0:f>DATE(YEAR(C240),MONTH(C240),1)</ns0:f>
        <ns0:v>46113.0</ns0:v>
      </ns0:c>
      <ns0:c r="O240" s="4" t="str">
        <ns0:f>TEXT(N240,"yyyy-mm")</ns0:f>
        <ns0:v>2026-04</ns0:v>
      </ns0:c>
    </ns0:row>
    <ns0:row r="241">
      <ns0:c r="A241" s="4" t="inlineStr">
        <ns0:is>
          <ns0:t>SES-0240</ns0:t>
        </ns0:is>
      </ns0:c>
      <ns0:c r="B241" s="4" t="inlineStr">
        <ns0:is>
          <ns0:t>SYN-095</ns0:t>
        </ns0:is>
      </ns0:c>
      <ns0:c r="C241" s="10" t="n">
        <ns0:v>46133</ns0:v>
      </ns0:c>
      <ns0:c r="D241" s="4" t="inlineStr">
        <ns0:is>
          <ns0:t>Synthetic Script 095</ns0:t>
        </ns0:is>
      </ns0:c>
      <ns0:c r="E241" s="4" t="inlineStr">
        <ns0:is>
          <ns0:t>推理</ns0:t>
        </ns0:is>
      </ns0:c>
      <ns0:c r="F241" s="4" t="n">
        <ns0:v>2</ns0:v>
      </ns0:c>
      <ns0:c r="G241" s="4" t="n">
        <ns0:v>8</ns0:v>
      </ns0:c>
      <ns0:c r="H241" s="9" t="n">
        <ns0:v>95</ns0:v>
      </ns0:c>
      <ns0:c r="I241" s="9">
        <ns0:f>G241*H241</ns0:f>
        <ns0:v>760</ns0:v>
      </ns0:c>
      <ns0:c r="J241" s="9">
        <ns0:f>INDEX(Script_List!$H$2:$H$161,MATCH(B241,Script_List!$A$2:$A$161,0))</ns0:f>
        <ns0:v>200</ns0:v>
      </ns0:c>
      <ns0:c r="K241" s="4" t="inlineStr">
        <ns0:is>
          <ns0:t>城限</ns0:t>
        </ns0:is>
      </ns0:c>
      <ns0:c r="L241" s="9">
        <ns0:f>I241-J241</ns0:f>
        <ns0:v>560</ns0:v>
      </ns0:c>
      <ns0:c r="M241" s="4" t="n">
        <ns0:v>7.7</ns0:v>
      </ns0:c>
      <ns0:c r="N241" s="10">
        <ns0:f>DATE(YEAR(C241),MONTH(C241),1)</ns0:f>
        <ns0:v>46113.0</ns0:v>
      </ns0:c>
      <ns0:c r="O241" s="4" t="str">
        <ns0:f>TEXT(N241,"yyyy-mm")</ns0:f>
        <ns0:v>2026-04</ns0:v>
      </ns0:c>
    </ns0:row>
    <ns0:row r="242">
      <ns0:c r="A242" s="4" t="inlineStr">
        <ns0:is>
          <ns0:t>SES-0241</ns0:t>
        </ns0:is>
      </ns0:c>
      <ns0:c r="B242" s="4" t="inlineStr">
        <ns0:is>
          <ns0:t>SYN-095</ns0:t>
        </ns0:is>
      </ns0:c>
      <ns0:c r="C242" s="10" t="n">
        <ns0:v>46133</ns0:v>
      </ns0:c>
      <ns0:c r="D242" s="4" t="inlineStr">
        <ns0:is>
          <ns0:t>Synthetic Script 095</ns0:t>
        </ns0:is>
      </ns0:c>
      <ns0:c r="E242" s="4" t="inlineStr">
        <ns0:is>
          <ns0:t>推理</ns0:t>
        </ns0:is>
      </ns0:c>
      <ns0:c r="F242" s="4" t="n">
        <ns0:v>2</ns0:v>
      </ns0:c>
      <ns0:c r="G242" s="4" t="n">
        <ns0:v>8</ns0:v>
      </ns0:c>
      <ns0:c r="H242" s="9" t="n">
        <ns0:v>95</ns0:v>
      </ns0:c>
      <ns0:c r="I242" s="9">
        <ns0:f>G242*H242</ns0:f>
        <ns0:v>760</ns0:v>
      </ns0:c>
      <ns0:c r="J242" s="9">
        <ns0:f>INDEX(Script_List!$H$2:$H$161,MATCH(B242,Script_List!$A$2:$A$161,0))</ns0:f>
        <ns0:v>200</ns0:v>
      </ns0:c>
      <ns0:c r="K242" s="4" t="inlineStr">
        <ns0:is>
          <ns0:t>城限</ns0:t>
        </ns0:is>
      </ns0:c>
      <ns0:c r="L242" s="9">
        <ns0:f>I242-J242</ns0:f>
        <ns0:v>560</ns0:v>
      </ns0:c>
      <ns0:c r="M242" s="4" t="n">
        <ns0:v>7.7</ns0:v>
      </ns0:c>
      <ns0:c r="N242" s="10">
        <ns0:f>DATE(YEAR(C242),MONTH(C242),1)</ns0:f>
        <ns0:v>46113.0</ns0:v>
      </ns0:c>
      <ns0:c r="O242" s="4" t="str">
        <ns0:f>TEXT(N242,"yyyy-mm")</ns0:f>
        <ns0:v>2026-04</ns0:v>
      </ns0:c>
    </ns0:row>
    <ns0:row r="243">
      <ns0:c r="A243" s="4" t="inlineStr">
        <ns0:is>
          <ns0:t>SES-0242</ns0:t>
        </ns0:is>
      </ns0:c>
      <ns0:c r="B243" s="4" t="inlineStr">
        <ns0:is>
          <ns0:t>SYN-095</ns0:t>
        </ns0:is>
      </ns0:c>
      <ns0:c r="C243" s="10" t="n">
        <ns0:v>46134</ns0:v>
      </ns0:c>
      <ns0:c r="D243" s="4" t="inlineStr">
        <ns0:is>
          <ns0:t>Synthetic Script 095</ns0:t>
        </ns0:is>
      </ns0:c>
      <ns0:c r="E243" s="4" t="inlineStr">
        <ns0:is>
          <ns0:t>推理</ns0:t>
        </ns0:is>
      </ns0:c>
      <ns0:c r="F243" s="4" t="n">
        <ns0:v>2</ns0:v>
      </ns0:c>
      <ns0:c r="G243" s="4" t="n">
        <ns0:v>8</ns0:v>
      </ns0:c>
      <ns0:c r="H243" s="9" t="n">
        <ns0:v>95</ns0:v>
      </ns0:c>
      <ns0:c r="I243" s="9">
        <ns0:f>G243*H243</ns0:f>
        <ns0:v>760</ns0:v>
      </ns0:c>
      <ns0:c r="J243" s="9">
        <ns0:f>INDEX(Script_List!$H$2:$H$161,MATCH(B243,Script_List!$A$2:$A$161,0))</ns0:f>
        <ns0:v>200</ns0:v>
      </ns0:c>
      <ns0:c r="K243" s="4" t="inlineStr">
        <ns0:is>
          <ns0:t>城限</ns0:t>
        </ns0:is>
      </ns0:c>
      <ns0:c r="L243" s="9">
        <ns0:f>I243-J243</ns0:f>
        <ns0:v>560</ns0:v>
      </ns0:c>
      <ns0:c r="M243" s="4" t="n">
        <ns0:v>7.7</ns0:v>
      </ns0:c>
      <ns0:c r="N243" s="10">
        <ns0:f>DATE(YEAR(C243),MONTH(C243),1)</ns0:f>
        <ns0:v>46113.0</ns0:v>
      </ns0:c>
      <ns0:c r="O243" s="4" t="str">
        <ns0:f>TEXT(N243,"yyyy-mm")</ns0:f>
        <ns0:v>2026-04</ns0:v>
      </ns0:c>
    </ns0:row>
    <ns0:row r="244">
      <ns0:c r="A244" s="4" t="inlineStr">
        <ns0:is>
          <ns0:t>SES-0243</ns0:t>
        </ns0:is>
      </ns0:c>
      <ns0:c r="B244" s="4" t="inlineStr">
        <ns0:is>
          <ns0:t>SYN-096</ns0:t>
        </ns0:is>
      </ns0:c>
      <ns0:c r="C244" s="10" t="n">
        <ns0:v>46135</ns0:v>
      </ns0:c>
      <ns0:c r="D244" s="4" t="inlineStr">
        <ns0:is>
          <ns0:t>Synthetic Script 096</ns0:t>
        </ns0:is>
      </ns0:c>
      <ns0:c r="E244" s="4" t="inlineStr">
        <ns0:is>
          <ns0:t>情感</ns0:t>
        </ns0:is>
      </ns0:c>
      <ns0:c r="F244" s="4" t="n">
        <ns0:v>2</ns0:v>
      </ns0:c>
      <ns0:c r="G244" s="4" t="n">
        <ns0:v>6</ns0:v>
      </ns0:c>
      <ns0:c r="H244" s="9" t="n">
        <ns0:v>138</ns0:v>
      </ns0:c>
      <ns0:c r="I244" s="9">
        <ns0:f>G244*H244</ns0:f>
        <ns0:v>828</ns0:v>
      </ns0:c>
      <ns0:c r="J244" s="9">
        <ns0:f>INDEX(Script_List!$H$2:$H$161,MATCH(B244,Script_List!$A$2:$A$161,0))</ns0:f>
        <ns0:v>180</ns0:v>
      </ns0:c>
      <ns0:c r="K244" s="4" t="inlineStr">
        <ns0:is>
          <ns0:t>盒装</ns0:t>
        </ns0:is>
      </ns0:c>
      <ns0:c r="L244" s="9">
        <ns0:f>I244-J244</ns0:f>
        <ns0:v>648</ns0:v>
      </ns0:c>
      <ns0:c r="M244" s="4" t="n">
        <ns0:v>8.4</ns0:v>
      </ns0:c>
      <ns0:c r="N244" s="10">
        <ns0:f>DATE(YEAR(C244),MONTH(C244),1)</ns0:f>
        <ns0:v>46113.0</ns0:v>
      </ns0:c>
      <ns0:c r="O244" s="4" t="str">
        <ns0:f>TEXT(N244,"yyyy-mm")</ns0:f>
        <ns0:v>2026-04</ns0:v>
      </ns0:c>
    </ns0:row>
    <ns0:row r="245">
      <ns0:c r="A245" s="4" t="inlineStr">
        <ns0:is>
          <ns0:t>SES-0244</ns0:t>
        </ns0:is>
      </ns0:c>
      <ns0:c r="B245" s="4" t="inlineStr">
        <ns0:is>
          <ns0:t>SYN-097</ns0:t>
        </ns0:is>
      </ns0:c>
      <ns0:c r="C245" s="10" t="n">
        <ns0:v>46136</ns0:v>
      </ns0:c>
      <ns0:c r="D245" s="4" t="inlineStr">
        <ns0:is>
          <ns0:t>Synthetic Script 097</ns0:t>
        </ns0:is>
      </ns0:c>
      <ns0:c r="E245" s="4" t="inlineStr">
        <ns0:is>
          <ns0:t>机制</ns0:t>
        </ns0:is>
      </ns0:c>
      <ns0:c r="F245" s="4" t="n">
        <ns0:v>1</ns0:v>
      </ns0:c>
      <ns0:c r="G245" s="4" t="n">
        <ns0:v>6</ns0:v>
      </ns0:c>
      <ns0:c r="H245" s="9" t="n">
        <ns0:v>109</ns0:v>
      </ns0:c>
      <ns0:c r="I245" s="9">
        <ns0:f>G245*H245</ns0:f>
        <ns0:v>654</ns0:v>
      </ns0:c>
      <ns0:c r="J245" s="9">
        <ns0:f>INDEX(Script_List!$H$2:$H$161,MATCH(B245,Script_List!$A$2:$A$161,0))</ns0:f>
        <ns0:v>172</ns0:v>
      </ns0:c>
      <ns0:c r="K245" s="4" t="inlineStr">
        <ns0:is>
          <ns0:t>城限</ns0:t>
        </ns0:is>
      </ns0:c>
      <ns0:c r="L245" s="9">
        <ns0:f>I245-J245</ns0:f>
        <ns0:v>482</ns0:v>
      </ns0:c>
      <ns0:c r="M245" s="4" t="n">
        <ns0:v>7</ns0:v>
      </ns0:c>
      <ns0:c r="N245" s="10">
        <ns0:f>DATE(YEAR(C245),MONTH(C245),1)</ns0:f>
        <ns0:v>46113.0</ns0:v>
      </ns0:c>
      <ns0:c r="O245" s="4" t="str">
        <ns0:f>TEXT(N245,"yyyy-mm")</ns0:f>
        <ns0:v>2026-04</ns0:v>
      </ns0:c>
    </ns0:row>
    <ns0:row r="246">
      <ns0:c r="A246" s="4" t="inlineStr">
        <ns0:is>
          <ns0:t>SES-0245</ns0:t>
        </ns0:is>
      </ns0:c>
      <ns0:c r="B246" s="4" t="inlineStr">
        <ns0:is>
          <ns0:t>SYN-097</ns0:t>
        </ns0:is>
      </ns0:c>
      <ns0:c r="C246" s="10" t="n">
        <ns0:v>46137</ns0:v>
      </ns0:c>
      <ns0:c r="D246" s="4" t="inlineStr">
        <ns0:is>
          <ns0:t>Synthetic Script 097</ns0:t>
        </ns0:is>
      </ns0:c>
      <ns0:c r="E246" s="4" t="inlineStr">
        <ns0:is>
          <ns0:t>机制</ns0:t>
        </ns0:is>
      </ns0:c>
      <ns0:c r="F246" s="4" t="n">
        <ns0:v>1</ns0:v>
      </ns0:c>
      <ns0:c r="G246" s="4" t="n">
        <ns0:v>6</ns0:v>
      </ns0:c>
      <ns0:c r="H246" s="9" t="n">
        <ns0:v>109</ns0:v>
      </ns0:c>
      <ns0:c r="I246" s="9">
        <ns0:f>G246*H246</ns0:f>
        <ns0:v>654</ns0:v>
      </ns0:c>
      <ns0:c r="J246" s="9">
        <ns0:f>INDEX(Script_List!$H$2:$H$161,MATCH(B246,Script_List!$A$2:$A$161,0))</ns0:f>
        <ns0:v>172</ns0:v>
      </ns0:c>
      <ns0:c r="K246" s="4" t="inlineStr">
        <ns0:is>
          <ns0:t>城限</ns0:t>
        </ns0:is>
      </ns0:c>
      <ns0:c r="L246" s="9">
        <ns0:f>I246-J246</ns0:f>
        <ns0:v>482</ns0:v>
      </ns0:c>
      <ns0:c r="M246" s="4" t="n">
        <ns0:v>7</ns0:v>
      </ns0:c>
      <ns0:c r="N246" s="10">
        <ns0:f>DATE(YEAR(C246),MONTH(C246),1)</ns0:f>
        <ns0:v>46113.0</ns0:v>
      </ns0:c>
      <ns0:c r="O246" s="4" t="str">
        <ns0:f>TEXT(N246,"yyyy-mm")</ns0:f>
        <ns0:v>2026-04</ns0:v>
      </ns0:c>
    </ns0:row>
    <ns0:row r="247">
      <ns0:c r="A247" s="4" t="inlineStr">
        <ns0:is>
          <ns0:t>SES-0246</ns0:t>
        </ns0:is>
      </ns0:c>
      <ns0:c r="B247" s="4" t="inlineStr">
        <ns0:is>
          <ns0:t>SYN-097</ns0:t>
        </ns0:is>
      </ns0:c>
      <ns0:c r="C247" s="10" t="n">
        <ns0:v>46138</ns0:v>
      </ns0:c>
      <ns0:c r="D247" s="4" t="inlineStr">
        <ns0:is>
          <ns0:t>Synthetic Script 097</ns0:t>
        </ns0:is>
      </ns0:c>
      <ns0:c r="E247" s="4" t="inlineStr">
        <ns0:is>
          <ns0:t>机制</ns0:t>
        </ns0:is>
      </ns0:c>
      <ns0:c r="F247" s="4" t="n">
        <ns0:v>1</ns0:v>
      </ns0:c>
      <ns0:c r="G247" s="4" t="n">
        <ns0:v>6</ns0:v>
      </ns0:c>
      <ns0:c r="H247" s="9" t="n">
        <ns0:v>109</ns0:v>
      </ns0:c>
      <ns0:c r="I247" s="9">
        <ns0:f>G247*H247</ns0:f>
        <ns0:v>654</ns0:v>
      </ns0:c>
      <ns0:c r="J247" s="9">
        <ns0:f>INDEX(Script_List!$H$2:$H$161,MATCH(B247,Script_List!$A$2:$A$161,0))</ns0:f>
        <ns0:v>172</ns0:v>
      </ns0:c>
      <ns0:c r="K247" s="4" t="inlineStr">
        <ns0:is>
          <ns0:t>城限</ns0:t>
        </ns0:is>
      </ns0:c>
      <ns0:c r="L247" s="9">
        <ns0:f>I247-J247</ns0:f>
        <ns0:v>482</ns0:v>
      </ns0:c>
      <ns0:c r="M247" s="4" t="n">
        <ns0:v>7</ns0:v>
      </ns0:c>
      <ns0:c r="N247" s="10">
        <ns0:f>DATE(YEAR(C247),MONTH(C247),1)</ns0:f>
        <ns0:v>46113.0</ns0:v>
      </ns0:c>
      <ns0:c r="O247" s="4" t="str">
        <ns0:f>TEXT(N247,"yyyy-mm")</ns0:f>
        <ns0:v>2026-04</ns0:v>
      </ns0:c>
    </ns0:row>
    <ns0:row r="248">
      <ns0:c r="A248" s="4" t="inlineStr">
        <ns0:is>
          <ns0:t>SES-0247</ns0:t>
        </ns0:is>
      </ns0:c>
      <ns0:c r="B248" s="4" t="inlineStr">
        <ns0:is>
          <ns0:t>SYN-098</ns0:t>
        </ns0:is>
      </ns0:c>
      <ns0:c r="C248" s="10" t="n">
        <ns0:v>46139</ns0:v>
      </ns0:c>
      <ns0:c r="D248" s="4" t="inlineStr">
        <ns0:is>
          <ns0:t>Synthetic Script 098</ns0:t>
        </ns0:is>
      </ns0:c>
      <ns0:c r="E248" s="4" t="inlineStr">
        <ns0:is>
          <ns0:t>推理</ns0:t>
        </ns0:is>
      </ns0:c>
      <ns0:c r="F248" s="4" t="n">
        <ns0:v>1</ns0:v>
      </ns0:c>
      <ns0:c r="G248" s="4" t="n">
        <ns0:v>6</ns0:v>
      </ns0:c>
      <ns0:c r="H248" s="9" t="n">
        <ns0:v>75</ns0:v>
      </ns0:c>
      <ns0:c r="I248" s="9">
        <ns0:f>G248*H248</ns0:f>
        <ns0:v>450</ns0:v>
      </ns0:c>
      <ns0:c r="J248" s="9">
        <ns0:f>INDEX(Script_List!$H$2:$H$161,MATCH(B248,Script_List!$A$2:$A$161,0))</ns0:f>
        <ns0:v>118</ns0:v>
      </ns0:c>
      <ns0:c r="K248" s="4" t="inlineStr">
        <ns0:is>
          <ns0:t>盒装</ns0:t>
        </ns0:is>
      </ns0:c>
      <ns0:c r="L248" s="9">
        <ns0:f>I248-J248</ns0:f>
        <ns0:v>332</ns0:v>
      </ns0:c>
      <ns0:c r="M248" s="4" t="n">
        <ns0:v>7.7</ns0:v>
      </ns0:c>
      <ns0:c r="N248" s="10">
        <ns0:f>DATE(YEAR(C248),MONTH(C248),1)</ns0:f>
        <ns0:v>46113.0</ns0:v>
      </ns0:c>
      <ns0:c r="O248" s="4" t="str">
        <ns0:f>TEXT(N248,"yyyy-mm")</ns0:f>
        <ns0:v>2026-04</ns0:v>
      </ns0:c>
    </ns0:row>
    <ns0:row r="249">
      <ns0:c r="A249" s="4" t="inlineStr">
        <ns0:is>
          <ns0:t>SES-0248</ns0:t>
        </ns0:is>
      </ns0:c>
      <ns0:c r="B249" s="4" t="inlineStr">
        <ns0:is>
          <ns0:t>SYN-098</ns0:t>
        </ns0:is>
      </ns0:c>
      <ns0:c r="C249" s="10" t="n">
        <ns0:v>46140</ns0:v>
      </ns0:c>
      <ns0:c r="D249" s="4" t="inlineStr">
        <ns0:is>
          <ns0:t>Synthetic Script 098</ns0:t>
        </ns0:is>
      </ns0:c>
      <ns0:c r="E249" s="4" t="inlineStr">
        <ns0:is>
          <ns0:t>推理</ns0:t>
        </ns0:is>
      </ns0:c>
      <ns0:c r="F249" s="4" t="n">
        <ns0:v>1</ns0:v>
      </ns0:c>
      <ns0:c r="G249" s="4" t="n">
        <ns0:v>6</ns0:v>
      </ns0:c>
      <ns0:c r="H249" s="9" t="n">
        <ns0:v>75</ns0:v>
      </ns0:c>
      <ns0:c r="I249" s="9">
        <ns0:f>G249*H249</ns0:f>
        <ns0:v>450</ns0:v>
      </ns0:c>
      <ns0:c r="J249" s="9">
        <ns0:f>INDEX(Script_List!$H$2:$H$161,MATCH(B249,Script_List!$A$2:$A$161,0))</ns0:f>
        <ns0:v>118</ns0:v>
      </ns0:c>
      <ns0:c r="K249" s="4" t="inlineStr">
        <ns0:is>
          <ns0:t>盒装</ns0:t>
        </ns0:is>
      </ns0:c>
      <ns0:c r="L249" s="9">
        <ns0:f>I249-J249</ns0:f>
        <ns0:v>332</ns0:v>
      </ns0:c>
      <ns0:c r="M249" s="4" t="n">
        <ns0:v>7.7</ns0:v>
      </ns0:c>
      <ns0:c r="N249" s="10">
        <ns0:f>DATE(YEAR(C249),MONTH(C249),1)</ns0:f>
        <ns0:v>46113.0</ns0:v>
      </ns0:c>
      <ns0:c r="O249" s="4" t="str">
        <ns0:f>TEXT(N249,"yyyy-mm")</ns0:f>
        <ns0:v>2026-04</ns0:v>
      </ns0:c>
    </ns0:row>
    <ns0:row r="250">
      <ns0:c r="A250" s="4" t="inlineStr">
        <ns0:is>
          <ns0:t>SES-0249</ns0:t>
        </ns0:is>
      </ns0:c>
      <ns0:c r="B250" s="4" t="inlineStr">
        <ns0:is>
          <ns0:t>SYN-098</ns0:t>
        </ns0:is>
      </ns0:c>
      <ns0:c r="C250" s="10" t="n">
        <ns0:v>46141</ns0:v>
      </ns0:c>
      <ns0:c r="D250" s="4" t="inlineStr">
        <ns0:is>
          <ns0:t>Synthetic Script 098</ns0:t>
        </ns0:is>
      </ns0:c>
      <ns0:c r="E250" s="4" t="inlineStr">
        <ns0:is>
          <ns0:t>推理</ns0:t>
        </ns0:is>
      </ns0:c>
      <ns0:c r="F250" s="4" t="n">
        <ns0:v>1</ns0:v>
      </ns0:c>
      <ns0:c r="G250" s="4" t="n">
        <ns0:v>6</ns0:v>
      </ns0:c>
      <ns0:c r="H250" s="9" t="n">
        <ns0:v>75</ns0:v>
      </ns0:c>
      <ns0:c r="I250" s="9">
        <ns0:f>G250*H250</ns0:f>
        <ns0:v>450</ns0:v>
      </ns0:c>
      <ns0:c r="J250" s="9">
        <ns0:f>INDEX(Script_List!$H$2:$H$161,MATCH(B250,Script_List!$A$2:$A$161,0))</ns0:f>
        <ns0:v>118</ns0:v>
      </ns0:c>
      <ns0:c r="K250" s="4" t="inlineStr">
        <ns0:is>
          <ns0:t>盒装</ns0:t>
        </ns0:is>
      </ns0:c>
      <ns0:c r="L250" s="9">
        <ns0:f>I250-J250</ns0:f>
        <ns0:v>332</ns0:v>
      </ns0:c>
      <ns0:c r="M250" s="4" t="n">
        <ns0:v>7.7</ns0:v>
      </ns0:c>
      <ns0:c r="N250" s="10">
        <ns0:f>DATE(YEAR(C250),MONTH(C250),1)</ns0:f>
        <ns0:v>46113.0</ns0:v>
      </ns0:c>
      <ns0:c r="O250" s="4" t="str">
        <ns0:f>TEXT(N250,"yyyy-mm")</ns0:f>
        <ns0:v>2026-04</ns0:v>
      </ns0:c>
    </ns0:row>
    <ns0:row r="251">
      <ns0:c r="A251" s="4" t="inlineStr">
        <ns0:is>
          <ns0:t>SES-0250</ns0:t>
        </ns0:is>
      </ns0:c>
      <ns0:c r="B251" s="4" t="inlineStr">
        <ns0:is>
          <ns0:t>SYN-098</ns0:t>
        </ns0:is>
      </ns0:c>
      <ns0:c r="C251" s="10" t="n">
        <ns0:v>46142</ns0:v>
      </ns0:c>
      <ns0:c r="D251" s="4" t="inlineStr">
        <ns0:is>
          <ns0:t>Synthetic Script 098</ns0:t>
        </ns0:is>
      </ns0:c>
      <ns0:c r="E251" s="4" t="inlineStr">
        <ns0:is>
          <ns0:t>推理</ns0:t>
        </ns0:is>
      </ns0:c>
      <ns0:c r="F251" s="4" t="n">
        <ns0:v>1</ns0:v>
      </ns0:c>
      <ns0:c r="G251" s="4" t="n">
        <ns0:v>6</ns0:v>
      </ns0:c>
      <ns0:c r="H251" s="9" t="n">
        <ns0:v>75</ns0:v>
      </ns0:c>
      <ns0:c r="I251" s="9">
        <ns0:f>G251*H251</ns0:f>
        <ns0:v>450</ns0:v>
      </ns0:c>
      <ns0:c r="J251" s="9">
        <ns0:f>INDEX(Script_List!$H$2:$H$161,MATCH(B251,Script_List!$A$2:$A$161,0))</ns0:f>
        <ns0:v>118</ns0:v>
      </ns0:c>
      <ns0:c r="K251" s="4" t="inlineStr">
        <ns0:is>
          <ns0:t>盒装</ns0:t>
        </ns0:is>
      </ns0:c>
      <ns0:c r="L251" s="9">
        <ns0:f>I251-J251</ns0:f>
        <ns0:v>332</ns0:v>
      </ns0:c>
      <ns0:c r="M251" s="4" t="n">
        <ns0:v>7.7</ns0:v>
      </ns0:c>
      <ns0:c r="N251" s="10">
        <ns0:f>DATE(YEAR(C251),MONTH(C251),1)</ns0:f>
        <ns0:v>46113.0</ns0:v>
      </ns0:c>
      <ns0:c r="O251" s="4" t="str">
        <ns0:f>TEXT(N251,"yyyy-mm")</ns0:f>
        <ns0:v>2026-04</ns0:v>
      </ns0:c>
    </ns0:row>
    <ns0:row r="252">
      <ns0:c r="A252" s="4" t="inlineStr">
        <ns0:is>
          <ns0:t>SES-0251</ns0:t>
        </ns0:is>
      </ns0:c>
      <ns0:c r="B252" s="4" t="inlineStr">
        <ns0:is>
          <ns0:t>SYN-098</ns0:t>
        </ns0:is>
      </ns0:c>
      <ns0:c r="C252" s="10" t="n">
        <ns0:v>46143</ns0:v>
      </ns0:c>
      <ns0:c r="D252" s="4" t="inlineStr">
        <ns0:is>
          <ns0:t>Synthetic Script 098</ns0:t>
        </ns0:is>
      </ns0:c>
      <ns0:c r="E252" s="4" t="inlineStr">
        <ns0:is>
          <ns0:t>推理</ns0:t>
        </ns0:is>
      </ns0:c>
      <ns0:c r="F252" s="4" t="n">
        <ns0:v>1</ns0:v>
      </ns0:c>
      <ns0:c r="G252" s="4" t="n">
        <ns0:v>6</ns0:v>
      </ns0:c>
      <ns0:c r="H252" s="9" t="n">
        <ns0:v>75</ns0:v>
      </ns0:c>
      <ns0:c r="I252" s="9">
        <ns0:f>G252*H252</ns0:f>
        <ns0:v>450</ns0:v>
      </ns0:c>
      <ns0:c r="J252" s="9">
        <ns0:f>INDEX(Script_List!$H$2:$H$161,MATCH(B252,Script_List!$A$2:$A$161,0))</ns0:f>
        <ns0:v>118</ns0:v>
      </ns0:c>
      <ns0:c r="K252" s="4" t="inlineStr">
        <ns0:is>
          <ns0:t>盒装</ns0:t>
        </ns0:is>
      </ns0:c>
      <ns0:c r="L252" s="9">
        <ns0:f>I252-J252</ns0:f>
        <ns0:v>332</ns0:v>
      </ns0:c>
      <ns0:c r="M252" s="4" t="n">
        <ns0:v>7.7</ns0:v>
      </ns0:c>
      <ns0:c r="N252" s="10">
        <ns0:f>DATE(YEAR(C252),MONTH(C252),1)</ns0:f>
        <ns0:v>46143.0</ns0:v>
      </ns0:c>
      <ns0:c r="O252" s="4" t="str">
        <ns0:f>TEXT(N252,"yyyy-mm")</ns0:f>
        <ns0:v>2026-05</ns0:v>
      </ns0:c>
    </ns0:row>
    <ns0:row r="253">
      <ns0:c r="A253" s="4" t="inlineStr">
        <ns0:is>
          <ns0:t>SES-0252</ns0:t>
        </ns0:is>
      </ns0:c>
      <ns0:c r="B253" s="4" t="inlineStr">
        <ns0:is>
          <ns0:t>SYN-098</ns0:t>
        </ns0:is>
      </ns0:c>
      <ns0:c r="C253" s="10" t="n">
        <ns0:v>46144</ns0:v>
      </ns0:c>
      <ns0:c r="D253" s="4" t="inlineStr">
        <ns0:is>
          <ns0:t>Synthetic Script 098</ns0:t>
        </ns0:is>
      </ns0:c>
      <ns0:c r="E253" s="4" t="inlineStr">
        <ns0:is>
          <ns0:t>推理</ns0:t>
        </ns0:is>
      </ns0:c>
      <ns0:c r="F253" s="4" t="n">
        <ns0:v>1</ns0:v>
      </ns0:c>
      <ns0:c r="G253" s="4" t="n">
        <ns0:v>6</ns0:v>
      </ns0:c>
      <ns0:c r="H253" s="9" t="n">
        <ns0:v>75</ns0:v>
      </ns0:c>
      <ns0:c r="I253" s="9">
        <ns0:f>G253*H253</ns0:f>
        <ns0:v>450</ns0:v>
      </ns0:c>
      <ns0:c r="J253" s="9">
        <ns0:f>INDEX(Script_List!$H$2:$H$161,MATCH(B253,Script_List!$A$2:$A$161,0))</ns0:f>
        <ns0:v>118</ns0:v>
      </ns0:c>
      <ns0:c r="K253" s="4" t="inlineStr">
        <ns0:is>
          <ns0:t>盒装</ns0:t>
        </ns0:is>
      </ns0:c>
      <ns0:c r="L253" s="9">
        <ns0:f>I253-J253</ns0:f>
        <ns0:v>332</ns0:v>
      </ns0:c>
      <ns0:c r="M253" s="4" t="n">
        <ns0:v>7.7</ns0:v>
      </ns0:c>
      <ns0:c r="N253" s="10">
        <ns0:f>DATE(YEAR(C253),MONTH(C253),1)</ns0:f>
        <ns0:v>46143.0</ns0:v>
      </ns0:c>
      <ns0:c r="O253" s="4" t="str">
        <ns0:f>TEXT(N253,"yyyy-mm")</ns0:f>
        <ns0:v>2026-05</ns0:v>
      </ns0:c>
    </ns0:row>
    <ns0:row r="254">
      <ns0:c r="A254" s="4" t="inlineStr">
        <ns0:is>
          <ns0:t>SES-0253</ns0:t>
        </ns0:is>
      </ns0:c>
      <ns0:c r="B254" s="4" t="inlineStr">
        <ns0:is>
          <ns0:t>SYN-098</ns0:t>
        </ns0:is>
      </ns0:c>
      <ns0:c r="C254" s="10" t="n">
        <ns0:v>46145</ns0:v>
      </ns0:c>
      <ns0:c r="D254" s="4" t="inlineStr">
        <ns0:is>
          <ns0:t>Synthetic Script 098</ns0:t>
        </ns0:is>
      </ns0:c>
      <ns0:c r="E254" s="4" t="inlineStr">
        <ns0:is>
          <ns0:t>推理</ns0:t>
        </ns0:is>
      </ns0:c>
      <ns0:c r="F254" s="4" t="n">
        <ns0:v>1</ns0:v>
      </ns0:c>
      <ns0:c r="G254" s="4" t="n">
        <ns0:v>6</ns0:v>
      </ns0:c>
      <ns0:c r="H254" s="9" t="n">
        <ns0:v>75</ns0:v>
      </ns0:c>
      <ns0:c r="I254" s="9">
        <ns0:f>G254*H254</ns0:f>
        <ns0:v>450</ns0:v>
      </ns0:c>
      <ns0:c r="J254" s="9">
        <ns0:f>INDEX(Script_List!$H$2:$H$161,MATCH(B254,Script_List!$A$2:$A$161,0))</ns0:f>
        <ns0:v>118</ns0:v>
      </ns0:c>
      <ns0:c r="K254" s="4" t="inlineStr">
        <ns0:is>
          <ns0:t>盒装</ns0:t>
        </ns0:is>
      </ns0:c>
      <ns0:c r="L254" s="9">
        <ns0:f>I254-J254</ns0:f>
        <ns0:v>332</ns0:v>
      </ns0:c>
      <ns0:c r="M254" s="4" t="n">
        <ns0:v>7.7</ns0:v>
      </ns0:c>
      <ns0:c r="N254" s="10">
        <ns0:f>DATE(YEAR(C254),MONTH(C254),1)</ns0:f>
        <ns0:v>46143.0</ns0:v>
      </ns0:c>
      <ns0:c r="O254" s="4" t="str">
        <ns0:f>TEXT(N254,"yyyy-mm")</ns0:f>
        <ns0:v>2026-05</ns0:v>
      </ns0:c>
    </ns0:row>
    <ns0:row r="255">
      <ns0:c r="A255" s="4" t="inlineStr">
        <ns0:is>
          <ns0:t>SES-0254</ns0:t>
        </ns0:is>
      </ns0:c>
      <ns0:c r="B255" s="4" t="inlineStr">
        <ns0:is>
          <ns0:t>SYN-098</ns0:t>
        </ns0:is>
      </ns0:c>
      <ns0:c r="C255" s="10" t="n">
        <ns0:v>46146</ns0:v>
      </ns0:c>
      <ns0:c r="D255" s="4" t="inlineStr">
        <ns0:is>
          <ns0:t>Synthetic Script 098</ns0:t>
        </ns0:is>
      </ns0:c>
      <ns0:c r="E255" s="4" t="inlineStr">
        <ns0:is>
          <ns0:t>推理</ns0:t>
        </ns0:is>
      </ns0:c>
      <ns0:c r="F255" s="4" t="n">
        <ns0:v>1</ns0:v>
      </ns0:c>
      <ns0:c r="G255" s="4" t="n">
        <ns0:v>6</ns0:v>
      </ns0:c>
      <ns0:c r="H255" s="9" t="n">
        <ns0:v>75</ns0:v>
      </ns0:c>
      <ns0:c r="I255" s="9">
        <ns0:f>G255*H255</ns0:f>
        <ns0:v>450</ns0:v>
      </ns0:c>
      <ns0:c r="J255" s="9">
        <ns0:f>INDEX(Script_List!$H$2:$H$161,MATCH(B255,Script_List!$A$2:$A$161,0))</ns0:f>
        <ns0:v>118</ns0:v>
      </ns0:c>
      <ns0:c r="K255" s="4" t="inlineStr">
        <ns0:is>
          <ns0:t>盒装</ns0:t>
        </ns0:is>
      </ns0:c>
      <ns0:c r="L255" s="9">
        <ns0:f>I255-J255</ns0:f>
        <ns0:v>332</ns0:v>
      </ns0:c>
      <ns0:c r="M255" s="4" t="n">
        <ns0:v>7.7</ns0:v>
      </ns0:c>
      <ns0:c r="N255" s="10">
        <ns0:f>DATE(YEAR(C255),MONTH(C255),1)</ns0:f>
        <ns0:v>46143.0</ns0:v>
      </ns0:c>
      <ns0:c r="O255" s="4" t="str">
        <ns0:f>TEXT(N255,"yyyy-mm")</ns0:f>
        <ns0:v>2026-05</ns0:v>
      </ns0:c>
    </ns0:row>
    <ns0:row r="256">
      <ns0:c r="A256" s="4" t="inlineStr">
        <ns0:is>
          <ns0:t>SES-0255</ns0:t>
        </ns0:is>
      </ns0:c>
      <ns0:c r="B256" s="4" t="inlineStr">
        <ns0:is>
          <ns0:t>SYN-098</ns0:t>
        </ns0:is>
      </ns0:c>
      <ns0:c r="C256" s="10" t="n">
        <ns0:v>46147</ns0:v>
      </ns0:c>
      <ns0:c r="D256" s="4" t="inlineStr">
        <ns0:is>
          <ns0:t>Synthetic Script 098</ns0:t>
        </ns0:is>
      </ns0:c>
      <ns0:c r="E256" s="4" t="inlineStr">
        <ns0:is>
          <ns0:t>推理</ns0:t>
        </ns0:is>
      </ns0:c>
      <ns0:c r="F256" s="4" t="n">
        <ns0:v>1</ns0:v>
      </ns0:c>
      <ns0:c r="G256" s="4" t="n">
        <ns0:v>6</ns0:v>
      </ns0:c>
      <ns0:c r="H256" s="9" t="n">
        <ns0:v>75</ns0:v>
      </ns0:c>
      <ns0:c r="I256" s="9">
        <ns0:f>G256*H256</ns0:f>
        <ns0:v>450</ns0:v>
      </ns0:c>
      <ns0:c r="J256" s="9">
        <ns0:f>INDEX(Script_List!$H$2:$H$161,MATCH(B256,Script_List!$A$2:$A$161,0))</ns0:f>
        <ns0:v>118</ns0:v>
      </ns0:c>
      <ns0:c r="K256" s="4" t="inlineStr">
        <ns0:is>
          <ns0:t>盒装</ns0:t>
        </ns0:is>
      </ns0:c>
      <ns0:c r="L256" s="9">
        <ns0:f>I256-J256</ns0:f>
        <ns0:v>332</ns0:v>
      </ns0:c>
      <ns0:c r="M256" s="4" t="n">
        <ns0:v>7.7</ns0:v>
      </ns0:c>
      <ns0:c r="N256" s="10">
        <ns0:f>DATE(YEAR(C256),MONTH(C256),1)</ns0:f>
        <ns0:v>46143.0</ns0:v>
      </ns0:c>
      <ns0:c r="O256" s="4" t="str">
        <ns0:f>TEXT(N256,"yyyy-mm")</ns0:f>
        <ns0:v>2026-05</ns0:v>
      </ns0:c>
    </ns0:row>
    <ns0:row r="257">
      <ns0:c r="A257" s="4" t="inlineStr">
        <ns0:is>
          <ns0:t>SES-0256</ns0:t>
        </ns0:is>
      </ns0:c>
      <ns0:c r="B257" s="4" t="inlineStr">
        <ns0:is>
          <ns0:t>SYN-098</ns0:t>
        </ns0:is>
      </ns0:c>
      <ns0:c r="C257" s="10" t="n">
        <ns0:v>46148</ns0:v>
      </ns0:c>
      <ns0:c r="D257" s="4" t="inlineStr">
        <ns0:is>
          <ns0:t>Synthetic Script 098</ns0:t>
        </ns0:is>
      </ns0:c>
      <ns0:c r="E257" s="4" t="inlineStr">
        <ns0:is>
          <ns0:t>推理</ns0:t>
        </ns0:is>
      </ns0:c>
      <ns0:c r="F257" s="4" t="n">
        <ns0:v>1</ns0:v>
      </ns0:c>
      <ns0:c r="G257" s="4" t="n">
        <ns0:v>6</ns0:v>
      </ns0:c>
      <ns0:c r="H257" s="9" t="n">
        <ns0:v>75</ns0:v>
      </ns0:c>
      <ns0:c r="I257" s="9">
        <ns0:f>G257*H257</ns0:f>
        <ns0:v>450</ns0:v>
      </ns0:c>
      <ns0:c r="J257" s="9">
        <ns0:f>INDEX(Script_List!$H$2:$H$161,MATCH(B257,Script_List!$A$2:$A$161,0))</ns0:f>
        <ns0:v>118</ns0:v>
      </ns0:c>
      <ns0:c r="K257" s="4" t="inlineStr">
        <ns0:is>
          <ns0:t>盒装</ns0:t>
        </ns0:is>
      </ns0:c>
      <ns0:c r="L257" s="9">
        <ns0:f>I257-J257</ns0:f>
        <ns0:v>332</ns0:v>
      </ns0:c>
      <ns0:c r="M257" s="4" t="n">
        <ns0:v>7.7</ns0:v>
      </ns0:c>
      <ns0:c r="N257" s="10">
        <ns0:f>DATE(YEAR(C257),MONTH(C257),1)</ns0:f>
        <ns0:v>46143.0</ns0:v>
      </ns0:c>
      <ns0:c r="O257" s="4" t="str">
        <ns0:f>TEXT(N257,"yyyy-mm")</ns0:f>
        <ns0:v>2026-05</ns0:v>
      </ns0:c>
    </ns0:row>
    <ns0:row r="258">
      <ns0:c r="A258" s="4" t="inlineStr">
        <ns0:is>
          <ns0:t>SES-0257</ns0:t>
        </ns0:is>
      </ns0:c>
      <ns0:c r="B258" s="4" t="inlineStr">
        <ns0:is>
          <ns0:t>SYN-099</ns0:t>
        </ns0:is>
      </ns0:c>
      <ns0:c r="C258" s="10" t="n">
        <ns0:v>46149</ns0:v>
      </ns0:c>
      <ns0:c r="D258" s="4" t="inlineStr">
        <ns0:is>
          <ns0:t>Synthetic Script 099</ns0:t>
        </ns0:is>
      </ns0:c>
      <ns0:c r="E258" s="4" t="inlineStr">
        <ns0:is>
          <ns0:t>欢乐</ns0:t>
        </ns0:is>
      </ns0:c>
      <ns0:c r="F258" s="4" t="n">
        <ns0:v>3</ns0:v>
      </ns0:c>
      <ns0:c r="G258" s="4" t="n">
        <ns0:v>7</ns0:v>
      </ns0:c>
      <ns0:c r="H258" s="9" t="n">
        <ns0:v>118</ns0:v>
      </ns0:c>
      <ns0:c r="I258" s="9">
        <ns0:f>G258*H258</ns0:f>
        <ns0:v>826</ns0:v>
      </ns0:c>
      <ns0:c r="J258" s="9">
        <ns0:f>INDEX(Script_List!$H$2:$H$161,MATCH(B258,Script_List!$A$2:$A$161,0))</ns0:f>
        <ns0:v>217</ns0:v>
      </ns0:c>
      <ns0:c r="K258" s="4" t="inlineStr">
        <ns0:is>
          <ns0:t>独家</ns0:t>
        </ns0:is>
      </ns0:c>
      <ns0:c r="L258" s="9">
        <ns0:f>I258-J258</ns0:f>
        <ns0:v>609</ns0:v>
      </ns0:c>
      <ns0:c r="M258" s="4" t="n">
        <ns0:v>8.4</ns0:v>
      </ns0:c>
      <ns0:c r="N258" s="10">
        <ns0:f>DATE(YEAR(C258),MONTH(C258),1)</ns0:f>
        <ns0:v>46143.0</ns0:v>
      </ns0:c>
      <ns0:c r="O258" s="4" t="str">
        <ns0:f>TEXT(N258,"yyyy-mm")</ns0:f>
        <ns0:v>2026-05</ns0:v>
      </ns0:c>
    </ns0:row>
    <ns0:row r="259">
      <ns0:c r="A259" s="4" t="inlineStr">
        <ns0:is>
          <ns0:t>SES-0258</ns0:t>
        </ns0:is>
      </ns0:c>
      <ns0:c r="B259" s="4" t="inlineStr">
        <ns0:is>
          <ns0:t>SYN-100</ns0:t>
        </ns0:is>
      </ns0:c>
      <ns0:c r="C259" s="10" t="n">
        <ns0:v>46150</ns0:v>
      </ns0:c>
      <ns0:c r="D259" s="4" t="inlineStr">
        <ns0:is>
          <ns0:t>Synthetic Script 100</ns0:t>
        </ns0:is>
      </ns0:c>
      <ns0:c r="E259" s="4" t="inlineStr">
        <ns0:is>
          <ns0:t>情感</ns0:t>
        </ns0:is>
      </ns0:c>
      <ns0:c r="F259" s="4" t="n">
        <ns0:v>6</ns0:v>
      </ns0:c>
      <ns0:c r="G259" s="4" t="n">
        <ns0:v>8</ns0:v>
      </ns0:c>
      <ns0:c r="H259" s="9" t="n">
        <ns0:v>138</ns0:v>
      </ns0:c>
      <ns0:c r="I259" s="9">
        <ns0:f>G259*H259</ns0:f>
        <ns0:v>1104</ns0:v>
      </ns0:c>
      <ns0:c r="J259" s="9">
        <ns0:f>INDEX(Script_List!$H$2:$H$161,MATCH(B259,Script_List!$A$2:$A$161,0))</ns0:f>
        <ns0:v>540</ns0:v>
      </ns0:c>
      <ns0:c r="K259" s="4" t="inlineStr">
        <ns0:is>
          <ns0:t>盒装</ns0:t>
        </ns0:is>
      </ns0:c>
      <ns0:c r="L259" s="9">
        <ns0:f>I259-J259</ns0:f>
        <ns0:v>564</ns0:v>
      </ns0:c>
      <ns0:c r="M259" s="4" t="n">
        <ns0:v>7</ns0:v>
      </ns0:c>
      <ns0:c r="N259" s="10">
        <ns0:f>DATE(YEAR(C259),MONTH(C259),1)</ns0:f>
        <ns0:v>46143.0</ns0:v>
      </ns0:c>
      <ns0:c r="O259" s="4" t="str">
        <ns0:f>TEXT(N259,"yyyy-mm")</ns0:f>
        <ns0:v>2026-05</ns0:v>
      </ns0:c>
    </ns0:row>
    <ns0:row r="260">
      <ns0:c r="A260" s="4" t="inlineStr">
        <ns0:is>
          <ns0:t>SES-0259</ns0:t>
        </ns0:is>
      </ns0:c>
      <ns0:c r="B260" s="4" t="inlineStr">
        <ns0:is>
          <ns0:t>SYN-100</ns0:t>
        </ns0:is>
      </ns0:c>
      <ns0:c r="C260" s="10" t="n">
        <ns0:v>46151</ns0:v>
      </ns0:c>
      <ns0:c r="D260" s="4" t="inlineStr">
        <ns0:is>
          <ns0:t>Synthetic Script 100</ns0:t>
        </ns0:is>
      </ns0:c>
      <ns0:c r="E260" s="4" t="inlineStr">
        <ns0:is>
          <ns0:t>情感</ns0:t>
        </ns0:is>
      </ns0:c>
      <ns0:c r="F260" s="4" t="n">
        <ns0:v>6</ns0:v>
      </ns0:c>
      <ns0:c r="G260" s="4" t="n">
        <ns0:v>8</ns0:v>
      </ns0:c>
      <ns0:c r="H260" s="9" t="n">
        <ns0:v>138</ns0:v>
      </ns0:c>
      <ns0:c r="I260" s="9">
        <ns0:f>G260*H260</ns0:f>
        <ns0:v>1104</ns0:v>
      </ns0:c>
      <ns0:c r="J260" s="9">
        <ns0:f>INDEX(Script_List!$H$2:$H$161,MATCH(B260,Script_List!$A$2:$A$161,0))</ns0:f>
        <ns0:v>540</ns0:v>
      </ns0:c>
      <ns0:c r="K260" s="4" t="inlineStr">
        <ns0:is>
          <ns0:t>盒装</ns0:t>
        </ns0:is>
      </ns0:c>
      <ns0:c r="L260" s="9">
        <ns0:f>I260-J260</ns0:f>
        <ns0:v>564</ns0:v>
      </ns0:c>
      <ns0:c r="M260" s="4" t="n">
        <ns0:v>7</ns0:v>
      </ns0:c>
      <ns0:c r="N260" s="10">
        <ns0:f>DATE(YEAR(C260),MONTH(C260),1)</ns0:f>
        <ns0:v>46143.0</ns0:v>
      </ns0:c>
      <ns0:c r="O260" s="4" t="str">
        <ns0:f>TEXT(N260,"yyyy-mm")</ns0:f>
        <ns0:v>2026-05</ns0:v>
      </ns0:c>
    </ns0:row>
    <ns0:row r="261">
      <ns0:c r="A261" s="4" t="inlineStr">
        <ns0:is>
          <ns0:t>SES-0260</ns0:t>
        </ns0:is>
      </ns0:c>
      <ns0:c r="B261" s="4" t="inlineStr">
        <ns0:is>
          <ns0:t>SYN-100</ns0:t>
        </ns0:is>
      </ns0:c>
      <ns0:c r="C261" s="10" t="n">
        <ns0:v>46152</ns0:v>
      </ns0:c>
      <ns0:c r="D261" s="4" t="inlineStr">
        <ns0:is>
          <ns0:t>Synthetic Script 100</ns0:t>
        </ns0:is>
      </ns0:c>
      <ns0:c r="E261" s="4" t="inlineStr">
        <ns0:is>
          <ns0:t>情感</ns0:t>
        </ns0:is>
      </ns0:c>
      <ns0:c r="F261" s="4" t="n">
        <ns0:v>6</ns0:v>
      </ns0:c>
      <ns0:c r="G261" s="4" t="n">
        <ns0:v>8</ns0:v>
      </ns0:c>
      <ns0:c r="H261" s="9" t="n">
        <ns0:v>138</ns0:v>
      </ns0:c>
      <ns0:c r="I261" s="9">
        <ns0:f>G261*H261</ns0:f>
        <ns0:v>1104</ns0:v>
      </ns0:c>
      <ns0:c r="J261" s="9">
        <ns0:f>INDEX(Script_List!$H$2:$H$161,MATCH(B261,Script_List!$A$2:$A$161,0))</ns0:f>
        <ns0:v>540</ns0:v>
      </ns0:c>
      <ns0:c r="K261" s="4" t="inlineStr">
        <ns0:is>
          <ns0:t>盒装</ns0:t>
        </ns0:is>
      </ns0:c>
      <ns0:c r="L261" s="9">
        <ns0:f>I261-J261</ns0:f>
        <ns0:v>564</ns0:v>
      </ns0:c>
      <ns0:c r="M261" s="4" t="n">
        <ns0:v>7</ns0:v>
      </ns0:c>
      <ns0:c r="N261" s="10">
        <ns0:f>DATE(YEAR(C261),MONTH(C261),1)</ns0:f>
        <ns0:v>46143.0</ns0:v>
      </ns0:c>
      <ns0:c r="O261" s="4" t="str">
        <ns0:f>TEXT(N261,"yyyy-mm")</ns0:f>
        <ns0:v>2026-05</ns0:v>
      </ns0:c>
    </ns0:row>
    <ns0:row r="262">
      <ns0:c r="A262" s="4" t="inlineStr">
        <ns0:is>
          <ns0:t>SES-0261</ns0:t>
        </ns0:is>
      </ns0:c>
      <ns0:c r="B262" s="4" t="inlineStr">
        <ns0:is>
          <ns0:t>SYN-102</ns0:t>
        </ns0:is>
      </ns0:c>
      <ns0:c r="C262" s="10" t="n">
        <ns0:v>46153</ns0:v>
      </ns0:c>
      <ns0:c r="D262" s="4" t="inlineStr">
        <ns0:is>
          <ns0:t>Synthetic Script 102</ns0:t>
        </ns0:is>
      </ns0:c>
      <ns0:c r="E262" s="4" t="inlineStr">
        <ns0:is>
          <ns0:t>推理</ns0:t>
        </ns0:is>
      </ns0:c>
      <ns0:c r="F262" s="4" t="n">
        <ns0:v>1</ns0:v>
      </ns0:c>
      <ns0:c r="G262" s="4" t="n">
        <ns0:v>6</ns0:v>
      </ns0:c>
      <ns0:c r="H262" s="9" t="n">
        <ns0:v>75</ns0:v>
      </ns0:c>
      <ns0:c r="I262" s="9">
        <ns0:f>G262*H262</ns0:f>
        <ns0:v>450</ns0:v>
      </ns0:c>
      <ns0:c r="J262" s="9">
        <ns0:f>INDEX(Script_List!$H$2:$H$161,MATCH(B262,Script_List!$A$2:$A$161,0))</ns0:f>
        <ns0:v>118</ns0:v>
      </ns0:c>
      <ns0:c r="K262" s="4" t="inlineStr">
        <ns0:is>
          <ns0:t>城限</ns0:t>
        </ns0:is>
      </ns0:c>
      <ns0:c r="L262" s="9">
        <ns0:f>I262-J262</ns0:f>
        <ns0:v>332</ns0:v>
      </ns0:c>
      <ns0:c r="M262" s="4" t="n">
        <ns0:v>8.4</ns0:v>
      </ns0:c>
      <ns0:c r="N262" s="10">
        <ns0:f>DATE(YEAR(C262),MONTH(C262),1)</ns0:f>
        <ns0:v>46143.0</ns0:v>
      </ns0:c>
      <ns0:c r="O262" s="4" t="str">
        <ns0:f>TEXT(N262,"yyyy-mm")</ns0:f>
        <ns0:v>2026-05</ns0:v>
      </ns0:c>
    </ns0:row>
    <ns0:row r="263">
      <ns0:c r="A263" s="4" t="inlineStr">
        <ns0:is>
          <ns0:t>SES-0262</ns0:t>
        </ns0:is>
      </ns0:c>
      <ns0:c r="B263" s="4" t="inlineStr">
        <ns0:is>
          <ns0:t>SYN-103</ns0:t>
        </ns0:is>
      </ns0:c>
      <ns0:c r="C263" s="10" t="n">
        <ns0:v>46154</ns0:v>
      </ns0:c>
      <ns0:c r="D263" s="4" t="inlineStr">
        <ns0:is>
          <ns0:t>Synthetic Script 103</ns0:t>
        </ns0:is>
      </ns0:c>
      <ns0:c r="E263" s="4" t="inlineStr">
        <ns0:is>
          <ns0:t>情感</ns0:t>
        </ns0:is>
      </ns0:c>
      <ns0:c r="F263" s="4" t="n">
        <ns0:v>3</ns0:v>
      </ns0:c>
      <ns0:c r="G263" s="4" t="n">
        <ns0:v>6</ns0:v>
      </ns0:c>
      <ns0:c r="H263" s="9" t="n">
        <ns0:v>118</ns0:v>
      </ns0:c>
      <ns0:c r="I263" s="9">
        <ns0:f>G263*H263</ns0:f>
        <ns0:v>708</ns0:v>
      </ns0:c>
      <ns0:c r="J263" s="9">
        <ns0:f>INDEX(Script_List!$H$2:$H$161,MATCH(B263,Script_List!$A$2:$A$161,0))</ns0:f>
        <ns0:v>270</ns0:v>
      </ns0:c>
      <ns0:c r="K263" s="4" t="inlineStr">
        <ns0:is>
          <ns0:t>盒装</ns0:t>
        </ns0:is>
      </ns0:c>
      <ns0:c r="L263" s="9">
        <ns0:f>I263-J263</ns0:f>
        <ns0:v>438</ns0:v>
      </ns0:c>
      <ns0:c r="M263" s="4" t="n">
        <ns0:v>7</ns0:v>
      </ns0:c>
      <ns0:c r="N263" s="10">
        <ns0:f>DATE(YEAR(C263),MONTH(C263),1)</ns0:f>
        <ns0:v>46143.0</ns0:v>
      </ns0:c>
      <ns0:c r="O263" s="4" t="str">
        <ns0:f>TEXT(N263,"yyyy-mm")</ns0:f>
        <ns0:v>2026-05</ns0:v>
      </ns0:c>
    </ns0:row>
    <ns0:row r="264">
      <ns0:c r="A264" s="4" t="inlineStr">
        <ns0:is>
          <ns0:t>SES-0263</ns0:t>
        </ns0:is>
      </ns0:c>
      <ns0:c r="B264" s="4" t="inlineStr">
        <ns0:is>
          <ns0:t>SYN-103</ns0:t>
        </ns0:is>
      </ns0:c>
      <ns0:c r="C264" s="10" t="n">
        <ns0:v>46155</ns0:v>
      </ns0:c>
      <ns0:c r="D264" s="4" t="inlineStr">
        <ns0:is>
          <ns0:t>Synthetic Script 103</ns0:t>
        </ns0:is>
      </ns0:c>
      <ns0:c r="E264" s="4" t="inlineStr">
        <ns0:is>
          <ns0:t>情感</ns0:t>
        </ns0:is>
      </ns0:c>
      <ns0:c r="F264" s="4" t="n">
        <ns0:v>3</ns0:v>
      </ns0:c>
      <ns0:c r="G264" s="4" t="n">
        <ns0:v>6</ns0:v>
      </ns0:c>
      <ns0:c r="H264" s="9" t="n">
        <ns0:v>118</ns0:v>
      </ns0:c>
      <ns0:c r="I264" s="9">
        <ns0:f>G264*H264</ns0:f>
        <ns0:v>708</ns0:v>
      </ns0:c>
      <ns0:c r="J264" s="9">
        <ns0:f>INDEX(Script_List!$H$2:$H$161,MATCH(B264,Script_List!$A$2:$A$161,0))</ns0:f>
        <ns0:v>270</ns0:v>
      </ns0:c>
      <ns0:c r="K264" s="4" t="inlineStr">
        <ns0:is>
          <ns0:t>盒装</ns0:t>
        </ns0:is>
      </ns0:c>
      <ns0:c r="L264" s="9">
        <ns0:f>I264-J264</ns0:f>
        <ns0:v>438</ns0:v>
      </ns0:c>
      <ns0:c r="M264" s="4" t="n">
        <ns0:v>7</ns0:v>
      </ns0:c>
      <ns0:c r="N264" s="10">
        <ns0:f>DATE(YEAR(C264),MONTH(C264),1)</ns0:f>
        <ns0:v>46143.0</ns0:v>
      </ns0:c>
      <ns0:c r="O264" s="4" t="str">
        <ns0:f>TEXT(N264,"yyyy-mm")</ns0:f>
        <ns0:v>2026-05</ns0:v>
      </ns0:c>
    </ns0:row>
    <ns0:row r="265">
      <ns0:c r="A265" s="4" t="inlineStr">
        <ns0:is>
          <ns0:t>SES-0264</ns0:t>
        </ns0:is>
      </ns0:c>
      <ns0:c r="B265" s="4" t="inlineStr">
        <ns0:is>
          <ns0:t>SYN-103</ns0:t>
        </ns0:is>
      </ns0:c>
      <ns0:c r="C265" s="10" t="n">
        <ns0:v>46156</ns0:v>
      </ns0:c>
      <ns0:c r="D265" s="4" t="inlineStr">
        <ns0:is>
          <ns0:t>Synthetic Script 103</ns0:t>
        </ns0:is>
      </ns0:c>
      <ns0:c r="E265" s="4" t="inlineStr">
        <ns0:is>
          <ns0:t>情感</ns0:t>
        </ns0:is>
      </ns0:c>
      <ns0:c r="F265" s="4" t="n">
        <ns0:v>3</ns0:v>
      </ns0:c>
      <ns0:c r="G265" s="4" t="n">
        <ns0:v>6</ns0:v>
      </ns0:c>
      <ns0:c r="H265" s="9" t="n">
        <ns0:v>118</ns0:v>
      </ns0:c>
      <ns0:c r="I265" s="9">
        <ns0:f>G265*H265</ns0:f>
        <ns0:v>708</ns0:v>
      </ns0:c>
      <ns0:c r="J265" s="9">
        <ns0:f>INDEX(Script_List!$H$2:$H$161,MATCH(B265,Script_List!$A$2:$A$161,0))</ns0:f>
        <ns0:v>270</ns0:v>
      </ns0:c>
      <ns0:c r="K265" s="4" t="inlineStr">
        <ns0:is>
          <ns0:t>盒装</ns0:t>
        </ns0:is>
      </ns0:c>
      <ns0:c r="L265" s="9">
        <ns0:f>I265-J265</ns0:f>
        <ns0:v>438</ns0:v>
      </ns0:c>
      <ns0:c r="M265" s="4" t="n">
        <ns0:v>7</ns0:v>
      </ns0:c>
      <ns0:c r="N265" s="10">
        <ns0:f>DATE(YEAR(C265),MONTH(C265),1)</ns0:f>
        <ns0:v>46143.0</ns0:v>
      </ns0:c>
      <ns0:c r="O265" s="4" t="str">
        <ns0:f>TEXT(N265,"yyyy-mm")</ns0:f>
        <ns0:v>2026-05</ns0:v>
      </ns0:c>
    </ns0:row>
    <ns0:row r="266">
      <ns0:c r="A266" s="4" t="inlineStr">
        <ns0:is>
          <ns0:t>SES-0265</ns0:t>
        </ns0:is>
      </ns0:c>
      <ns0:c r="B266" s="4" t="inlineStr">
        <ns0:is>
          <ns0:t>SYN-105</ns0:t>
        </ns0:is>
      </ns0:c>
      <ns0:c r="C266" s="10" t="n">
        <ns0:v>46157</ns0:v>
      </ns0:c>
      <ns0:c r="D266" s="4" t="inlineStr">
        <ns0:is>
          <ns0:t>Synthetic Script 105</ns0:t>
        </ns0:is>
      </ns0:c>
      <ns0:c r="E266" s="4" t="inlineStr">
        <ns0:is>
          <ns0:t>推理</ns0:t>
        </ns0:is>
      </ns0:c>
      <ns0:c r="F266" s="4" t="n">
        <ns0:v>2</ns0:v>
      </ns0:c>
      <ns0:c r="G266" s="4" t="n">
        <ns0:v>8</ns0:v>
      </ns0:c>
      <ns0:c r="H266" s="9" t="n">
        <ns0:v>65</ns0:v>
      </ns0:c>
      <ns0:c r="I266" s="9">
        <ns0:f>G266*H266</ns0:f>
        <ns0:v>520</ns0:v>
      </ns0:c>
      <ns0:c r="J266" s="9">
        <ns0:f>INDEX(Script_List!$H$2:$H$161,MATCH(B266,Script_List!$A$2:$A$161,0))</ns0:f>
        <ns0:v>137</ns0:v>
      </ns0:c>
      <ns0:c r="K266" s="4" t="inlineStr">
        <ns0:is>
          <ns0:t>城限</ns0:t>
        </ns0:is>
      </ns0:c>
      <ns0:c r="L266" s="9">
        <ns0:f>I266-J266</ns0:f>
        <ns0:v>383</ns0:v>
      </ns0:c>
      <ns0:c r="M266" s="4" t="n">
        <ns0:v>8.4</ns0:v>
      </ns0:c>
      <ns0:c r="N266" s="10">
        <ns0:f>DATE(YEAR(C266),MONTH(C266),1)</ns0:f>
        <ns0:v>46143.0</ns0:v>
      </ns0:c>
      <ns0:c r="O266" s="4" t="str">
        <ns0:f>TEXT(N266,"yyyy-mm")</ns0:f>
        <ns0:v>2026-05</ns0:v>
      </ns0:c>
    </ns0:row>
    <ns0:row r="267">
      <ns0:c r="A267" s="4" t="inlineStr">
        <ns0:is>
          <ns0:t>SES-0266</ns0:t>
        </ns0:is>
      </ns0:c>
      <ns0:c r="B267" s="4" t="inlineStr">
        <ns0:is>
          <ns0:t>SYN-105</ns0:t>
        </ns0:is>
      </ns0:c>
      <ns0:c r="C267" s="10" t="n">
        <ns0:v>46158</ns0:v>
      </ns0:c>
      <ns0:c r="D267" s="4" t="inlineStr">
        <ns0:is>
          <ns0:t>Synthetic Script 105</ns0:t>
        </ns0:is>
      </ns0:c>
      <ns0:c r="E267" s="4" t="inlineStr">
        <ns0:is>
          <ns0:t>推理</ns0:t>
        </ns0:is>
      </ns0:c>
      <ns0:c r="F267" s="4" t="n">
        <ns0:v>2</ns0:v>
      </ns0:c>
      <ns0:c r="G267" s="4" t="n">
        <ns0:v>8</ns0:v>
      </ns0:c>
      <ns0:c r="H267" s="9" t="n">
        <ns0:v>65</ns0:v>
      </ns0:c>
      <ns0:c r="I267" s="9">
        <ns0:f>G267*H267</ns0:f>
        <ns0:v>520</ns0:v>
      </ns0:c>
      <ns0:c r="J267" s="9">
        <ns0:f>INDEX(Script_List!$H$2:$H$161,MATCH(B267,Script_List!$A$2:$A$161,0))</ns0:f>
        <ns0:v>137</ns0:v>
      </ns0:c>
      <ns0:c r="K267" s="4" t="inlineStr">
        <ns0:is>
          <ns0:t>城限</ns0:t>
        </ns0:is>
      </ns0:c>
      <ns0:c r="L267" s="9">
        <ns0:f>I267-J267</ns0:f>
        <ns0:v>383</ns0:v>
      </ns0:c>
      <ns0:c r="M267" s="4" t="n">
        <ns0:v>8.4</ns0:v>
      </ns0:c>
      <ns0:c r="N267" s="10">
        <ns0:f>DATE(YEAR(C267),MONTH(C267),1)</ns0:f>
        <ns0:v>46143.0</ns0:v>
      </ns0:c>
      <ns0:c r="O267" s="4" t="str">
        <ns0:f>TEXT(N267,"yyyy-mm")</ns0:f>
        <ns0:v>2026-05</ns0:v>
      </ns0:c>
    </ns0:row>
    <ns0:row r="268">
      <ns0:c r="A268" s="4" t="inlineStr">
        <ns0:is>
          <ns0:t>SES-0267</ns0:t>
        </ns0:is>
      </ns0:c>
      <ns0:c r="B268" s="4" t="inlineStr">
        <ns0:is>
          <ns0:t>SYN-106</ns0:t>
        </ns0:is>
      </ns0:c>
      <ns0:c r="C268" s="10" t="n">
        <ns0:v>46159</ns0:v>
      </ns0:c>
      <ns0:c r="D268" s="4" t="inlineStr">
        <ns0:is>
          <ns0:t>Synthetic Script 106</ns0:t>
        </ns0:is>
      </ns0:c>
      <ns0:c r="E268" s="4" t="inlineStr">
        <ns0:is>
          <ns0:t>情感</ns0:t>
        </ns0:is>
      </ns0:c>
      <ns0:c r="F268" s="4" t="n">
        <ns0:v>2</ns0:v>
      </ns0:c>
      <ns0:c r="G268" s="4" t="n">
        <ns0:v>6</ns0:v>
      </ns0:c>
      <ns0:c r="H268" s="9" t="n">
        <ns0:v>109</ns0:v>
      </ns0:c>
      <ns0:c r="I268" s="9">
        <ns0:f>G268*H268</ns0:f>
        <ns0:v>654</ns0:v>
      </ns0:c>
      <ns0:c r="J268" s="9">
        <ns0:f>INDEX(Script_List!$H$2:$H$161,MATCH(B268,Script_List!$A$2:$A$161,0))</ns0:f>
        <ns0:v>180</ns0:v>
      </ns0:c>
      <ns0:c r="K268" s="4" t="inlineStr">
        <ns0:is>
          <ns0:t>盒装</ns0:t>
        </ns0:is>
      </ns0:c>
      <ns0:c r="L268" s="9">
        <ns0:f>I268-J268</ns0:f>
        <ns0:v>474</ns0:v>
      </ns0:c>
      <ns0:c r="M268" s="4" t="n">
        <ns0:v>7</ns0:v>
      </ns0:c>
      <ns0:c r="N268" s="10">
        <ns0:f>DATE(YEAR(C268),MONTH(C268),1)</ns0:f>
        <ns0:v>46143.0</ns0:v>
      </ns0:c>
      <ns0:c r="O268" s="4" t="str">
        <ns0:f>TEXT(N268,"yyyy-mm")</ns0:f>
        <ns0:v>2026-05</ns0:v>
      </ns0:c>
    </ns0:row>
    <ns0:row r="269">
      <ns0:c r="A269" s="4" t="inlineStr">
        <ns0:is>
          <ns0:t>SES-0268</ns0:t>
        </ns0:is>
      </ns0:c>
      <ns0:c r="B269" s="4" t="inlineStr">
        <ns0:is>
          <ns0:t>SYN-106</ns0:t>
        </ns0:is>
      </ns0:c>
      <ns0:c r="C269" s="10" t="n">
        <ns0:v>46160</ns0:v>
      </ns0:c>
      <ns0:c r="D269" s="4" t="inlineStr">
        <ns0:is>
          <ns0:t>Synthetic Script 106</ns0:t>
        </ns0:is>
      </ns0:c>
      <ns0:c r="E269" s="4" t="inlineStr">
        <ns0:is>
          <ns0:t>情感</ns0:t>
        </ns0:is>
      </ns0:c>
      <ns0:c r="F269" s="4" t="n">
        <ns0:v>2</ns0:v>
      </ns0:c>
      <ns0:c r="G269" s="4" t="n">
        <ns0:v>6</ns0:v>
      </ns0:c>
      <ns0:c r="H269" s="9" t="n">
        <ns0:v>109</ns0:v>
      </ns0:c>
      <ns0:c r="I269" s="9">
        <ns0:f>G269*H269</ns0:f>
        <ns0:v>654</ns0:v>
      </ns0:c>
      <ns0:c r="J269" s="9">
        <ns0:f>INDEX(Script_List!$H$2:$H$161,MATCH(B269,Script_List!$A$2:$A$161,0))</ns0:f>
        <ns0:v>180</ns0:v>
      </ns0:c>
      <ns0:c r="K269" s="4" t="inlineStr">
        <ns0:is>
          <ns0:t>盒装</ns0:t>
        </ns0:is>
      </ns0:c>
      <ns0:c r="L269" s="9">
        <ns0:f>I269-J269</ns0:f>
        <ns0:v>474</ns0:v>
      </ns0:c>
      <ns0:c r="M269" s="4" t="n">
        <ns0:v>7</ns0:v>
      </ns0:c>
      <ns0:c r="N269" s="10">
        <ns0:f>DATE(YEAR(C269),MONTH(C269),1)</ns0:f>
        <ns0:v>46143.0</ns0:v>
      </ns0:c>
      <ns0:c r="O269" s="4" t="str">
        <ns0:f>TEXT(N269,"yyyy-mm")</ns0:f>
        <ns0:v>2026-05</ns0:v>
      </ns0:c>
    </ns0:row>
    <ns0:row r="270">
      <ns0:c r="A270" s="4" t="inlineStr">
        <ns0:is>
          <ns0:t>SES-0269</ns0:t>
        </ns0:is>
      </ns0:c>
      <ns0:c r="B270" s="4" t="inlineStr">
        <ns0:is>
          <ns0:t>SYN-106</ns0:t>
        </ns0:is>
      </ns0:c>
      <ns0:c r="C270" s="10" t="n">
        <ns0:v>46161</ns0:v>
      </ns0:c>
      <ns0:c r="D270" s="4" t="inlineStr">
        <ns0:is>
          <ns0:t>Synthetic Script 106</ns0:t>
        </ns0:is>
      </ns0:c>
      <ns0:c r="E270" s="4" t="inlineStr">
        <ns0:is>
          <ns0:t>情感</ns0:t>
        </ns0:is>
      </ns0:c>
      <ns0:c r="F270" s="4" t="n">
        <ns0:v>2</ns0:v>
      </ns0:c>
      <ns0:c r="G270" s="4" t="n">
        <ns0:v>6</ns0:v>
      </ns0:c>
      <ns0:c r="H270" s="9" t="n">
        <ns0:v>109</ns0:v>
      </ns0:c>
      <ns0:c r="I270" s="9">
        <ns0:f>G270*H270</ns0:f>
        <ns0:v>654</ns0:v>
      </ns0:c>
      <ns0:c r="J270" s="9">
        <ns0:f>INDEX(Script_List!$H$2:$H$161,MATCH(B270,Script_List!$A$2:$A$161,0))</ns0:f>
        <ns0:v>180</ns0:v>
      </ns0:c>
      <ns0:c r="K270" s="4" t="inlineStr">
        <ns0:is>
          <ns0:t>盒装</ns0:t>
        </ns0:is>
      </ns0:c>
      <ns0:c r="L270" s="9">
        <ns0:f>I270-J270</ns0:f>
        <ns0:v>474</ns0:v>
      </ns0:c>
      <ns0:c r="M270" s="4" t="n">
        <ns0:v>7</ns0:v>
      </ns0:c>
      <ns0:c r="N270" s="10">
        <ns0:f>DATE(YEAR(C270),MONTH(C270),1)</ns0:f>
        <ns0:v>46143.0</ns0:v>
      </ns0:c>
      <ns0:c r="O270" s="4" t="str">
        <ns0:f>TEXT(N270,"yyyy-mm")</ns0:f>
        <ns0:v>2026-05</ns0:v>
      </ns0:c>
    </ns0:row>
    <ns0:row r="271">
      <ns0:c r="A271" s="4" t="inlineStr">
        <ns0:is>
          <ns0:t>SES-0270</ns0:t>
        </ns0:is>
      </ns0:c>
      <ns0:c r="B271" s="4" t="inlineStr">
        <ns0:is>
          <ns0:t>SYN-106</ns0:t>
        </ns0:is>
      </ns0:c>
      <ns0:c r="C271" s="10" t="n">
        <ns0:v>46162</ns0:v>
      </ns0:c>
      <ns0:c r="D271" s="4" t="inlineStr">
        <ns0:is>
          <ns0:t>Synthetic Script 106</ns0:t>
        </ns0:is>
      </ns0:c>
      <ns0:c r="E271" s="4" t="inlineStr">
        <ns0:is>
          <ns0:t>情感</ns0:t>
        </ns0:is>
      </ns0:c>
      <ns0:c r="F271" s="4" t="n">
        <ns0:v>2</ns0:v>
      </ns0:c>
      <ns0:c r="G271" s="4" t="n">
        <ns0:v>6</ns0:v>
      </ns0:c>
      <ns0:c r="H271" s="9" t="n">
        <ns0:v>109</ns0:v>
      </ns0:c>
      <ns0:c r="I271" s="9">
        <ns0:f>G271*H271</ns0:f>
        <ns0:v>654</ns0:v>
      </ns0:c>
      <ns0:c r="J271" s="9">
        <ns0:f>INDEX(Script_List!$H$2:$H$161,MATCH(B271,Script_List!$A$2:$A$161,0))</ns0:f>
        <ns0:v>180</ns0:v>
      </ns0:c>
      <ns0:c r="K271" s="4" t="inlineStr">
        <ns0:is>
          <ns0:t>盒装</ns0:t>
        </ns0:is>
      </ns0:c>
      <ns0:c r="L271" s="9">
        <ns0:f>I271-J271</ns0:f>
        <ns0:v>474</ns0:v>
      </ns0:c>
      <ns0:c r="M271" s="4" t="n">
        <ns0:v>7</ns0:v>
      </ns0:c>
      <ns0:c r="N271" s="10">
        <ns0:f>DATE(YEAR(C271),MONTH(C271),1)</ns0:f>
        <ns0:v>46143.0</ns0:v>
      </ns0:c>
      <ns0:c r="O271" s="4" t="str">
        <ns0:f>TEXT(N271,"yyyy-mm")</ns0:f>
        <ns0:v>2026-05</ns0:v>
      </ns0:c>
    </ns0:row>
    <ns0:row r="272">
      <ns0:c r="A272" s="4" t="inlineStr">
        <ns0:is>
          <ns0:t>SES-0271</ns0:t>
        </ns0:is>
      </ns0:c>
      <ns0:c r="B272" s="4" t="inlineStr">
        <ns0:is>
          <ns0:t>SYN-108</ns0:t>
        </ns0:is>
      </ns0:c>
      <ns0:c r="C272" s="10" t="n">
        <ns0:v>46163</ns0:v>
      </ns0:c>
      <ns0:c r="D272" s="4" t="inlineStr">
        <ns0:is>
          <ns0:t>Synthetic Script 108</ns0:t>
        </ns0:is>
      </ns0:c>
      <ns0:c r="E272" s="4" t="inlineStr">
        <ns0:is>
          <ns0:t>推理</ns0:t>
        </ns0:is>
      </ns0:c>
      <ns0:c r="F272" s="4" t="n">
        <ns0:v>1</ns0:v>
      </ns0:c>
      <ns0:c r="G272" s="4" t="n">
        <ns0:v>6</ns0:v>
      </ns0:c>
      <ns0:c r="H272" s="9" t="n">
        <ns0:v>119</ns0:v>
      </ns0:c>
      <ns0:c r="I272" s="9">
        <ns0:f>G272*H272</ns0:f>
        <ns0:v>714</ns0:v>
      </ns0:c>
      <ns0:c r="J272" s="9">
        <ns0:f>INDEX(Script_List!$H$2:$H$161,MATCH(B272,Script_List!$A$2:$A$161,0))</ns0:f>
        <ns0:v>187</ns0:v>
      </ns0:c>
      <ns0:c r="K272" s="4" t="inlineStr">
        <ns0:is>
          <ns0:t>盒装</ns0:t>
        </ns0:is>
      </ns0:c>
      <ns0:c r="L272" s="9">
        <ns0:f>I272-J272</ns0:f>
        <ns0:v>527</ns0:v>
      </ns0:c>
      <ns0:c r="M272" s="4" t="n">
        <ns0:v>8.4</ns0:v>
      </ns0:c>
      <ns0:c r="N272" s="10">
        <ns0:f>DATE(YEAR(C272),MONTH(C272),1)</ns0:f>
        <ns0:v>46143.0</ns0:v>
      </ns0:c>
      <ns0:c r="O272" s="4" t="str">
        <ns0:f>TEXT(N272,"yyyy-mm")</ns0:f>
        <ns0:v>2026-05</ns0:v>
      </ns0:c>
    </ns0:row>
    <ns0:row r="273">
      <ns0:c r="A273" s="4" t="inlineStr">
        <ns0:is>
          <ns0:t>SES-0272</ns0:t>
        </ns0:is>
      </ns0:c>
      <ns0:c r="B273" s="4" t="inlineStr">
        <ns0:is>
          <ns0:t>SYN-108</ns0:t>
        </ns0:is>
      </ns0:c>
      <ns0:c r="C273" s="10" t="n">
        <ns0:v>46164</ns0:v>
      </ns0:c>
      <ns0:c r="D273" s="4" t="inlineStr">
        <ns0:is>
          <ns0:t>Synthetic Script 108</ns0:t>
        </ns0:is>
      </ns0:c>
      <ns0:c r="E273" s="4" t="inlineStr">
        <ns0:is>
          <ns0:t>推理</ns0:t>
        </ns0:is>
      </ns0:c>
      <ns0:c r="F273" s="4" t="n">
        <ns0:v>1</ns0:v>
      </ns0:c>
      <ns0:c r="G273" s="4" t="n">
        <ns0:v>6</ns0:v>
      </ns0:c>
      <ns0:c r="H273" s="9" t="n">
        <ns0:v>119</ns0:v>
      </ns0:c>
      <ns0:c r="I273" s="9">
        <ns0:f>G273*H273</ns0:f>
        <ns0:v>714</ns0:v>
      </ns0:c>
      <ns0:c r="J273" s="9">
        <ns0:f>INDEX(Script_List!$H$2:$H$161,MATCH(B273,Script_List!$A$2:$A$161,0))</ns0:f>
        <ns0:v>187</ns0:v>
      </ns0:c>
      <ns0:c r="K273" s="4" t="inlineStr">
        <ns0:is>
          <ns0:t>盒装</ns0:t>
        </ns0:is>
      </ns0:c>
      <ns0:c r="L273" s="9">
        <ns0:f>I273-J273</ns0:f>
        <ns0:v>527</ns0:v>
      </ns0:c>
      <ns0:c r="M273" s="4" t="n">
        <ns0:v>8.4</ns0:v>
      </ns0:c>
      <ns0:c r="N273" s="10">
        <ns0:f>DATE(YEAR(C273),MONTH(C273),1)</ns0:f>
        <ns0:v>46143.0</ns0:v>
      </ns0:c>
      <ns0:c r="O273" s="4" t="str">
        <ns0:f>TEXT(N273,"yyyy-mm")</ns0:f>
        <ns0:v>2026-05</ns0:v>
      </ns0:c>
    </ns0:row>
    <ns0:row r="274">
      <ns0:c r="A274" s="4" t="inlineStr">
        <ns0:is>
          <ns0:t>SES-0273</ns0:t>
        </ns0:is>
      </ns0:c>
      <ns0:c r="B274" s="4" t="inlineStr">
        <ns0:is>
          <ns0:t>SYN-109</ns0:t>
        </ns0:is>
      </ns0:c>
      <ns0:c r="C274" s="10" t="n">
        <ns0:v>46164</ns0:v>
      </ns0:c>
      <ns0:c r="D274" s="4" t="inlineStr">
        <ns0:is>
          <ns0:t>Synthetic Script 109</ns0:t>
        </ns0:is>
      </ns0:c>
      <ns0:c r="E274" s="4" t="inlineStr">
        <ns0:is>
          <ns0:t>欢乐</ns0:t>
        </ns0:is>
      </ns0:c>
      <ns0:c r="F274" s="4" t="n">
        <ns0:v>3</ns0:v>
      </ns0:c>
      <ns0:c r="G274" s="4" t="n">
        <ns0:v>7</ns0:v>
      </ns0:c>
      <ns0:c r="H274" s="9" t="n">
        <ns0:v>95</ns0:v>
      </ns0:c>
      <ns0:c r="I274" s="9">
        <ns0:f>G274*H274</ns0:f>
        <ns0:v>665</ns0:v>
      </ns0:c>
      <ns0:c r="J274" s="9">
        <ns0:f>INDEX(Script_List!$H$2:$H$161,MATCH(B274,Script_List!$A$2:$A$161,0))</ns0:f>
        <ns0:v>175</ns0:v>
      </ns0:c>
      <ns0:c r="K274" s="4" t="inlineStr">
        <ns0:is>
          <ns0:t>独家</ns0:t>
        </ns0:is>
      </ns0:c>
      <ns0:c r="L274" s="9">
        <ns0:f>I274-J274</ns0:f>
        <ns0:v>490</ns0:v>
      </ns0:c>
      <ns0:c r="M274" s="4" t="n">
        <ns0:v>7</ns0:v>
      </ns0:c>
      <ns0:c r="N274" s="10">
        <ns0:f>DATE(YEAR(C274),MONTH(C274),1)</ns0:f>
        <ns0:v>46143.0</ns0:v>
      </ns0:c>
      <ns0:c r="O274" s="4" t="str">
        <ns0:f>TEXT(N274,"yyyy-mm")</ns0:f>
        <ns0:v>2026-05</ns0:v>
      </ns0:c>
    </ns0:row>
    <ns0:row r="275">
      <ns0:c r="A275" s="4" t="inlineStr">
        <ns0:is>
          <ns0:t>SES-0274</ns0:t>
        </ns0:is>
      </ns0:c>
      <ns0:c r="B275" s="4" t="inlineStr">
        <ns0:is>
          <ns0:t>SYN-109</ns0:t>
        </ns0:is>
      </ns0:c>
      <ns0:c r="C275" s="10" t="n">
        <ns0:v>46165</ns0:v>
      </ns0:c>
      <ns0:c r="D275" s="4" t="inlineStr">
        <ns0:is>
          <ns0:t>Synthetic Script 109</ns0:t>
        </ns0:is>
      </ns0:c>
      <ns0:c r="E275" s="4" t="inlineStr">
        <ns0:is>
          <ns0:t>欢乐</ns0:t>
        </ns0:is>
      </ns0:c>
      <ns0:c r="F275" s="4" t="n">
        <ns0:v>3</ns0:v>
      </ns0:c>
      <ns0:c r="G275" s="4" t="n">
        <ns0:v>7</ns0:v>
      </ns0:c>
      <ns0:c r="H275" s="9" t="n">
        <ns0:v>95</ns0:v>
      </ns0:c>
      <ns0:c r="I275" s="9">
        <ns0:f>G275*H275</ns0:f>
        <ns0:v>665</ns0:v>
      </ns0:c>
      <ns0:c r="J275" s="9">
        <ns0:f>INDEX(Script_List!$H$2:$H$161,MATCH(B275,Script_List!$A$2:$A$161,0))</ns0:f>
        <ns0:v>175</ns0:v>
      </ns0:c>
      <ns0:c r="K275" s="4" t="inlineStr">
        <ns0:is>
          <ns0:t>独家</ns0:t>
        </ns0:is>
      </ns0:c>
      <ns0:c r="L275" s="9">
        <ns0:f>I275-J275</ns0:f>
        <ns0:v>490</ns0:v>
      </ns0:c>
      <ns0:c r="M275" s="4" t="n">
        <ns0:v>7</ns0:v>
      </ns0:c>
      <ns0:c r="N275" s="10">
        <ns0:f>DATE(YEAR(C275),MONTH(C275),1)</ns0:f>
        <ns0:v>46143.0</ns0:v>
      </ns0:c>
      <ns0:c r="O275" s="4" t="str">
        <ns0:f>TEXT(N275,"yyyy-mm")</ns0:f>
        <ns0:v>2026-05</ns0:v>
      </ns0:c>
    </ns0:row>
    <ns0:row r="276">
      <ns0:c r="A276" s="4" t="inlineStr">
        <ns0:is>
          <ns0:t>SES-0275</ns0:t>
        </ns0:is>
      </ns0:c>
      <ns0:c r="B276" s="4" t="inlineStr">
        <ns0:is>
          <ns0:t>SYN-109</ns0:t>
        </ns0:is>
      </ns0:c>
      <ns0:c r="C276" s="10" t="n">
        <ns0:v>46166</ns0:v>
      </ns0:c>
      <ns0:c r="D276" s="4" t="inlineStr">
        <ns0:is>
          <ns0:t>Synthetic Script 109</ns0:t>
        </ns0:is>
      </ns0:c>
      <ns0:c r="E276" s="4" t="inlineStr">
        <ns0:is>
          <ns0:t>欢乐</ns0:t>
        </ns0:is>
      </ns0:c>
      <ns0:c r="F276" s="4" t="n">
        <ns0:v>3</ns0:v>
      </ns0:c>
      <ns0:c r="G276" s="4" t="n">
        <ns0:v>7</ns0:v>
      </ns0:c>
      <ns0:c r="H276" s="9" t="n">
        <ns0:v>95</ns0:v>
      </ns0:c>
      <ns0:c r="I276" s="9">
        <ns0:f>G276*H276</ns0:f>
        <ns0:v>665</ns0:v>
      </ns0:c>
      <ns0:c r="J276" s="9">
        <ns0:f>INDEX(Script_List!$H$2:$H$161,MATCH(B276,Script_List!$A$2:$A$161,0))</ns0:f>
        <ns0:v>175</ns0:v>
      </ns0:c>
      <ns0:c r="K276" s="4" t="inlineStr">
        <ns0:is>
          <ns0:t>独家</ns0:t>
        </ns0:is>
      </ns0:c>
      <ns0:c r="L276" s="9">
        <ns0:f>I276-J276</ns0:f>
        <ns0:v>490</ns0:v>
      </ns0:c>
      <ns0:c r="M276" s="4" t="n">
        <ns0:v>7</ns0:v>
      </ns0:c>
      <ns0:c r="N276" s="10">
        <ns0:f>DATE(YEAR(C276),MONTH(C276),1)</ns0:f>
        <ns0:v>46143.0</ns0:v>
      </ns0:c>
      <ns0:c r="O276" s="4" t="str">
        <ns0:f>TEXT(N276,"yyyy-mm")</ns0:f>
        <ns0:v>2026-05</ns0:v>
      </ns0:c>
    </ns0:row>
    <ns0:row r="277">
      <ns0:c r="A277" s="4" t="inlineStr">
        <ns0:is>
          <ns0:t>SES-0276</ns0:t>
        </ns0:is>
      </ns0:c>
      <ns0:c r="B277" s="4" t="inlineStr">
        <ns0:is>
          <ns0:t>SYN-109</ns0:t>
        </ns0:is>
      </ns0:c>
      <ns0:c r="C277" s="10" t="n">
        <ns0:v>46167</ns0:v>
      </ns0:c>
      <ns0:c r="D277" s="4" t="inlineStr">
        <ns0:is>
          <ns0:t>Synthetic Script 109</ns0:t>
        </ns0:is>
      </ns0:c>
      <ns0:c r="E277" s="4" t="inlineStr">
        <ns0:is>
          <ns0:t>欢乐</ns0:t>
        </ns0:is>
      </ns0:c>
      <ns0:c r="F277" s="4" t="n">
        <ns0:v>3</ns0:v>
      </ns0:c>
      <ns0:c r="G277" s="4" t="n">
        <ns0:v>7</ns0:v>
      </ns0:c>
      <ns0:c r="H277" s="9" t="n">
        <ns0:v>95</ns0:v>
      </ns0:c>
      <ns0:c r="I277" s="9">
        <ns0:f>G277*H277</ns0:f>
        <ns0:v>665</ns0:v>
      </ns0:c>
      <ns0:c r="J277" s="9">
        <ns0:f>INDEX(Script_List!$H$2:$H$161,MATCH(B277,Script_List!$A$2:$A$161,0))</ns0:f>
        <ns0:v>175</ns0:v>
      </ns0:c>
      <ns0:c r="K277" s="4" t="inlineStr">
        <ns0:is>
          <ns0:t>独家</ns0:t>
        </ns0:is>
      </ns0:c>
      <ns0:c r="L277" s="9">
        <ns0:f>I277-J277</ns0:f>
        <ns0:v>490</ns0:v>
      </ns0:c>
      <ns0:c r="M277" s="4" t="n">
        <ns0:v>7</ns0:v>
      </ns0:c>
      <ns0:c r="N277" s="10">
        <ns0:f>DATE(YEAR(C277),MONTH(C277),1)</ns0:f>
        <ns0:v>46143.0</ns0:v>
      </ns0:c>
      <ns0:c r="O277" s="4" t="str">
        <ns0:f>TEXT(N277,"yyyy-mm")</ns0:f>
        <ns0:v>2026-05</ns0:v>
      </ns0:c>
    </ns0:row>
    <ns0:row r="278">
      <ns0:c r="A278" s="4" t="inlineStr">
        <ns0:is>
          <ns0:t>SES-0277</ns0:t>
        </ns0:is>
      </ns0:c>
      <ns0:c r="B278" s="4" t="inlineStr">
        <ns0:is>
          <ns0:t>SYN-110</ns0:t>
        </ns0:is>
      </ns0:c>
      <ns0:c r="C278" s="10" t="n">
        <ns0:v>46168</ns0:v>
      </ns0:c>
      <ns0:c r="D278" s="4" t="inlineStr">
        <ns0:is>
          <ns0:t>Synthetic Script 110</ns0:t>
        </ns0:is>
      </ns0:c>
      <ns0:c r="E278" s="4" t="inlineStr">
        <ns0:is>
          <ns0:t>情感</ns0:t>
        </ns0:is>
      </ns0:c>
      <ns0:c r="F278" s="4" t="n">
        <ns0:v>6</ns0:v>
      </ns0:c>
      <ns0:c r="G278" s="4" t="n">
        <ns0:v>8</ns0:v>
      </ns0:c>
      <ns0:c r="H278" s="9" t="n">
        <ns0:v>109</ns0:v>
      </ns0:c>
      <ns0:c r="I278" s="9">
        <ns0:f>G278*H278</ns0:f>
        <ns0:v>872</ns0:v>
      </ns0:c>
      <ns0:c r="J278" s="9">
        <ns0:f>INDEX(Script_List!$H$2:$H$161,MATCH(B278,Script_List!$A$2:$A$161,0))</ns0:f>
        <ns0:v>540</ns0:v>
      </ns0:c>
      <ns0:c r="K278" s="4" t="inlineStr">
        <ns0:is>
          <ns0:t>盒装</ns0:t>
        </ns0:is>
      </ns0:c>
      <ns0:c r="L278" s="9">
        <ns0:f>I278-J278</ns0:f>
        <ns0:v>332</ns0:v>
      </ns0:c>
      <ns0:c r="M278" s="4" t="n">
        <ns0:v>7.7</ns0:v>
      </ns0:c>
      <ns0:c r="N278" s="10">
        <ns0:f>DATE(YEAR(C278),MONTH(C278),1)</ns0:f>
        <ns0:v>46143.0</ns0:v>
      </ns0:c>
      <ns0:c r="O278" s="4" t="str">
        <ns0:f>TEXT(N278,"yyyy-mm")</ns0:f>
        <ns0:v>2026-05</ns0:v>
      </ns0:c>
    </ns0:row>
    <ns0:row r="279">
      <ns0:c r="A279" s="4" t="inlineStr">
        <ns0:is>
          <ns0:t>SES-0278</ns0:t>
        </ns0:is>
      </ns0:c>
      <ns0:c r="B279" s="4" t="inlineStr">
        <ns0:is>
          <ns0:t>SYN-111</ns0:t>
        </ns0:is>
      </ns0:c>
      <ns0:c r="C279" s="10" t="n">
        <ns0:v>46169</ns0:v>
      </ns0:c>
      <ns0:c r="D279" s="4" t="inlineStr">
        <ns0:is>
          <ns0:t>Synthetic Script 111</ns0:t>
        </ns0:is>
      </ns0:c>
      <ns0:c r="E279" s="4" t="inlineStr">
        <ns0:is>
          <ns0:t>情感</ns0:t>
        </ns0:is>
      </ns0:c>
      <ns0:c r="F279" s="4" t="n">
        <ns0:v>2</ns0:v>
      </ns0:c>
      <ns0:c r="G279" s="4" t="n">
        <ns0:v>6</ns0:v>
      </ns0:c>
      <ns0:c r="H279" s="9" t="n">
        <ns0:v>118</ns0:v>
      </ns0:c>
      <ns0:c r="I279" s="9">
        <ns0:f>G279*H279</ns0:f>
        <ns0:v>708</ns0:v>
      </ns0:c>
      <ns0:c r="J279" s="9">
        <ns0:f>INDEX(Script_List!$H$2:$H$161,MATCH(B279,Script_List!$A$2:$A$161,0))</ns0:f>
        <ns0:v>180</ns0:v>
      </ns0:c>
      <ns0:c r="K279" s="4" t="inlineStr">
        <ns0:is>
          <ns0:t>盒装</ns0:t>
        </ns0:is>
      </ns0:c>
      <ns0:c r="L279" s="9">
        <ns0:f>I279-J279</ns0:f>
        <ns0:v>528</ns0:v>
      </ns0:c>
      <ns0:c r="M279" s="4" t="n">
        <ns0:v>8.4</ns0:v>
      </ns0:c>
      <ns0:c r="N279" s="10">
        <ns0:f>DATE(YEAR(C279),MONTH(C279),1)</ns0:f>
        <ns0:v>46143.0</ns0:v>
      </ns0:c>
      <ns0:c r="O279" s="4" t="str">
        <ns0:f>TEXT(N279,"yyyy-mm")</ns0:f>
        <ns0:v>2026-05</ns0:v>
      </ns0:c>
    </ns0:row>
    <ns0:row r="280">
      <ns0:c r="A280" s="4" t="inlineStr">
        <ns0:is>
          <ns0:t>SES-0279</ns0:t>
        </ns0:is>
      </ns0:c>
      <ns0:c r="B280" s="4" t="inlineStr">
        <ns0:is>
          <ns0:t>SYN-111</ns0:t>
        </ns0:is>
      </ns0:c>
      <ns0:c r="C280" s="10" t="n">
        <ns0:v>46170</ns0:v>
      </ns0:c>
      <ns0:c r="D280" s="4" t="inlineStr">
        <ns0:is>
          <ns0:t>Synthetic Script 111</ns0:t>
        </ns0:is>
      </ns0:c>
      <ns0:c r="E280" s="4" t="inlineStr">
        <ns0:is>
          <ns0:t>情感</ns0:t>
        </ns0:is>
      </ns0:c>
      <ns0:c r="F280" s="4" t="n">
        <ns0:v>2</ns0:v>
      </ns0:c>
      <ns0:c r="G280" s="4" t="n">
        <ns0:v>6</ns0:v>
      </ns0:c>
      <ns0:c r="H280" s="9" t="n">
        <ns0:v>118</ns0:v>
      </ns0:c>
      <ns0:c r="I280" s="9">
        <ns0:f>G280*H280</ns0:f>
        <ns0:v>708</ns0:v>
      </ns0:c>
      <ns0:c r="J280" s="9">
        <ns0:f>INDEX(Script_List!$H$2:$H$161,MATCH(B280,Script_List!$A$2:$A$161,0))</ns0:f>
        <ns0:v>180</ns0:v>
      </ns0:c>
      <ns0:c r="K280" s="4" t="inlineStr">
        <ns0:is>
          <ns0:t>盒装</ns0:t>
        </ns0:is>
      </ns0:c>
      <ns0:c r="L280" s="9">
        <ns0:f>I280-J280</ns0:f>
        <ns0:v>528</ns0:v>
      </ns0:c>
      <ns0:c r="M280" s="4" t="n">
        <ns0:v>8.4</ns0:v>
      </ns0:c>
      <ns0:c r="N280" s="10">
        <ns0:f>DATE(YEAR(C280),MONTH(C280),1)</ns0:f>
        <ns0:v>46143.0</ns0:v>
      </ns0:c>
      <ns0:c r="O280" s="4" t="str">
        <ns0:f>TEXT(N280,"yyyy-mm")</ns0:f>
        <ns0:v>2026-05</ns0:v>
      </ns0:c>
    </ns0:row>
    <ns0:row r="281">
      <ns0:c r="A281" s="4" t="inlineStr">
        <ns0:is>
          <ns0:t>SES-0280</ns0:t>
        </ns0:is>
      </ns0:c>
      <ns0:c r="B281" s="4" t="inlineStr">
        <ns0:is>
          <ns0:t>SYN-112</ns0:t>
        </ns0:is>
      </ns0:c>
      <ns0:c r="C281" s="10" t="n">
        <ns0:v>46171</ns0:v>
      </ns0:c>
      <ns0:c r="D281" s="4" t="inlineStr">
        <ns0:is>
          <ns0:t>Synthetic Script 112</ns0:t>
        </ns0:is>
      </ns0:c>
      <ns0:c r="E281" s="4" t="inlineStr">
        <ns0:is>
          <ns0:t>推理</ns0:t>
        </ns0:is>
      </ns0:c>
      <ns0:c r="F281" s="4" t="n">
        <ns0:v>1</ns0:v>
      </ns0:c>
      <ns0:c r="G281" s="4" t="n">
        <ns0:v>6</ns0:v>
      </ns0:c>
      <ns0:c r="H281" s="9" t="n">
        <ns0:v>119</ns0:v>
      </ns0:c>
      <ns0:c r="I281" s="9">
        <ns0:f>G281*H281</ns0:f>
        <ns0:v>714</ns0:v>
      </ns0:c>
      <ns0:c r="J281" s="9">
        <ns0:f>INDEX(Script_List!$H$2:$H$161,MATCH(B281,Script_List!$A$2:$A$161,0))</ns0:f>
        <ns0:v>187</ns0:v>
      </ns0:c>
      <ns0:c r="K281" s="4" t="inlineStr">
        <ns0:is>
          <ns0:t>城限</ns0:t>
        </ns0:is>
      </ns0:c>
      <ns0:c r="L281" s="9">
        <ns0:f>I281-J281</ns0:f>
        <ns0:v>527</ns0:v>
      </ns0:c>
      <ns0:c r="M281" s="4" t="n">
        <ns0:v>7</ns0:v>
      </ns0:c>
      <ns0:c r="N281" s="10">
        <ns0:f>DATE(YEAR(C281),MONTH(C281),1)</ns0:f>
        <ns0:v>46143.0</ns0:v>
      </ns0:c>
      <ns0:c r="O281" s="4" t="str">
        <ns0:f>TEXT(N281,"yyyy-mm")</ns0:f>
        <ns0:v>2026-05</ns0:v>
      </ns0:c>
    </ns0:row>
    <ns0:row r="282">
      <ns0:c r="A282" s="4" t="inlineStr">
        <ns0:is>
          <ns0:t>SES-0281</ns0:t>
        </ns0:is>
      </ns0:c>
      <ns0:c r="B282" s="4" t="inlineStr">
        <ns0:is>
          <ns0:t>SYN-112</ns0:t>
        </ns0:is>
      </ns0:c>
      <ns0:c r="C282" s="10" t="n">
        <ns0:v>46172</ns0:v>
      </ns0:c>
      <ns0:c r="D282" s="4" t="inlineStr">
        <ns0:is>
          <ns0:t>Synthetic Script 112</ns0:t>
        </ns0:is>
      </ns0:c>
      <ns0:c r="E282" s="4" t="inlineStr">
        <ns0:is>
          <ns0:t>推理</ns0:t>
        </ns0:is>
      </ns0:c>
      <ns0:c r="F282" s="4" t="n">
        <ns0:v>1</ns0:v>
      </ns0:c>
      <ns0:c r="G282" s="4" t="n">
        <ns0:v>6</ns0:v>
      </ns0:c>
      <ns0:c r="H282" s="9" t="n">
        <ns0:v>119</ns0:v>
      </ns0:c>
      <ns0:c r="I282" s="9">
        <ns0:f>G282*H282</ns0:f>
        <ns0:v>714</ns0:v>
      </ns0:c>
      <ns0:c r="J282" s="9">
        <ns0:f>INDEX(Script_List!$H$2:$H$161,MATCH(B282,Script_List!$A$2:$A$161,0))</ns0:f>
        <ns0:v>187</ns0:v>
      </ns0:c>
      <ns0:c r="K282" s="4" t="inlineStr">
        <ns0:is>
          <ns0:t>城限</ns0:t>
        </ns0:is>
      </ns0:c>
      <ns0:c r="L282" s="9">
        <ns0:f>I282-J282</ns0:f>
        <ns0:v>527</ns0:v>
      </ns0:c>
      <ns0:c r="M282" s="4" t="n">
        <ns0:v>7</ns0:v>
      </ns0:c>
      <ns0:c r="N282" s="10">
        <ns0:f>DATE(YEAR(C282),MONTH(C282),1)</ns0:f>
        <ns0:v>46143.0</ns0:v>
      </ns0:c>
      <ns0:c r="O282" s="4" t="str">
        <ns0:f>TEXT(N282,"yyyy-mm")</ns0:f>
        <ns0:v>2026-05</ns0:v>
      </ns0:c>
    </ns0:row>
    <ns0:row r="283">
      <ns0:c r="A283" s="4" t="inlineStr">
        <ns0:is>
          <ns0:t>SES-0282</ns0:t>
        </ns0:is>
      </ns0:c>
      <ns0:c r="B283" s="4" t="inlineStr">
        <ns0:is>
          <ns0:t>SYN-112</ns0:t>
        </ns0:is>
      </ns0:c>
      <ns0:c r="C283" s="10" t="n">
        <ns0:v>46173</ns0:v>
      </ns0:c>
      <ns0:c r="D283" s="4" t="inlineStr">
        <ns0:is>
          <ns0:t>Synthetic Script 112</ns0:t>
        </ns0:is>
      </ns0:c>
      <ns0:c r="E283" s="4" t="inlineStr">
        <ns0:is>
          <ns0:t>推理</ns0:t>
        </ns0:is>
      </ns0:c>
      <ns0:c r="F283" s="4" t="n">
        <ns0:v>1</ns0:v>
      </ns0:c>
      <ns0:c r="G283" s="4" t="n">
        <ns0:v>6</ns0:v>
      </ns0:c>
      <ns0:c r="H283" s="9" t="n">
        <ns0:v>119</ns0:v>
      </ns0:c>
      <ns0:c r="I283" s="9">
        <ns0:f>G283*H283</ns0:f>
        <ns0:v>714</ns0:v>
      </ns0:c>
      <ns0:c r="J283" s="9">
        <ns0:f>INDEX(Script_List!$H$2:$H$161,MATCH(B283,Script_List!$A$2:$A$161,0))</ns0:f>
        <ns0:v>187</ns0:v>
      </ns0:c>
      <ns0:c r="K283" s="4" t="inlineStr">
        <ns0:is>
          <ns0:t>城限</ns0:t>
        </ns0:is>
      </ns0:c>
      <ns0:c r="L283" s="9">
        <ns0:f>I283-J283</ns0:f>
        <ns0:v>527</ns0:v>
      </ns0:c>
      <ns0:c r="M283" s="4" t="n">
        <ns0:v>7</ns0:v>
      </ns0:c>
      <ns0:c r="N283" s="10">
        <ns0:f>DATE(YEAR(C283),MONTH(C283),1)</ns0:f>
        <ns0:v>46143.0</ns0:v>
      </ns0:c>
      <ns0:c r="O283" s="4" t="str">
        <ns0:f>TEXT(N283,"yyyy-mm")</ns0:f>
        <ns0:v>2026-05</ns0:v>
      </ns0:c>
    </ns0:row>
    <ns0:row r="284">
      <ns0:c r="A284" s="4" t="inlineStr">
        <ns0:is>
          <ns0:t>SES-0283</ns0:t>
        </ns0:is>
      </ns0:c>
      <ns0:c r="B284" s="4" t="inlineStr">
        <ns0:is>
          <ns0:t>SYN-112</ns0:t>
        </ns0:is>
      </ns0:c>
      <ns0:c r="C284" s="10" t="n">
        <ns0:v>46174</ns0:v>
      </ns0:c>
      <ns0:c r="D284" s="4" t="inlineStr">
        <ns0:is>
          <ns0:t>Synthetic Script 112</ns0:t>
        </ns0:is>
      </ns0:c>
      <ns0:c r="E284" s="4" t="inlineStr">
        <ns0:is>
          <ns0:t>推理</ns0:t>
        </ns0:is>
      </ns0:c>
      <ns0:c r="F284" s="4" t="n">
        <ns0:v>1</ns0:v>
      </ns0:c>
      <ns0:c r="G284" s="4" t="n">
        <ns0:v>6</ns0:v>
      </ns0:c>
      <ns0:c r="H284" s="9" t="n">
        <ns0:v>119</ns0:v>
      </ns0:c>
      <ns0:c r="I284" s="9">
        <ns0:f>G284*H284</ns0:f>
        <ns0:v>714</ns0:v>
      </ns0:c>
      <ns0:c r="J284" s="9">
        <ns0:f>INDEX(Script_List!$H$2:$H$161,MATCH(B284,Script_List!$A$2:$A$161,0))</ns0:f>
        <ns0:v>187</ns0:v>
      </ns0:c>
      <ns0:c r="K284" s="4" t="inlineStr">
        <ns0:is>
          <ns0:t>城限</ns0:t>
        </ns0:is>
      </ns0:c>
      <ns0:c r="L284" s="9">
        <ns0:f>I284-J284</ns0:f>
        <ns0:v>527</ns0:v>
      </ns0:c>
      <ns0:c r="M284" s="4" t="n">
        <ns0:v>7</ns0:v>
      </ns0:c>
      <ns0:c r="N284" s="10">
        <ns0:f>DATE(YEAR(C284),MONTH(C284),1)</ns0:f>
        <ns0:v>46174.0</ns0:v>
      </ns0:c>
      <ns0:c r="O284" s="4" t="str">
        <ns0:f>TEXT(N284,"yyyy-mm")</ns0:f>
        <ns0:v>2026-06</ns0:v>
      </ns0:c>
    </ns0:row>
    <ns0:row r="285">
      <ns0:c r="A285" s="4" t="inlineStr">
        <ns0:is>
          <ns0:t>SES-0284</ns0:t>
        </ns0:is>
      </ns0:c>
      <ns0:c r="B285" s="4" t="inlineStr">
        <ns0:is>
          <ns0:t>SYN-112</ns0:t>
        </ns0:is>
      </ns0:c>
      <ns0:c r="C285" s="10" t="n">
        <ns0:v>46175</ns0:v>
      </ns0:c>
      <ns0:c r="D285" s="4" t="inlineStr">
        <ns0:is>
          <ns0:t>Synthetic Script 112</ns0:t>
        </ns0:is>
      </ns0:c>
      <ns0:c r="E285" s="4" t="inlineStr">
        <ns0:is>
          <ns0:t>推理</ns0:t>
        </ns0:is>
      </ns0:c>
      <ns0:c r="F285" s="4" t="n">
        <ns0:v>1</ns0:v>
      </ns0:c>
      <ns0:c r="G285" s="4" t="n">
        <ns0:v>6</ns0:v>
      </ns0:c>
      <ns0:c r="H285" s="9" t="n">
        <ns0:v>119</ns0:v>
      </ns0:c>
      <ns0:c r="I285" s="9">
        <ns0:f>G285*H285</ns0:f>
        <ns0:v>714</ns0:v>
      </ns0:c>
      <ns0:c r="J285" s="9">
        <ns0:f>INDEX(Script_List!$H$2:$H$161,MATCH(B285,Script_List!$A$2:$A$161,0))</ns0:f>
        <ns0:v>187</ns0:v>
      </ns0:c>
      <ns0:c r="K285" s="4" t="inlineStr">
        <ns0:is>
          <ns0:t>城限</ns0:t>
        </ns0:is>
      </ns0:c>
      <ns0:c r="L285" s="9">
        <ns0:f>I285-J285</ns0:f>
        <ns0:v>527</ns0:v>
      </ns0:c>
      <ns0:c r="M285" s="4" t="n">
        <ns0:v>7</ns0:v>
      </ns0:c>
      <ns0:c r="N285" s="10">
        <ns0:f>DATE(YEAR(C285),MONTH(C285),1)</ns0:f>
        <ns0:v>46174.0</ns0:v>
      </ns0:c>
      <ns0:c r="O285" s="4" t="str">
        <ns0:f>TEXT(N285,"yyyy-mm")</ns0:f>
        <ns0:v>2026-06</ns0:v>
      </ns0:c>
    </ns0:row>
    <ns0:row r="286">
      <ns0:c r="A286" s="4" t="inlineStr">
        <ns0:is>
          <ns0:t>SES-0285</ns0:t>
        </ns0:is>
      </ns0:c>
      <ns0:c r="B286" s="4" t="inlineStr">
        <ns0:is>
          <ns0:t>SYN-113</ns0:t>
        </ns0:is>
      </ns0:c>
      <ns0:c r="C286" s="10" t="n">
        <ns0:v>46176</ns0:v>
      </ns0:c>
      <ns0:c r="D286" s="4" t="inlineStr">
        <ns0:is>
          <ns0:t>Synthetic Script 113</ns0:t>
        </ns0:is>
      </ns0:c>
      <ns0:c r="E286" s="4" t="inlineStr">
        <ns0:is>
          <ns0:t>情感</ns0:t>
        </ns0:is>
      </ns0:c>
      <ns0:c r="F286" s="4" t="n">
        <ns0:v>3</ns0:v>
      </ns0:c>
      <ns0:c r="G286" s="4" t="n">
        <ns0:v>6</ns0:v>
      </ns0:c>
      <ns0:c r="H286" s="9" t="n">
        <ns0:v>99</ns0:v>
      </ns0:c>
      <ns0:c r="I286" s="9">
        <ns0:f>G286*H286</ns0:f>
        <ns0:v>594</ns0:v>
      </ns0:c>
      <ns0:c r="J286" s="9">
        <ns0:f>INDEX(Script_List!$H$2:$H$161,MATCH(B286,Script_List!$A$2:$A$161,0))</ns0:f>
        <ns0:v>270</ns0:v>
      </ns0:c>
      <ns0:c r="K286" s="4" t="inlineStr">
        <ns0:is>
          <ns0:t>盒装</ns0:t>
        </ns0:is>
      </ns0:c>
      <ns0:c r="L286" s="9">
        <ns0:f>I286-J286</ns0:f>
        <ns0:v>324</ns0:v>
      </ns0:c>
      <ns0:c r="M286" s="4" t="n">
        <ns0:v>7.7</ns0:v>
      </ns0:c>
      <ns0:c r="N286" s="10">
        <ns0:f>DATE(YEAR(C286),MONTH(C286),1)</ns0:f>
        <ns0:v>46174.0</ns0:v>
      </ns0:c>
      <ns0:c r="O286" s="4" t="str">
        <ns0:f>TEXT(N286,"yyyy-mm")</ns0:f>
        <ns0:v>2026-06</ns0:v>
      </ns0:c>
    </ns0:row>
    <ns0:row r="287">
      <ns0:c r="A287" s="4" t="inlineStr">
        <ns0:is>
          <ns0:t>SES-0286</ns0:t>
        </ns0:is>
      </ns0:c>
      <ns0:c r="B287" s="4" t="inlineStr">
        <ns0:is>
          <ns0:t>SYN-114</ns0:t>
        </ns0:is>
      </ns0:c>
      <ns0:c r="C287" s="10" t="n">
        <ns0:v>46177</ns0:v>
      </ns0:c>
      <ns0:c r="D287" s="4" t="inlineStr">
        <ns0:is>
          <ns0:t>Synthetic Script 114</ns0:t>
        </ns0:is>
      </ns0:c>
      <ns0:c r="E287" s="4" t="inlineStr">
        <ns0:is>
          <ns0:t>欢乐</ns0:t>
        </ns0:is>
      </ns0:c>
      <ns0:c r="F287" s="4" t="n">
        <ns0:v>3</ns0:v>
      </ns0:c>
      <ns0:c r="G287" s="4" t="n">
        <ns0:v>7</ns0:v>
      </ns0:c>
      <ns0:c r="H287" s="9" t="n">
        <ns0:v>109</ns0:v>
      </ns0:c>
      <ns0:c r="I287" s="9">
        <ns0:f>G287*H287</ns0:f>
        <ns0:v>763</ns0:v>
      </ns0:c>
      <ns0:c r="J287" s="9">
        <ns0:f>INDEX(Script_List!$H$2:$H$161,MATCH(B287,Script_List!$A$2:$A$161,0))</ns0:f>
        <ns0:v>200</ns0:v>
      </ns0:c>
      <ns0:c r="K287" s="4" t="inlineStr">
        <ns0:is>
          <ns0:t>独家</ns0:t>
        </ns0:is>
      </ns0:c>
      <ns0:c r="L287" s="9">
        <ns0:f>I287-J287</ns0:f>
        <ns0:v>563</ns0:v>
      </ns0:c>
      <ns0:c r="M287" s="4" t="n">
        <ns0:v>8.4</ns0:v>
      </ns0:c>
      <ns0:c r="N287" s="10">
        <ns0:f>DATE(YEAR(C287),MONTH(C287),1)</ns0:f>
        <ns0:v>46174.0</ns0:v>
      </ns0:c>
      <ns0:c r="O287" s="4" t="str">
        <ns0:f>TEXT(N287,"yyyy-mm")</ns0:f>
        <ns0:v>2026-06</ns0:v>
      </ns0:c>
    </ns0:row>
    <ns0:row r="288">
      <ns0:c r="A288" s="4" t="inlineStr">
        <ns0:is>
          <ns0:t>SES-0287</ns0:t>
        </ns0:is>
      </ns0:c>
      <ns0:c r="B288" s="4" t="inlineStr">
        <ns0:is>
          <ns0:t>SYN-114</ns0:t>
        </ns0:is>
      </ns0:c>
      <ns0:c r="C288" s="10" t="n">
        <ns0:v>46178</ns0:v>
      </ns0:c>
      <ns0:c r="D288" s="4" t="inlineStr">
        <ns0:is>
          <ns0:t>Synthetic Script 114</ns0:t>
        </ns0:is>
      </ns0:c>
      <ns0:c r="E288" s="4" t="inlineStr">
        <ns0:is>
          <ns0:t>欢乐</ns0:t>
        </ns0:is>
      </ns0:c>
      <ns0:c r="F288" s="4" t="n">
        <ns0:v>3</ns0:v>
      </ns0:c>
      <ns0:c r="G288" s="4" t="n">
        <ns0:v>7</ns0:v>
      </ns0:c>
      <ns0:c r="H288" s="9" t="n">
        <ns0:v>109</ns0:v>
      </ns0:c>
      <ns0:c r="I288" s="9">
        <ns0:f>G288*H288</ns0:f>
        <ns0:v>763</ns0:v>
      </ns0:c>
      <ns0:c r="J288" s="9">
        <ns0:f>INDEX(Script_List!$H$2:$H$161,MATCH(B288,Script_List!$A$2:$A$161,0))</ns0:f>
        <ns0:v>200</ns0:v>
      </ns0:c>
      <ns0:c r="K288" s="4" t="inlineStr">
        <ns0:is>
          <ns0:t>独家</ns0:t>
        </ns0:is>
      </ns0:c>
      <ns0:c r="L288" s="9">
        <ns0:f>I288-J288</ns0:f>
        <ns0:v>563</ns0:v>
      </ns0:c>
      <ns0:c r="M288" s="4" t="n">
        <ns0:v>8.4</ns0:v>
      </ns0:c>
      <ns0:c r="N288" s="10">
        <ns0:f>DATE(YEAR(C288),MONTH(C288),1)</ns0:f>
        <ns0:v>46174.0</ns0:v>
      </ns0:c>
      <ns0:c r="O288" s="4" t="str">
        <ns0:f>TEXT(N288,"yyyy-mm")</ns0:f>
        <ns0:v>2026-06</ns0:v>
      </ns0:c>
    </ns0:row>
    <ns0:row r="289">
      <ns0:c r="A289" s="4" t="inlineStr">
        <ns0:is>
          <ns0:t>SES-0288</ns0:t>
        </ns0:is>
      </ns0:c>
      <ns0:c r="B289" s="4" t="inlineStr">
        <ns0:is>
          <ns0:t>SYN-115</ns0:t>
        </ns0:is>
      </ns0:c>
      <ns0:c r="C289" s="10" t="n">
        <ns0:v>46179</ns0:v>
      </ns0:c>
      <ns0:c r="D289" s="4" t="inlineStr">
        <ns0:is>
          <ns0:t>Synthetic Script 115</ns0:t>
        </ns0:is>
      </ns0:c>
      <ns0:c r="E289" s="4" t="inlineStr">
        <ns0:is>
          <ns0:t>推理</ns0:t>
        </ns0:is>
      </ns0:c>
      <ns0:c r="F289" s="4" t="n">
        <ns0:v>2</ns0:v>
      </ns0:c>
      <ns0:c r="G289" s="4" t="n">
        <ns0:v>8</ns0:v>
      </ns0:c>
      <ns0:c r="H289" s="9" t="n">
        <ns0:v>95</ns0:v>
      </ns0:c>
      <ns0:c r="I289" s="9">
        <ns0:f>G289*H289</ns0:f>
        <ns0:v>760</ns0:v>
      </ns0:c>
      <ns0:c r="J289" s="9">
        <ns0:f>INDEX(Script_List!$H$2:$H$161,MATCH(B289,Script_List!$A$2:$A$161,0))</ns0:f>
        <ns0:v>200</ns0:v>
      </ns0:c>
      <ns0:c r="K289" s="4" t="inlineStr">
        <ns0:is>
          <ns0:t>城限</ns0:t>
        </ns0:is>
      </ns0:c>
      <ns0:c r="L289" s="9">
        <ns0:f>I289-J289</ns0:f>
        <ns0:v>560</ns0:v>
      </ns0:c>
      <ns0:c r="M289" s="4" t="n">
        <ns0:v>7</ns0:v>
      </ns0:c>
      <ns0:c r="N289" s="10">
        <ns0:f>DATE(YEAR(C289),MONTH(C289),1)</ns0:f>
        <ns0:v>46174.0</ns0:v>
      </ns0:c>
      <ns0:c r="O289" s="4" t="str">
        <ns0:f>TEXT(N289,"yyyy-mm")</ns0:f>
        <ns0:v>2026-06</ns0:v>
      </ns0:c>
    </ns0:row>
    <ns0:row r="290">
      <ns0:c r="A290" s="4" t="inlineStr">
        <ns0:is>
          <ns0:t>SES-0289</ns0:t>
        </ns0:is>
      </ns0:c>
      <ns0:c r="B290" s="4" t="inlineStr">
        <ns0:is>
          <ns0:t>SYN-115</ns0:t>
        </ns0:is>
      </ns0:c>
      <ns0:c r="C290" s="10" t="n">
        <ns0:v>46180</ns0:v>
      </ns0:c>
      <ns0:c r="D290" s="4" t="inlineStr">
        <ns0:is>
          <ns0:t>Synthetic Script 115</ns0:t>
        </ns0:is>
      </ns0:c>
      <ns0:c r="E290" s="4" t="inlineStr">
        <ns0:is>
          <ns0:t>推理</ns0:t>
        </ns0:is>
      </ns0:c>
      <ns0:c r="F290" s="4" t="n">
        <ns0:v>2</ns0:v>
      </ns0:c>
      <ns0:c r="G290" s="4" t="n">
        <ns0:v>8</ns0:v>
      </ns0:c>
      <ns0:c r="H290" s="9" t="n">
        <ns0:v>95</ns0:v>
      </ns0:c>
      <ns0:c r="I290" s="9">
        <ns0:f>G290*H290</ns0:f>
        <ns0:v>760</ns0:v>
      </ns0:c>
      <ns0:c r="J290" s="9">
        <ns0:f>INDEX(Script_List!$H$2:$H$161,MATCH(B290,Script_List!$A$2:$A$161,0))</ns0:f>
        <ns0:v>200</ns0:v>
      </ns0:c>
      <ns0:c r="K290" s="4" t="inlineStr">
        <ns0:is>
          <ns0:t>城限</ns0:t>
        </ns0:is>
      </ns0:c>
      <ns0:c r="L290" s="9">
        <ns0:f>I290-J290</ns0:f>
        <ns0:v>560</ns0:v>
      </ns0:c>
      <ns0:c r="M290" s="4" t="n">
        <ns0:v>7</ns0:v>
      </ns0:c>
      <ns0:c r="N290" s="10">
        <ns0:f>DATE(YEAR(C290),MONTH(C290),1)</ns0:f>
        <ns0:v>46174.0</ns0:v>
      </ns0:c>
      <ns0:c r="O290" s="4" t="str">
        <ns0:f>TEXT(N290,"yyyy-mm")</ns0:f>
        <ns0:v>2026-06</ns0:v>
      </ns0:c>
    </ns0:row>
    <ns0:row r="291">
      <ns0:c r="A291" s="4" t="inlineStr">
        <ns0:is>
          <ns0:t>SES-0290</ns0:t>
        </ns0:is>
      </ns0:c>
      <ns0:c r="B291" s="4" t="inlineStr">
        <ns0:is>
          <ns0:t>SYN-115</ns0:t>
        </ns0:is>
      </ns0:c>
      <ns0:c r="C291" s="10" t="n">
        <ns0:v>46181</ns0:v>
      </ns0:c>
      <ns0:c r="D291" s="4" t="inlineStr">
        <ns0:is>
          <ns0:t>Synthetic Script 115</ns0:t>
        </ns0:is>
      </ns0:c>
      <ns0:c r="E291" s="4" t="inlineStr">
        <ns0:is>
          <ns0:t>推理</ns0:t>
        </ns0:is>
      </ns0:c>
      <ns0:c r="F291" s="4" t="n">
        <ns0:v>2</ns0:v>
      </ns0:c>
      <ns0:c r="G291" s="4" t="n">
        <ns0:v>8</ns0:v>
      </ns0:c>
      <ns0:c r="H291" s="9" t="n">
        <ns0:v>95</ns0:v>
      </ns0:c>
      <ns0:c r="I291" s="9">
        <ns0:f>G291*H291</ns0:f>
        <ns0:v>760</ns0:v>
      </ns0:c>
      <ns0:c r="J291" s="9">
        <ns0:f>INDEX(Script_List!$H$2:$H$161,MATCH(B291,Script_List!$A$2:$A$161,0))</ns0:f>
        <ns0:v>200</ns0:v>
      </ns0:c>
      <ns0:c r="K291" s="4" t="inlineStr">
        <ns0:is>
          <ns0:t>城限</ns0:t>
        </ns0:is>
      </ns0:c>
      <ns0:c r="L291" s="9">
        <ns0:f>I291-J291</ns0:f>
        <ns0:v>560</ns0:v>
      </ns0:c>
      <ns0:c r="M291" s="4" t="n">
        <ns0:v>7</ns0:v>
      </ns0:c>
      <ns0:c r="N291" s="10">
        <ns0:f>DATE(YEAR(C291),MONTH(C291),1)</ns0:f>
        <ns0:v>46174.0</ns0:v>
      </ns0:c>
      <ns0:c r="O291" s="4" t="str">
        <ns0:f>TEXT(N291,"yyyy-mm")</ns0:f>
        <ns0:v>2026-06</ns0:v>
      </ns0:c>
    </ns0:row>
    <ns0:row r="292">
      <ns0:c r="A292" s="4" t="inlineStr">
        <ns0:is>
          <ns0:t>SES-0291</ns0:t>
        </ns0:is>
      </ns0:c>
      <ns0:c r="B292" s="4" t="inlineStr">
        <ns0:is>
          <ns0:t>SYN-115</ns0:t>
        </ns0:is>
      </ns0:c>
      <ns0:c r="C292" s="10" t="n">
        <ns0:v>46182</ns0:v>
      </ns0:c>
      <ns0:c r="D292" s="4" t="inlineStr">
        <ns0:is>
          <ns0:t>Synthetic Script 115</ns0:t>
        </ns0:is>
      </ns0:c>
      <ns0:c r="E292" s="4" t="inlineStr">
        <ns0:is>
          <ns0:t>推理</ns0:t>
        </ns0:is>
      </ns0:c>
      <ns0:c r="F292" s="4" t="n">
        <ns0:v>2</ns0:v>
      </ns0:c>
      <ns0:c r="G292" s="4" t="n">
        <ns0:v>8</ns0:v>
      </ns0:c>
      <ns0:c r="H292" s="9" t="n">
        <ns0:v>95</ns0:v>
      </ns0:c>
      <ns0:c r="I292" s="9">
        <ns0:f>G292*H292</ns0:f>
        <ns0:v>760</ns0:v>
      </ns0:c>
      <ns0:c r="J292" s="9">
        <ns0:f>INDEX(Script_List!$H$2:$H$161,MATCH(B292,Script_List!$A$2:$A$161,0))</ns0:f>
        <ns0:v>200</ns0:v>
      </ns0:c>
      <ns0:c r="K292" s="4" t="inlineStr">
        <ns0:is>
          <ns0:t>城限</ns0:t>
        </ns0:is>
      </ns0:c>
      <ns0:c r="L292" s="9">
        <ns0:f>I292-J292</ns0:f>
        <ns0:v>560</ns0:v>
      </ns0:c>
      <ns0:c r="M292" s="4" t="n">
        <ns0:v>7</ns0:v>
      </ns0:c>
      <ns0:c r="N292" s="10">
        <ns0:f>DATE(YEAR(C292),MONTH(C292),1)</ns0:f>
        <ns0:v>46174.0</ns0:v>
      </ns0:c>
      <ns0:c r="O292" s="4" t="str">
        <ns0:f>TEXT(N292,"yyyy-mm")</ns0:f>
        <ns0:v>2026-06</ns0:v>
      </ns0:c>
    </ns0:row>
    <ns0:row r="293">
      <ns0:c r="A293" s="4" t="inlineStr">
        <ns0:is>
          <ns0:t>SES-0292</ns0:t>
        </ns0:is>
      </ns0:c>
      <ns0:c r="B293" s="4" t="inlineStr">
        <ns0:is>
          <ns0:t>SYN-115</ns0:t>
        </ns0:is>
      </ns0:c>
      <ns0:c r="C293" s="10" t="n">
        <ns0:v>46183</ns0:v>
      </ns0:c>
      <ns0:c r="D293" s="4" t="inlineStr">
        <ns0:is>
          <ns0:t>Synthetic Script 115</ns0:t>
        </ns0:is>
      </ns0:c>
      <ns0:c r="E293" s="4" t="inlineStr">
        <ns0:is>
          <ns0:t>推理</ns0:t>
        </ns0:is>
      </ns0:c>
      <ns0:c r="F293" s="4" t="n">
        <ns0:v>2</ns0:v>
      </ns0:c>
      <ns0:c r="G293" s="4" t="n">
        <ns0:v>8</ns0:v>
      </ns0:c>
      <ns0:c r="H293" s="9" t="n">
        <ns0:v>95</ns0:v>
      </ns0:c>
      <ns0:c r="I293" s="9">
        <ns0:f>G293*H293</ns0:f>
        <ns0:v>760</ns0:v>
      </ns0:c>
      <ns0:c r="J293" s="9">
        <ns0:f>INDEX(Script_List!$H$2:$H$161,MATCH(B293,Script_List!$A$2:$A$161,0))</ns0:f>
        <ns0:v>200</ns0:v>
      </ns0:c>
      <ns0:c r="K293" s="4" t="inlineStr">
        <ns0:is>
          <ns0:t>城限</ns0:t>
        </ns0:is>
      </ns0:c>
      <ns0:c r="L293" s="9">
        <ns0:f>I293-J293</ns0:f>
        <ns0:v>560</ns0:v>
      </ns0:c>
      <ns0:c r="M293" s="4" t="n">
        <ns0:v>7</ns0:v>
      </ns0:c>
      <ns0:c r="N293" s="10">
        <ns0:f>DATE(YEAR(C293),MONTH(C293),1)</ns0:f>
        <ns0:v>46174.0</ns0:v>
      </ns0:c>
      <ns0:c r="O293" s="4" t="str">
        <ns0:f>TEXT(N293,"yyyy-mm")</ns0:f>
        <ns0:v>2026-06</ns0:v>
      </ns0:c>
    </ns0:row>
    <ns0:row r="294">
      <ns0:c r="A294" s="4" t="inlineStr">
        <ns0:is>
          <ns0:t>SES-0293</ns0:t>
        </ns0:is>
      </ns0:c>
      <ns0:c r="B294" s="4" t="inlineStr">
        <ns0:is>
          <ns0:t>SYN-115</ns0:t>
        </ns0:is>
      </ns0:c>
      <ns0:c r="C294" s="10" t="n">
        <ns0:v>46184</ns0:v>
      </ns0:c>
      <ns0:c r="D294" s="4" t="inlineStr">
        <ns0:is>
          <ns0:t>Synthetic Script 115</ns0:t>
        </ns0:is>
      </ns0:c>
      <ns0:c r="E294" s="4" t="inlineStr">
        <ns0:is>
          <ns0:t>推理</ns0:t>
        </ns0:is>
      </ns0:c>
      <ns0:c r="F294" s="4" t="n">
        <ns0:v>2</ns0:v>
      </ns0:c>
      <ns0:c r="G294" s="4" t="n">
        <ns0:v>8</ns0:v>
      </ns0:c>
      <ns0:c r="H294" s="9" t="n">
        <ns0:v>95</ns0:v>
      </ns0:c>
      <ns0:c r="I294" s="9">
        <ns0:f>G294*H294</ns0:f>
        <ns0:v>760</ns0:v>
      </ns0:c>
      <ns0:c r="J294" s="9">
        <ns0:f>INDEX(Script_List!$H$2:$H$161,MATCH(B294,Script_List!$A$2:$A$161,0))</ns0:f>
        <ns0:v>200</ns0:v>
      </ns0:c>
      <ns0:c r="K294" s="4" t="inlineStr">
        <ns0:is>
          <ns0:t>城限</ns0:t>
        </ns0:is>
      </ns0:c>
      <ns0:c r="L294" s="9">
        <ns0:f>I294-J294</ns0:f>
        <ns0:v>560</ns0:v>
      </ns0:c>
      <ns0:c r="M294" s="4" t="n">
        <ns0:v>7</ns0:v>
      </ns0:c>
      <ns0:c r="N294" s="10">
        <ns0:f>DATE(YEAR(C294),MONTH(C294),1)</ns0:f>
        <ns0:v>46174.0</ns0:v>
      </ns0:c>
      <ns0:c r="O294" s="4" t="str">
        <ns0:f>TEXT(N294,"yyyy-mm")</ns0:f>
        <ns0:v>2026-06</ns0:v>
      </ns0:c>
    </ns0:row>
    <ns0:row r="295">
      <ns0:c r="A295" s="4" t="inlineStr">
        <ns0:is>
          <ns0:t>SES-0294</ns0:t>
        </ns0:is>
      </ns0:c>
      <ns0:c r="B295" s="4" t="inlineStr">
        <ns0:is>
          <ns0:t>SYN-115</ns0:t>
        </ns0:is>
      </ns0:c>
      <ns0:c r="C295" s="10" t="n">
        <ns0:v>46185</ns0:v>
      </ns0:c>
      <ns0:c r="D295" s="4" t="inlineStr">
        <ns0:is>
          <ns0:t>Synthetic Script 115</ns0:t>
        </ns0:is>
      </ns0:c>
      <ns0:c r="E295" s="4" t="inlineStr">
        <ns0:is>
          <ns0:t>推理</ns0:t>
        </ns0:is>
      </ns0:c>
      <ns0:c r="F295" s="4" t="n">
        <ns0:v>2</ns0:v>
      </ns0:c>
      <ns0:c r="G295" s="4" t="n">
        <ns0:v>8</ns0:v>
      </ns0:c>
      <ns0:c r="H295" s="9" t="n">
        <ns0:v>95</ns0:v>
      </ns0:c>
      <ns0:c r="I295" s="9">
        <ns0:f>G295*H295</ns0:f>
        <ns0:v>760</ns0:v>
      </ns0:c>
      <ns0:c r="J295" s="9">
        <ns0:f>INDEX(Script_List!$H$2:$H$161,MATCH(B295,Script_List!$A$2:$A$161,0))</ns0:f>
        <ns0:v>200</ns0:v>
      </ns0:c>
      <ns0:c r="K295" s="4" t="inlineStr">
        <ns0:is>
          <ns0:t>城限</ns0:t>
        </ns0:is>
      </ns0:c>
      <ns0:c r="L295" s="9">
        <ns0:f>I295-J295</ns0:f>
        <ns0:v>560</ns0:v>
      </ns0:c>
      <ns0:c r="M295" s="4" t="n">
        <ns0:v>7</ns0:v>
      </ns0:c>
      <ns0:c r="N295" s="10">
        <ns0:f>DATE(YEAR(C295),MONTH(C295),1)</ns0:f>
        <ns0:v>46174.0</ns0:v>
      </ns0:c>
      <ns0:c r="O295" s="4" t="str">
        <ns0:f>TEXT(N295,"yyyy-mm")</ns0:f>
        <ns0:v>2026-06</ns0:v>
      </ns0:c>
    </ns0:row>
    <ns0:row r="296">
      <ns0:c r="A296" s="4" t="inlineStr">
        <ns0:is>
          <ns0:t>SES-0295</ns0:t>
        </ns0:is>
      </ns0:c>
      <ns0:c r="B296" s="4" t="inlineStr">
        <ns0:is>
          <ns0:t>SYN-116</ns0:t>
        </ns0:is>
      </ns0:c>
      <ns0:c r="C296" s="10" t="n">
        <ns0:v>46186</ns0:v>
      </ns0:c>
      <ns0:c r="D296" s="4" t="inlineStr">
        <ns0:is>
          <ns0:t>Synthetic Script 116</ns0:t>
        </ns0:is>
      </ns0:c>
      <ns0:c r="E296" s="4" t="inlineStr">
        <ns0:is>
          <ns0:t>情感</ns0:t>
        </ns0:is>
      </ns0:c>
      <ns0:c r="F296" s="4" t="n">
        <ns0:v>2</ns0:v>
      </ns0:c>
      <ns0:c r="G296" s="4" t="n">
        <ns0:v>6</ns0:v>
      </ns0:c>
      <ns0:c r="H296" s="9" t="n">
        <ns0:v>138</ns0:v>
      </ns0:c>
      <ns0:c r="I296" s="9">
        <ns0:f>G296*H296</ns0:f>
        <ns0:v>828</ns0:v>
      </ns0:c>
      <ns0:c r="J296" s="9">
        <ns0:f>INDEX(Script_List!$H$2:$H$161,MATCH(B296,Script_List!$A$2:$A$161,0))</ns0:f>
        <ns0:v>180</ns0:v>
      </ns0:c>
      <ns0:c r="K296" s="4" t="inlineStr">
        <ns0:is>
          <ns0:t>盒装</ns0:t>
        </ns0:is>
      </ns0:c>
      <ns0:c r="L296" s="9">
        <ns0:f>I296-J296</ns0:f>
        <ns0:v>648</ns0:v>
      </ns0:c>
      <ns0:c r="M296" s="4" t="n">
        <ns0:v>7.7</ns0:v>
      </ns0:c>
      <ns0:c r="N296" s="10">
        <ns0:f>DATE(YEAR(C296),MONTH(C296),1)</ns0:f>
        <ns0:v>46174.0</ns0:v>
      </ns0:c>
      <ns0:c r="O296" s="4" t="str">
        <ns0:f>TEXT(N296,"yyyy-mm")</ns0:f>
        <ns0:v>2026-06</ns0:v>
      </ns0:c>
    </ns0:row>
    <ns0:row r="297">
      <ns0:c r="A297" s="4" t="inlineStr">
        <ns0:is>
          <ns0:t>SES-0296</ns0:t>
        </ns0:is>
      </ns0:c>
      <ns0:c r="B297" s="4" t="inlineStr">
        <ns0:is>
          <ns0:t>SYN-117</ns0:t>
        </ns0:is>
      </ns0:c>
      <ns0:c r="C297" s="10" t="n">
        <ns0:v>46187</ns0:v>
      </ns0:c>
      <ns0:c r="D297" s="4" t="inlineStr">
        <ns0:is>
          <ns0:t>Synthetic Script 117</ns0:t>
        </ns0:is>
      </ns0:c>
      <ns0:c r="E297" s="4" t="inlineStr">
        <ns0:is>
          <ns0:t>机制</ns0:t>
        </ns0:is>
      </ns0:c>
      <ns0:c r="F297" s="4" t="n">
        <ns0:v>1</ns0:v>
      </ns0:c>
      <ns0:c r="G297" s="4" t="n">
        <ns0:v>6</ns0:v>
      </ns0:c>
      <ns0:c r="H297" s="9" t="n">
        <ns0:v>109</ns0:v>
      </ns0:c>
      <ns0:c r="I297" s="9">
        <ns0:f>G297*H297</ns0:f>
        <ns0:v>654</ns0:v>
      </ns0:c>
      <ns0:c r="J297" s="9">
        <ns0:f>INDEX(Script_List!$H$2:$H$161,MATCH(B297,Script_List!$A$2:$A$161,0))</ns0:f>
        <ns0:v>172</ns0:v>
      </ns0:c>
      <ns0:c r="K297" s="4" t="inlineStr">
        <ns0:is>
          <ns0:t>城限</ns0:t>
        </ns0:is>
      </ns0:c>
      <ns0:c r="L297" s="9">
        <ns0:f>I297-J297</ns0:f>
        <ns0:v>482</ns0:v>
      </ns0:c>
      <ns0:c r="M297" s="4" t="n">
        <ns0:v>8.4</ns0:v>
      </ns0:c>
      <ns0:c r="N297" s="10">
        <ns0:f>DATE(YEAR(C297),MONTH(C297),1)</ns0:f>
        <ns0:v>46174.0</ns0:v>
      </ns0:c>
      <ns0:c r="O297" s="4" t="str">
        <ns0:f>TEXT(N297,"yyyy-mm")</ns0:f>
        <ns0:v>2026-06</ns0:v>
      </ns0:c>
    </ns0:row>
    <ns0:row r="298">
      <ns0:c r="A298" s="4" t="inlineStr">
        <ns0:is>
          <ns0:t>SES-0297</ns0:t>
        </ns0:is>
      </ns0:c>
      <ns0:c r="B298" s="4" t="inlineStr">
        <ns0:is>
          <ns0:t>SYN-117</ns0:t>
        </ns0:is>
      </ns0:c>
      <ns0:c r="C298" s="10" t="n">
        <ns0:v>46188</ns0:v>
      </ns0:c>
      <ns0:c r="D298" s="4" t="inlineStr">
        <ns0:is>
          <ns0:t>Synthetic Script 117</ns0:t>
        </ns0:is>
      </ns0:c>
      <ns0:c r="E298" s="4" t="inlineStr">
        <ns0:is>
          <ns0:t>机制</ns0:t>
        </ns0:is>
      </ns0:c>
      <ns0:c r="F298" s="4" t="n">
        <ns0:v>1</ns0:v>
      </ns0:c>
      <ns0:c r="G298" s="4" t="n">
        <ns0:v>6</ns0:v>
      </ns0:c>
      <ns0:c r="H298" s="9" t="n">
        <ns0:v>109</ns0:v>
      </ns0:c>
      <ns0:c r="I298" s="9">
        <ns0:f>G298*H298</ns0:f>
        <ns0:v>654</ns0:v>
      </ns0:c>
      <ns0:c r="J298" s="9">
        <ns0:f>INDEX(Script_List!$H$2:$H$161,MATCH(B298,Script_List!$A$2:$A$161,0))</ns0:f>
        <ns0:v>172</ns0:v>
      </ns0:c>
      <ns0:c r="K298" s="4" t="inlineStr">
        <ns0:is>
          <ns0:t>城限</ns0:t>
        </ns0:is>
      </ns0:c>
      <ns0:c r="L298" s="9">
        <ns0:f>I298-J298</ns0:f>
        <ns0:v>482</ns0:v>
      </ns0:c>
      <ns0:c r="M298" s="4" t="n">
        <ns0:v>8.4</ns0:v>
      </ns0:c>
      <ns0:c r="N298" s="10">
        <ns0:f>DATE(YEAR(C298),MONTH(C298),1)</ns0:f>
        <ns0:v>46174.0</ns0:v>
      </ns0:c>
      <ns0:c r="O298" s="4" t="str">
        <ns0:f>TEXT(N298,"yyyy-mm")</ns0:f>
        <ns0:v>2026-06</ns0:v>
      </ns0:c>
    </ns0:row>
    <ns0:row r="299">
      <ns0:c r="A299" s="4" t="inlineStr">
        <ns0:is>
          <ns0:t>SES-0298</ns0:t>
        </ns0:is>
      </ns0:c>
      <ns0:c r="B299" s="4" t="inlineStr">
        <ns0:is>
          <ns0:t>SYN-117</ns0:t>
        </ns0:is>
      </ns0:c>
      <ns0:c r="C299" s="10" t="n">
        <ns0:v>46189</ns0:v>
      </ns0:c>
      <ns0:c r="D299" s="4" t="inlineStr">
        <ns0:is>
          <ns0:t>Synthetic Script 117</ns0:t>
        </ns0:is>
      </ns0:c>
      <ns0:c r="E299" s="4" t="inlineStr">
        <ns0:is>
          <ns0:t>机制</ns0:t>
        </ns0:is>
      </ns0:c>
      <ns0:c r="F299" s="4" t="n">
        <ns0:v>1</ns0:v>
      </ns0:c>
      <ns0:c r="G299" s="4" t="n">
        <ns0:v>6</ns0:v>
      </ns0:c>
      <ns0:c r="H299" s="9" t="n">
        <ns0:v>109</ns0:v>
      </ns0:c>
      <ns0:c r="I299" s="9">
        <ns0:f>G299*H299</ns0:f>
        <ns0:v>654</ns0:v>
      </ns0:c>
      <ns0:c r="J299" s="9">
        <ns0:f>INDEX(Script_List!$H$2:$H$161,MATCH(B299,Script_List!$A$2:$A$161,0))</ns0:f>
        <ns0:v>172</ns0:v>
      </ns0:c>
      <ns0:c r="K299" s="4" t="inlineStr">
        <ns0:is>
          <ns0:t>城限</ns0:t>
        </ns0:is>
      </ns0:c>
      <ns0:c r="L299" s="9">
        <ns0:f>I299-J299</ns0:f>
        <ns0:v>482</ns0:v>
      </ns0:c>
      <ns0:c r="M299" s="4" t="n">
        <ns0:v>8.4</ns0:v>
      </ns0:c>
      <ns0:c r="N299" s="10">
        <ns0:f>DATE(YEAR(C299),MONTH(C299),1)</ns0:f>
        <ns0:v>46174.0</ns0:v>
      </ns0:c>
      <ns0:c r="O299" s="4" t="str">
        <ns0:f>TEXT(N299,"yyyy-mm")</ns0:f>
        <ns0:v>2026-06</ns0:v>
      </ns0:c>
    </ns0:row>
    <ns0:row r="300">
      <ns0:c r="A300" s="4" t="inlineStr">
        <ns0:is>
          <ns0:t>SES-0299</ns0:t>
        </ns0:is>
      </ns0:c>
      <ns0:c r="B300" s="4" t="inlineStr">
        <ns0:is>
          <ns0:t>SYN-118</ns0:t>
        </ns0:is>
      </ns0:c>
      <ns0:c r="C300" s="10" t="n">
        <ns0:v>46190</ns0:v>
      </ns0:c>
      <ns0:c r="D300" s="4" t="inlineStr">
        <ns0:is>
          <ns0:t>Synthetic Script 118</ns0:t>
        </ns0:is>
      </ns0:c>
      <ns0:c r="E300" s="4" t="inlineStr">
        <ns0:is>
          <ns0:t>推理</ns0:t>
        </ns0:is>
      </ns0:c>
      <ns0:c r="F300" s="4" t="n">
        <ns0:v>1</ns0:v>
      </ns0:c>
      <ns0:c r="G300" s="4" t="n">
        <ns0:v>6</ns0:v>
      </ns0:c>
      <ns0:c r="H300" s="9" t="n">
        <ns0:v>75</ns0:v>
      </ns0:c>
      <ns0:c r="I300" s="9">
        <ns0:f>G300*H300</ns0:f>
        <ns0:v>450</ns0:v>
      </ns0:c>
      <ns0:c r="J300" s="9">
        <ns0:f>INDEX(Script_List!$H$2:$H$161,MATCH(B300,Script_List!$A$2:$A$161,0))</ns0:f>
        <ns0:v>118</ns0:v>
      </ns0:c>
      <ns0:c r="K300" s="4" t="inlineStr">
        <ns0:is>
          <ns0:t>盒装</ns0:t>
        </ns0:is>
      </ns0:c>
      <ns0:c r="L300" s="9">
        <ns0:f>I300-J300</ns0:f>
        <ns0:v>332</ns0:v>
      </ns0:c>
      <ns0:c r="M300" s="4" t="n">
        <ns0:v>7</ns0:v>
      </ns0:c>
      <ns0:c r="N300" s="10">
        <ns0:f>DATE(YEAR(C300),MONTH(C300),1)</ns0:f>
        <ns0:v>46174.0</ns0:v>
      </ns0:c>
      <ns0:c r="O300" s="4" t="str">
        <ns0:f>TEXT(N300,"yyyy-mm")</ns0:f>
        <ns0:v>2026-06</ns0:v>
      </ns0:c>
    </ns0:row>
    <ns0:row r="301">
      <ns0:c r="A301" s="4" t="inlineStr">
        <ns0:is>
          <ns0:t>SES-0300</ns0:t>
        </ns0:is>
      </ns0:c>
      <ns0:c r="B301" s="4" t="inlineStr">
        <ns0:is>
          <ns0:t>SYN-118</ns0:t>
        </ns0:is>
      </ns0:c>
      <ns0:c r="C301" s="10" t="n">
        <ns0:v>46191</ns0:v>
      </ns0:c>
      <ns0:c r="D301" s="4" t="inlineStr">
        <ns0:is>
          <ns0:t>Synthetic Script 118</ns0:t>
        </ns0:is>
      </ns0:c>
      <ns0:c r="E301" s="4" t="inlineStr">
        <ns0:is>
          <ns0:t>推理</ns0:t>
        </ns0:is>
      </ns0:c>
      <ns0:c r="F301" s="4" t="n">
        <ns0:v>1</ns0:v>
      </ns0:c>
      <ns0:c r="G301" s="4" t="n">
        <ns0:v>6</ns0:v>
      </ns0:c>
      <ns0:c r="H301" s="9" t="n">
        <ns0:v>75</ns0:v>
      </ns0:c>
      <ns0:c r="I301" s="9">
        <ns0:f>G301*H301</ns0:f>
        <ns0:v>450</ns0:v>
      </ns0:c>
      <ns0:c r="J301" s="9">
        <ns0:f>INDEX(Script_List!$H$2:$H$161,MATCH(B301,Script_List!$A$2:$A$161,0))</ns0:f>
        <ns0:v>118</ns0:v>
      </ns0:c>
      <ns0:c r="K301" s="4" t="inlineStr">
        <ns0:is>
          <ns0:t>盒装</ns0:t>
        </ns0:is>
      </ns0:c>
      <ns0:c r="L301" s="9">
        <ns0:f>I301-J301</ns0:f>
        <ns0:v>332</ns0:v>
      </ns0:c>
      <ns0:c r="M301" s="4" t="n">
        <ns0:v>7</ns0:v>
      </ns0:c>
      <ns0:c r="N301" s="10">
        <ns0:f>DATE(YEAR(C301),MONTH(C301),1)</ns0:f>
        <ns0:v>46174.0</ns0:v>
      </ns0:c>
      <ns0:c r="O301" s="4" t="str">
        <ns0:f>TEXT(N301,"yyyy-mm")</ns0:f>
        <ns0:v>2026-06</ns0:v>
      </ns0:c>
    </ns0:row>
    <ns0:row r="302">
      <ns0:c r="A302" s="4" t="inlineStr">
        <ns0:is>
          <ns0:t>SES-0301</ns0:t>
        </ns0:is>
      </ns0:c>
      <ns0:c r="B302" s="4" t="inlineStr">
        <ns0:is>
          <ns0:t>SYN-118</ns0:t>
        </ns0:is>
      </ns0:c>
      <ns0:c r="C302" s="10" t="n">
        <ns0:v>46192</ns0:v>
      </ns0:c>
      <ns0:c r="D302" s="4" t="inlineStr">
        <ns0:is>
          <ns0:t>Synthetic Script 118</ns0:t>
        </ns0:is>
      </ns0:c>
      <ns0:c r="E302" s="4" t="inlineStr">
        <ns0:is>
          <ns0:t>推理</ns0:t>
        </ns0:is>
      </ns0:c>
      <ns0:c r="F302" s="4" t="n">
        <ns0:v>1</ns0:v>
      </ns0:c>
      <ns0:c r="G302" s="4" t="n">
        <ns0:v>6</ns0:v>
      </ns0:c>
      <ns0:c r="H302" s="9" t="n">
        <ns0:v>75</ns0:v>
      </ns0:c>
      <ns0:c r="I302" s="9">
        <ns0:f>G302*H302</ns0:f>
        <ns0:v>450</ns0:v>
      </ns0:c>
      <ns0:c r="J302" s="9">
        <ns0:f>INDEX(Script_List!$H$2:$H$161,MATCH(B302,Script_List!$A$2:$A$161,0))</ns0:f>
        <ns0:v>118</ns0:v>
      </ns0:c>
      <ns0:c r="K302" s="4" t="inlineStr">
        <ns0:is>
          <ns0:t>盒装</ns0:t>
        </ns0:is>
      </ns0:c>
      <ns0:c r="L302" s="9">
        <ns0:f>I302-J302</ns0:f>
        <ns0:v>332</ns0:v>
      </ns0:c>
      <ns0:c r="M302" s="4" t="n">
        <ns0:v>7</ns0:v>
      </ns0:c>
      <ns0:c r="N302" s="10">
        <ns0:f>DATE(YEAR(C302),MONTH(C302),1)</ns0:f>
        <ns0:v>46174.0</ns0:v>
      </ns0:c>
      <ns0:c r="O302" s="4" t="str">
        <ns0:f>TEXT(N302,"yyyy-mm")</ns0:f>
        <ns0:v>2026-06</ns0:v>
      </ns0:c>
    </ns0:row>
    <ns0:row r="303">
      <ns0:c r="A303" s="4" t="inlineStr">
        <ns0:is>
          <ns0:t>SES-0302</ns0:t>
        </ns0:is>
      </ns0:c>
      <ns0:c r="B303" s="4" t="inlineStr">
        <ns0:is>
          <ns0:t>SYN-118</ns0:t>
        </ns0:is>
      </ns0:c>
      <ns0:c r="C303" s="10" t="n">
        <ns0:v>46193</ns0:v>
      </ns0:c>
      <ns0:c r="D303" s="4" t="inlineStr">
        <ns0:is>
          <ns0:t>Synthetic Script 118</ns0:t>
        </ns0:is>
      </ns0:c>
      <ns0:c r="E303" s="4" t="inlineStr">
        <ns0:is>
          <ns0:t>推理</ns0:t>
        </ns0:is>
      </ns0:c>
      <ns0:c r="F303" s="4" t="n">
        <ns0:v>1</ns0:v>
      </ns0:c>
      <ns0:c r="G303" s="4" t="n">
        <ns0:v>6</ns0:v>
      </ns0:c>
      <ns0:c r="H303" s="9" t="n">
        <ns0:v>75</ns0:v>
      </ns0:c>
      <ns0:c r="I303" s="9">
        <ns0:f>G303*H303</ns0:f>
        <ns0:v>450</ns0:v>
      </ns0:c>
      <ns0:c r="J303" s="9">
        <ns0:f>INDEX(Script_List!$H$2:$H$161,MATCH(B303,Script_List!$A$2:$A$161,0))</ns0:f>
        <ns0:v>118</ns0:v>
      </ns0:c>
      <ns0:c r="K303" s="4" t="inlineStr">
        <ns0:is>
          <ns0:t>盒装</ns0:t>
        </ns0:is>
      </ns0:c>
      <ns0:c r="L303" s="9">
        <ns0:f>I303-J303</ns0:f>
        <ns0:v>332</ns0:v>
      </ns0:c>
      <ns0:c r="M303" s="4" t="n">
        <ns0:v>7</ns0:v>
      </ns0:c>
      <ns0:c r="N303" s="10">
        <ns0:f>DATE(YEAR(C303),MONTH(C303),1)</ns0:f>
        <ns0:v>46174.0</ns0:v>
      </ns0:c>
      <ns0:c r="O303" s="4" t="str">
        <ns0:f>TEXT(N303,"yyyy-mm")</ns0:f>
        <ns0:v>2026-06</ns0:v>
      </ns0:c>
    </ns0:row>
    <ns0:row r="304">
      <ns0:c r="A304" s="4" t="inlineStr">
        <ns0:is>
          <ns0:t>SES-0303</ns0:t>
        </ns0:is>
      </ns0:c>
      <ns0:c r="B304" s="4" t="inlineStr">
        <ns0:is>
          <ns0:t>SYN-118</ns0:t>
        </ns0:is>
      </ns0:c>
      <ns0:c r="C304" s="10" t="n">
        <ns0:v>46194</ns0:v>
      </ns0:c>
      <ns0:c r="D304" s="4" t="inlineStr">
        <ns0:is>
          <ns0:t>Synthetic Script 118</ns0:t>
        </ns0:is>
      </ns0:c>
      <ns0:c r="E304" s="4" t="inlineStr">
        <ns0:is>
          <ns0:t>推理</ns0:t>
        </ns0:is>
      </ns0:c>
      <ns0:c r="F304" s="4" t="n">
        <ns0:v>1</ns0:v>
      </ns0:c>
      <ns0:c r="G304" s="4" t="n">
        <ns0:v>6</ns0:v>
      </ns0:c>
      <ns0:c r="H304" s="9" t="n">
        <ns0:v>75</ns0:v>
      </ns0:c>
      <ns0:c r="I304" s="9">
        <ns0:f>G304*H304</ns0:f>
        <ns0:v>450</ns0:v>
      </ns0:c>
      <ns0:c r="J304" s="9">
        <ns0:f>INDEX(Script_List!$H$2:$H$161,MATCH(B304,Script_List!$A$2:$A$161,0))</ns0:f>
        <ns0:v>118</ns0:v>
      </ns0:c>
      <ns0:c r="K304" s="4" t="inlineStr">
        <ns0:is>
          <ns0:t>盒装</ns0:t>
        </ns0:is>
      </ns0:c>
      <ns0:c r="L304" s="9">
        <ns0:f>I304-J304</ns0:f>
        <ns0:v>332</ns0:v>
      </ns0:c>
      <ns0:c r="M304" s="4" t="n">
        <ns0:v>7</ns0:v>
      </ns0:c>
      <ns0:c r="N304" s="10">
        <ns0:f>DATE(YEAR(C304),MONTH(C304),1)</ns0:f>
        <ns0:v>46174.0</ns0:v>
      </ns0:c>
      <ns0:c r="O304" s="4" t="str">
        <ns0:f>TEXT(N304,"yyyy-mm")</ns0:f>
        <ns0:v>2026-06</ns0:v>
      </ns0:c>
    </ns0:row>
    <ns0:row r="305">
      <ns0:c r="A305" s="4" t="inlineStr">
        <ns0:is>
          <ns0:t>SES-0304</ns0:t>
        </ns0:is>
      </ns0:c>
      <ns0:c r="B305" s="4" t="inlineStr">
        <ns0:is>
          <ns0:t>SYN-118</ns0:t>
        </ns0:is>
      </ns0:c>
      <ns0:c r="C305" s="10" t="n">
        <ns0:v>46195</ns0:v>
      </ns0:c>
      <ns0:c r="D305" s="4" t="inlineStr">
        <ns0:is>
          <ns0:t>Synthetic Script 118</ns0:t>
        </ns0:is>
      </ns0:c>
      <ns0:c r="E305" s="4" t="inlineStr">
        <ns0:is>
          <ns0:t>推理</ns0:t>
        </ns0:is>
      </ns0:c>
      <ns0:c r="F305" s="4" t="n">
        <ns0:v>1</ns0:v>
      </ns0:c>
      <ns0:c r="G305" s="4" t="n">
        <ns0:v>6</ns0:v>
      </ns0:c>
      <ns0:c r="H305" s="9" t="n">
        <ns0:v>75</ns0:v>
      </ns0:c>
      <ns0:c r="I305" s="9">
        <ns0:f>G305*H305</ns0:f>
        <ns0:v>450</ns0:v>
      </ns0:c>
      <ns0:c r="J305" s="9">
        <ns0:f>INDEX(Script_List!$H$2:$H$161,MATCH(B305,Script_List!$A$2:$A$161,0))</ns0:f>
        <ns0:v>118</ns0:v>
      </ns0:c>
      <ns0:c r="K305" s="4" t="inlineStr">
        <ns0:is>
          <ns0:t>盒装</ns0:t>
        </ns0:is>
      </ns0:c>
      <ns0:c r="L305" s="9">
        <ns0:f>I305-J305</ns0:f>
        <ns0:v>332</ns0:v>
      </ns0:c>
      <ns0:c r="M305" s="4" t="n">
        <ns0:v>7</ns0:v>
      </ns0:c>
      <ns0:c r="N305" s="10">
        <ns0:f>DATE(YEAR(C305),MONTH(C305),1)</ns0:f>
        <ns0:v>46174.0</ns0:v>
      </ns0:c>
      <ns0:c r="O305" s="4" t="str">
        <ns0:f>TEXT(N305,"yyyy-mm")</ns0:f>
        <ns0:v>2026-06</ns0:v>
      </ns0:c>
    </ns0:row>
    <ns0:row r="306">
      <ns0:c r="A306" s="4" t="inlineStr">
        <ns0:is>
          <ns0:t>SES-0305</ns0:t>
        </ns0:is>
      </ns0:c>
      <ns0:c r="B306" s="4" t="inlineStr">
        <ns0:is>
          <ns0:t>SYN-118</ns0:t>
        </ns0:is>
      </ns0:c>
      <ns0:c r="C306" s="10" t="n">
        <ns0:v>46195</ns0:v>
      </ns0:c>
      <ns0:c r="D306" s="4" t="inlineStr">
        <ns0:is>
          <ns0:t>Synthetic Script 118</ns0:t>
        </ns0:is>
      </ns0:c>
      <ns0:c r="E306" s="4" t="inlineStr">
        <ns0:is>
          <ns0:t>推理</ns0:t>
        </ns0:is>
      </ns0:c>
      <ns0:c r="F306" s="4" t="n">
        <ns0:v>1</ns0:v>
      </ns0:c>
      <ns0:c r="G306" s="4" t="n">
        <ns0:v>6</ns0:v>
      </ns0:c>
      <ns0:c r="H306" s="9" t="n">
        <ns0:v>75</ns0:v>
      </ns0:c>
      <ns0:c r="I306" s="9">
        <ns0:f>G306*H306</ns0:f>
        <ns0:v>450</ns0:v>
      </ns0:c>
      <ns0:c r="J306" s="9">
        <ns0:f>INDEX(Script_List!$H$2:$H$161,MATCH(B306,Script_List!$A$2:$A$161,0))</ns0:f>
        <ns0:v>118</ns0:v>
      </ns0:c>
      <ns0:c r="K306" s="4" t="inlineStr">
        <ns0:is>
          <ns0:t>盒装</ns0:t>
        </ns0:is>
      </ns0:c>
      <ns0:c r="L306" s="9">
        <ns0:f>I306-J306</ns0:f>
        <ns0:v>332</ns0:v>
      </ns0:c>
      <ns0:c r="M306" s="4" t="n">
        <ns0:v>7</ns0:v>
      </ns0:c>
      <ns0:c r="N306" s="10">
        <ns0:f>DATE(YEAR(C306),MONTH(C306),1)</ns0:f>
        <ns0:v>46174.0</ns0:v>
      </ns0:c>
      <ns0:c r="O306" s="4" t="str">
        <ns0:f>TEXT(N306,"yyyy-mm")</ns0:f>
        <ns0:v>2026-06</ns0:v>
      </ns0:c>
    </ns0:row>
    <ns0:row r="307">
      <ns0:c r="A307" s="4" t="inlineStr">
        <ns0:is>
          <ns0:t>SES-0306</ns0:t>
        </ns0:is>
      </ns0:c>
      <ns0:c r="B307" s="4" t="inlineStr">
        <ns0:is>
          <ns0:t>SYN-118</ns0:t>
        </ns0:is>
      </ns0:c>
      <ns0:c r="C307" s="10" t="n">
        <ns0:v>46196</ns0:v>
      </ns0:c>
      <ns0:c r="D307" s="4" t="inlineStr">
        <ns0:is>
          <ns0:t>Synthetic Script 118</ns0:t>
        </ns0:is>
      </ns0:c>
      <ns0:c r="E307" s="4" t="inlineStr">
        <ns0:is>
          <ns0:t>推理</ns0:t>
        </ns0:is>
      </ns0:c>
      <ns0:c r="F307" s="4" t="n">
        <ns0:v>1</ns0:v>
      </ns0:c>
      <ns0:c r="G307" s="4" t="n">
        <ns0:v>6</ns0:v>
      </ns0:c>
      <ns0:c r="H307" s="9" t="n">
        <ns0:v>75</ns0:v>
      </ns0:c>
      <ns0:c r="I307" s="9">
        <ns0:f>G307*H307</ns0:f>
        <ns0:v>450</ns0:v>
      </ns0:c>
      <ns0:c r="J307" s="9">
        <ns0:f>INDEX(Script_List!$H$2:$H$161,MATCH(B307,Script_List!$A$2:$A$161,0))</ns0:f>
        <ns0:v>118</ns0:v>
      </ns0:c>
      <ns0:c r="K307" s="4" t="inlineStr">
        <ns0:is>
          <ns0:t>盒装</ns0:t>
        </ns0:is>
      </ns0:c>
      <ns0:c r="L307" s="9">
        <ns0:f>I307-J307</ns0:f>
        <ns0:v>332</ns0:v>
      </ns0:c>
      <ns0:c r="M307" s="4" t="n">
        <ns0:v>7</ns0:v>
      </ns0:c>
      <ns0:c r="N307" s="10">
        <ns0:f>DATE(YEAR(C307),MONTH(C307),1)</ns0:f>
        <ns0:v>46174.0</ns0:v>
      </ns0:c>
      <ns0:c r="O307" s="4" t="str">
        <ns0:f>TEXT(N307,"yyyy-mm")</ns0:f>
        <ns0:v>2026-06</ns0:v>
      </ns0:c>
    </ns0:row>
    <ns0:row r="308">
      <ns0:c r="A308" s="4" t="inlineStr">
        <ns0:is>
          <ns0:t>SES-0307</ns0:t>
        </ns0:is>
      </ns0:c>
      <ns0:c r="B308" s="4" t="inlineStr">
        <ns0:is>
          <ns0:t>SYN-118</ns0:t>
        </ns0:is>
      </ns0:c>
      <ns0:c r="C308" s="10" t="n">
        <ns0:v>46197</ns0:v>
      </ns0:c>
      <ns0:c r="D308" s="4" t="inlineStr">
        <ns0:is>
          <ns0:t>Synthetic Script 118</ns0:t>
        </ns0:is>
      </ns0:c>
      <ns0:c r="E308" s="4" t="inlineStr">
        <ns0:is>
          <ns0:t>推理</ns0:t>
        </ns0:is>
      </ns0:c>
      <ns0:c r="F308" s="4" t="n">
        <ns0:v>1</ns0:v>
      </ns0:c>
      <ns0:c r="G308" s="4" t="n">
        <ns0:v>6</ns0:v>
      </ns0:c>
      <ns0:c r="H308" s="9" t="n">
        <ns0:v>75</ns0:v>
      </ns0:c>
      <ns0:c r="I308" s="9">
        <ns0:f>G308*H308</ns0:f>
        <ns0:v>450</ns0:v>
      </ns0:c>
      <ns0:c r="J308" s="9">
        <ns0:f>INDEX(Script_List!$H$2:$H$161,MATCH(B308,Script_List!$A$2:$A$161,0))</ns0:f>
        <ns0:v>118</ns0:v>
      </ns0:c>
      <ns0:c r="K308" s="4" t="inlineStr">
        <ns0:is>
          <ns0:t>盒装</ns0:t>
        </ns0:is>
      </ns0:c>
      <ns0:c r="L308" s="9">
        <ns0:f>I308-J308</ns0:f>
        <ns0:v>332</ns0:v>
      </ns0:c>
      <ns0:c r="M308" s="4" t="n">
        <ns0:v>7</ns0:v>
      </ns0:c>
      <ns0:c r="N308" s="10">
        <ns0:f>DATE(YEAR(C308),MONTH(C308),1)</ns0:f>
        <ns0:v>46174.0</ns0:v>
      </ns0:c>
      <ns0:c r="O308" s="4" t="str">
        <ns0:f>TEXT(N308,"yyyy-mm")</ns0:f>
        <ns0:v>2026-06</ns0:v>
      </ns0:c>
    </ns0:row>
    <ns0:row r="309">
      <ns0:c r="A309" s="4" t="inlineStr">
        <ns0:is>
          <ns0:t>SES-0308</ns0:t>
        </ns0:is>
      </ns0:c>
      <ns0:c r="B309" s="4" t="inlineStr">
        <ns0:is>
          <ns0:t>SYN-118</ns0:t>
        </ns0:is>
      </ns0:c>
      <ns0:c r="C309" s="10" t="n">
        <ns0:v>46198</ns0:v>
      </ns0:c>
      <ns0:c r="D309" s="4" t="inlineStr">
        <ns0:is>
          <ns0:t>Synthetic Script 118</ns0:t>
        </ns0:is>
      </ns0:c>
      <ns0:c r="E309" s="4" t="inlineStr">
        <ns0:is>
          <ns0:t>推理</ns0:t>
        </ns0:is>
      </ns0:c>
      <ns0:c r="F309" s="4" t="n">
        <ns0:v>1</ns0:v>
      </ns0:c>
      <ns0:c r="G309" s="4" t="n">
        <ns0:v>6</ns0:v>
      </ns0:c>
      <ns0:c r="H309" s="9" t="n">
        <ns0:v>75</ns0:v>
      </ns0:c>
      <ns0:c r="I309" s="9">
        <ns0:f>G309*H309</ns0:f>
        <ns0:v>450</ns0:v>
      </ns0:c>
      <ns0:c r="J309" s="9">
        <ns0:f>INDEX(Script_List!$H$2:$H$161,MATCH(B309,Script_List!$A$2:$A$161,0))</ns0:f>
        <ns0:v>118</ns0:v>
      </ns0:c>
      <ns0:c r="K309" s="4" t="inlineStr">
        <ns0:is>
          <ns0:t>盒装</ns0:t>
        </ns0:is>
      </ns0:c>
      <ns0:c r="L309" s="9">
        <ns0:f>I309-J309</ns0:f>
        <ns0:v>332</ns0:v>
      </ns0:c>
      <ns0:c r="M309" s="4" t="n">
        <ns0:v>7</ns0:v>
      </ns0:c>
      <ns0:c r="N309" s="10">
        <ns0:f>DATE(YEAR(C309),MONTH(C309),1)</ns0:f>
        <ns0:v>46174.0</ns0:v>
      </ns0:c>
      <ns0:c r="O309" s="4" t="str">
        <ns0:f>TEXT(N309,"yyyy-mm")</ns0:f>
        <ns0:v>2026-06</ns0:v>
      </ns0:c>
    </ns0:row>
    <ns0:row r="310">
      <ns0:c r="A310" s="4" t="inlineStr">
        <ns0:is>
          <ns0:t>SES-0309</ns0:t>
        </ns0:is>
      </ns0:c>
      <ns0:c r="B310" s="4" t="inlineStr">
        <ns0:is>
          <ns0:t>SYN-119</ns0:t>
        </ns0:is>
      </ns0:c>
      <ns0:c r="C310" s="10" t="n">
        <ns0:v>46199</ns0:v>
      </ns0:c>
      <ns0:c r="D310" s="4" t="inlineStr">
        <ns0:is>
          <ns0:t>Synthetic Script 119</ns0:t>
        </ns0:is>
      </ns0:c>
      <ns0:c r="E310" s="4" t="inlineStr">
        <ns0:is>
          <ns0:t>欢乐</ns0:t>
        </ns0:is>
      </ns0:c>
      <ns0:c r="F310" s="4" t="n">
        <ns0:v>3</ns0:v>
      </ns0:c>
      <ns0:c r="G310" s="4" t="n">
        <ns0:v>7</ns0:v>
      </ns0:c>
      <ns0:c r="H310" s="9" t="n">
        <ns0:v>118</ns0:v>
      </ns0:c>
      <ns0:c r="I310" s="9">
        <ns0:f>G310*H310</ns0:f>
        <ns0:v>826</ns0:v>
      </ns0:c>
      <ns0:c r="J310" s="9">
        <ns0:f>INDEX(Script_List!$H$2:$H$161,MATCH(B310,Script_List!$A$2:$A$161,0))</ns0:f>
        <ns0:v>217</ns0:v>
      </ns0:c>
      <ns0:c r="K310" s="4" t="inlineStr">
        <ns0:is>
          <ns0:t>独家</ns0:t>
        </ns0:is>
      </ns0:c>
      <ns0:c r="L310" s="9">
        <ns0:f>I310-J310</ns0:f>
        <ns0:v>609</ns0:v>
      </ns0:c>
      <ns0:c r="M310" s="4" t="n">
        <ns0:v>7.7</ns0:v>
      </ns0:c>
      <ns0:c r="N310" s="10">
        <ns0:f>DATE(YEAR(C310),MONTH(C310),1)</ns0:f>
        <ns0:v>46174.0</ns0:v>
      </ns0:c>
      <ns0:c r="O310" s="4" t="str">
        <ns0:f>TEXT(N310,"yyyy-mm")</ns0:f>
        <ns0:v>2026-06</ns0:v>
      </ns0:c>
    </ns0:row>
    <ns0:row r="311">
      <ns0:c r="A311" s="4" t="inlineStr">
        <ns0:is>
          <ns0:t>SES-0310</ns0:t>
        </ns0:is>
      </ns0:c>
      <ns0:c r="B311" s="4" t="inlineStr">
        <ns0:is>
          <ns0:t>SYN-120</ns0:t>
        </ns0:is>
      </ns0:c>
      <ns0:c r="C311" s="10" t="n">
        <ns0:v>46200</ns0:v>
      </ns0:c>
      <ns0:c r="D311" s="4" t="inlineStr">
        <ns0:is>
          <ns0:t>Synthetic Script 120</ns0:t>
        </ns0:is>
      </ns0:c>
      <ns0:c r="E311" s="4" t="inlineStr">
        <ns0:is>
          <ns0:t>情感</ns0:t>
        </ns0:is>
      </ns0:c>
      <ns0:c r="F311" s="4" t="n">
        <ns0:v>6</ns0:v>
      </ns0:c>
      <ns0:c r="G311" s="4" t="n">
        <ns0:v>8</ns0:v>
      </ns0:c>
      <ns0:c r="H311" s="9" t="n">
        <ns0:v>138</ns0:v>
      </ns0:c>
      <ns0:c r="I311" s="9">
        <ns0:f>G311*H311</ns0:f>
        <ns0:v>1104</ns0:v>
      </ns0:c>
      <ns0:c r="J311" s="9">
        <ns0:f>INDEX(Script_List!$H$2:$H$161,MATCH(B311,Script_List!$A$2:$A$161,0))</ns0:f>
        <ns0:v>540</ns0:v>
      </ns0:c>
      <ns0:c r="K311" s="4" t="inlineStr">
        <ns0:is>
          <ns0:t>盒装</ns0:t>
        </ns0:is>
      </ns0:c>
      <ns0:c r="L311" s="9">
        <ns0:f>I311-J311</ns0:f>
        <ns0:v>564</ns0:v>
      </ns0:c>
      <ns0:c r="M311" s="4" t="n">
        <ns0:v>8.4</ns0:v>
      </ns0:c>
      <ns0:c r="N311" s="10">
        <ns0:f>DATE(YEAR(C311),MONTH(C311),1)</ns0:f>
        <ns0:v>46174.0</ns0:v>
      </ns0:c>
      <ns0:c r="O311" s="4" t="str">
        <ns0:f>TEXT(N311,"yyyy-mm")</ns0:f>
        <ns0:v>2026-06</ns0:v>
      </ns0:c>
    </ns0:row>
    <ns0:row r="312">
      <ns0:c r="A312" s="4" t="inlineStr">
        <ns0:is>
          <ns0:t>SES-0311</ns0:t>
        </ns0:is>
      </ns0:c>
      <ns0:c r="B312" s="4" t="inlineStr">
        <ns0:is>
          <ns0:t>SYN-120</ns0:t>
        </ns0:is>
      </ns0:c>
      <ns0:c r="C312" s="10" t="n">
        <ns0:v>46201</ns0:v>
      </ns0:c>
      <ns0:c r="D312" s="4" t="inlineStr">
        <ns0:is>
          <ns0:t>Synthetic Script 120</ns0:t>
        </ns0:is>
      </ns0:c>
      <ns0:c r="E312" s="4" t="inlineStr">
        <ns0:is>
          <ns0:t>情感</ns0:t>
        </ns0:is>
      </ns0:c>
      <ns0:c r="F312" s="4" t="n">
        <ns0:v>6</ns0:v>
      </ns0:c>
      <ns0:c r="G312" s="4" t="n">
        <ns0:v>8</ns0:v>
      </ns0:c>
      <ns0:c r="H312" s="9" t="n">
        <ns0:v>138</ns0:v>
      </ns0:c>
      <ns0:c r="I312" s="9">
        <ns0:f>G312*H312</ns0:f>
        <ns0:v>1104</ns0:v>
      </ns0:c>
      <ns0:c r="J312" s="9">
        <ns0:f>INDEX(Script_List!$H$2:$H$161,MATCH(B312,Script_List!$A$2:$A$161,0))</ns0:f>
        <ns0:v>540</ns0:v>
      </ns0:c>
      <ns0:c r="K312" s="4" t="inlineStr">
        <ns0:is>
          <ns0:t>盒装</ns0:t>
        </ns0:is>
      </ns0:c>
      <ns0:c r="L312" s="9">
        <ns0:f>I312-J312</ns0:f>
        <ns0:v>564</ns0:v>
      </ns0:c>
      <ns0:c r="M312" s="4" t="n">
        <ns0:v>8.4</ns0:v>
      </ns0:c>
      <ns0:c r="N312" s="10">
        <ns0:f>DATE(YEAR(C312),MONTH(C312),1)</ns0:f>
        <ns0:v>46174.0</ns0:v>
      </ns0:c>
      <ns0:c r="O312" s="4" t="str">
        <ns0:f>TEXT(N312,"yyyy-mm")</ns0:f>
        <ns0:v>2026-06</ns0:v>
      </ns0:c>
    </ns0:row>
    <ns0:row r="313">
      <ns0:c r="A313" s="4" t="inlineStr">
        <ns0:is>
          <ns0:t>SES-0312</ns0:t>
        </ns0:is>
      </ns0:c>
      <ns0:c r="B313" s="4" t="inlineStr">
        <ns0:is>
          <ns0:t>SYN-120</ns0:t>
        </ns0:is>
      </ns0:c>
      <ns0:c r="C313" s="10" t="n">
        <ns0:v>46202</ns0:v>
      </ns0:c>
      <ns0:c r="D313" s="4" t="inlineStr">
        <ns0:is>
          <ns0:t>Synthetic Script 120</ns0:t>
        </ns0:is>
      </ns0:c>
      <ns0:c r="E313" s="4" t="inlineStr">
        <ns0:is>
          <ns0:t>情感</ns0:t>
        </ns0:is>
      </ns0:c>
      <ns0:c r="F313" s="4" t="n">
        <ns0:v>6</ns0:v>
      </ns0:c>
      <ns0:c r="G313" s="4" t="n">
        <ns0:v>8</ns0:v>
      </ns0:c>
      <ns0:c r="H313" s="9" t="n">
        <ns0:v>138</ns0:v>
      </ns0:c>
      <ns0:c r="I313" s="9">
        <ns0:f>G313*H313</ns0:f>
        <ns0:v>1104</ns0:v>
      </ns0:c>
      <ns0:c r="J313" s="9">
        <ns0:f>INDEX(Script_List!$H$2:$H$161,MATCH(B313,Script_List!$A$2:$A$161,0))</ns0:f>
        <ns0:v>540</ns0:v>
      </ns0:c>
      <ns0:c r="K313" s="4" t="inlineStr">
        <ns0:is>
          <ns0:t>盒装</ns0:t>
        </ns0:is>
      </ns0:c>
      <ns0:c r="L313" s="9">
        <ns0:f>I313-J313</ns0:f>
        <ns0:v>564</ns0:v>
      </ns0:c>
      <ns0:c r="M313" s="4" t="n">
        <ns0:v>8.4</ns0:v>
      </ns0:c>
      <ns0:c r="N313" s="10">
        <ns0:f>DATE(YEAR(C313),MONTH(C313),1)</ns0:f>
        <ns0:v>46174.0</ns0:v>
      </ns0:c>
      <ns0:c r="O313" s="4" t="str">
        <ns0:f>TEXT(N313,"yyyy-mm")</ns0:f>
        <ns0:v>2026-06</ns0:v>
      </ns0:c>
    </ns0:row>
    <ns0:row r="314">
      <ns0:c r="A314" s="4" t="inlineStr">
        <ns0:is>
          <ns0:t>SES-0313</ns0:t>
        </ns0:is>
      </ns0:c>
      <ns0:c r="B314" s="4" t="inlineStr">
        <ns0:is>
          <ns0:t>SYN-122</ns0:t>
        </ns0:is>
      </ns0:c>
      <ns0:c r="C314" s="10" t="n">
        <ns0:v>46203</ns0:v>
      </ns0:c>
      <ns0:c r="D314" s="4" t="inlineStr">
        <ns0:is>
          <ns0:t>Synthetic Script 122</ns0:t>
        </ns0:is>
      </ns0:c>
      <ns0:c r="E314" s="4" t="inlineStr">
        <ns0:is>
          <ns0:t>推理</ns0:t>
        </ns0:is>
      </ns0:c>
      <ns0:c r="F314" s="4" t="n">
        <ns0:v>1</ns0:v>
      </ns0:c>
      <ns0:c r="G314" s="4" t="n">
        <ns0:v>6</ns0:v>
      </ns0:c>
      <ns0:c r="H314" s="9" t="n">
        <ns0:v>75</ns0:v>
      </ns0:c>
      <ns0:c r="I314" s="9">
        <ns0:f>G314*H314</ns0:f>
        <ns0:v>450</ns0:v>
      </ns0:c>
      <ns0:c r="J314" s="9">
        <ns0:f>INDEX(Script_List!$H$2:$H$161,MATCH(B314,Script_List!$A$2:$A$161,0))</ns0:f>
        <ns0:v>118</ns0:v>
      </ns0:c>
      <ns0:c r="K314" s="4" t="inlineStr">
        <ns0:is>
          <ns0:t>城限</ns0:t>
        </ns0:is>
      </ns0:c>
      <ns0:c r="L314" s="9">
        <ns0:f>I314-J314</ns0:f>
        <ns0:v>332</ns0:v>
      </ns0:c>
      <ns0:c r="M314" s="4" t="n">
        <ns0:v>7.7</ns0:v>
      </ns0:c>
      <ns0:c r="N314" s="10">
        <ns0:f>DATE(YEAR(C314),MONTH(C314),1)</ns0:f>
        <ns0:v>46174.0</ns0:v>
      </ns0:c>
      <ns0:c r="O314" s="4" t="str">
        <ns0:f>TEXT(N314,"yyyy-mm")</ns0:f>
        <ns0:v>2026-06</ns0:v>
      </ns0:c>
    </ns0:row>
    <ns0:row r="315">
      <ns0:c r="A315" s="4" t="inlineStr">
        <ns0:is>
          <ns0:t>SES-0314</ns0:t>
        </ns0:is>
      </ns0:c>
      <ns0:c r="B315" s="4" t="inlineStr">
        <ns0:is>
          <ns0:t>SYN-123</ns0:t>
        </ns0:is>
      </ns0:c>
      <ns0:c r="C315" s="10" t="n">
        <ns0:v>46204</ns0:v>
      </ns0:c>
      <ns0:c r="D315" s="4" t="inlineStr">
        <ns0:is>
          <ns0:t>Synthetic Script 123</ns0:t>
        </ns0:is>
      </ns0:c>
      <ns0:c r="E315" s="4" t="inlineStr">
        <ns0:is>
          <ns0:t>情感</ns0:t>
        </ns0:is>
      </ns0:c>
      <ns0:c r="F315" s="4" t="n">
        <ns0:v>3</ns0:v>
      </ns0:c>
      <ns0:c r="G315" s="4" t="n">
        <ns0:v>6</ns0:v>
      </ns0:c>
      <ns0:c r="H315" s="9" t="n">
        <ns0:v>118</ns0:v>
      </ns0:c>
      <ns0:c r="I315" s="9">
        <ns0:f>G315*H315</ns0:f>
        <ns0:v>708</ns0:v>
      </ns0:c>
      <ns0:c r="J315" s="9">
        <ns0:f>INDEX(Script_List!$H$2:$H$161,MATCH(B315,Script_List!$A$2:$A$161,0))</ns0:f>
        <ns0:v>270</ns0:v>
      </ns0:c>
      <ns0:c r="K315" s="4" t="inlineStr">
        <ns0:is>
          <ns0:t>盒装</ns0:t>
        </ns0:is>
      </ns0:c>
      <ns0:c r="L315" s="9">
        <ns0:f>I315-J315</ns0:f>
        <ns0:v>438</ns0:v>
      </ns0:c>
      <ns0:c r="M315" s="4" t="n">
        <ns0:v>8.4</ns0:v>
      </ns0:c>
      <ns0:c r="N315" s="10">
        <ns0:f>DATE(YEAR(C315),MONTH(C315),1)</ns0:f>
        <ns0:v>46204.0</ns0:v>
      </ns0:c>
      <ns0:c r="O315" s="4" t="str">
        <ns0:f>TEXT(N315,"yyyy-mm")</ns0:f>
        <ns0:v>2026-07</ns0:v>
      </ns0:c>
    </ns0:row>
    <ns0:row r="316">
      <ns0:c r="A316" s="4" t="inlineStr">
        <ns0:is>
          <ns0:t>SES-0315</ns0:t>
        </ns0:is>
      </ns0:c>
      <ns0:c r="B316" s="4" t="inlineStr">
        <ns0:is>
          <ns0:t>SYN-123</ns0:t>
        </ns0:is>
      </ns0:c>
      <ns0:c r="C316" s="10" t="n">
        <ns0:v>46205</ns0:v>
      </ns0:c>
      <ns0:c r="D316" s="4" t="inlineStr">
        <ns0:is>
          <ns0:t>Synthetic Script 123</ns0:t>
        </ns0:is>
      </ns0:c>
      <ns0:c r="E316" s="4" t="inlineStr">
        <ns0:is>
          <ns0:t>情感</ns0:t>
        </ns0:is>
      </ns0:c>
      <ns0:c r="F316" s="4" t="n">
        <ns0:v>3</ns0:v>
      </ns0:c>
      <ns0:c r="G316" s="4" t="n">
        <ns0:v>6</ns0:v>
      </ns0:c>
      <ns0:c r="H316" s="9" t="n">
        <ns0:v>118</ns0:v>
      </ns0:c>
      <ns0:c r="I316" s="9">
        <ns0:f>G316*H316</ns0:f>
        <ns0:v>708</ns0:v>
      </ns0:c>
      <ns0:c r="J316" s="9">
        <ns0:f>INDEX(Script_List!$H$2:$H$161,MATCH(B316,Script_List!$A$2:$A$161,0))</ns0:f>
        <ns0:v>270</ns0:v>
      </ns0:c>
      <ns0:c r="K316" s="4" t="inlineStr">
        <ns0:is>
          <ns0:t>盒装</ns0:t>
        </ns0:is>
      </ns0:c>
      <ns0:c r="L316" s="9">
        <ns0:f>I316-J316</ns0:f>
        <ns0:v>438</ns0:v>
      </ns0:c>
      <ns0:c r="M316" s="4" t="n">
        <ns0:v>8.4</ns0:v>
      </ns0:c>
      <ns0:c r="N316" s="10">
        <ns0:f>DATE(YEAR(C316),MONTH(C316),1)</ns0:f>
        <ns0:v>46204.0</ns0:v>
      </ns0:c>
      <ns0:c r="O316" s="4" t="str">
        <ns0:f>TEXT(N316,"yyyy-mm")</ns0:f>
        <ns0:v>2026-07</ns0:v>
      </ns0:c>
    </ns0:row>
    <ns0:row r="317">
      <ns0:c r="A317" s="4" t="inlineStr">
        <ns0:is>
          <ns0:t>SES-0316</ns0:t>
        </ns0:is>
      </ns0:c>
      <ns0:c r="B317" s="4" t="inlineStr">
        <ns0:is>
          <ns0:t>SYN-123</ns0:t>
        </ns0:is>
      </ns0:c>
      <ns0:c r="C317" s="10" t="n">
        <ns0:v>46206</ns0:v>
      </ns0:c>
      <ns0:c r="D317" s="4" t="inlineStr">
        <ns0:is>
          <ns0:t>Synthetic Script 123</ns0:t>
        </ns0:is>
      </ns0:c>
      <ns0:c r="E317" s="4" t="inlineStr">
        <ns0:is>
          <ns0:t>情感</ns0:t>
        </ns0:is>
      </ns0:c>
      <ns0:c r="F317" s="4" t="n">
        <ns0:v>3</ns0:v>
      </ns0:c>
      <ns0:c r="G317" s="4" t="n">
        <ns0:v>6</ns0:v>
      </ns0:c>
      <ns0:c r="H317" s="9" t="n">
        <ns0:v>118</ns0:v>
      </ns0:c>
      <ns0:c r="I317" s="9">
        <ns0:f>G317*H317</ns0:f>
        <ns0:v>708</ns0:v>
      </ns0:c>
      <ns0:c r="J317" s="9">
        <ns0:f>INDEX(Script_List!$H$2:$H$161,MATCH(B317,Script_List!$A$2:$A$161,0))</ns0:f>
        <ns0:v>270</ns0:v>
      </ns0:c>
      <ns0:c r="K317" s="4" t="inlineStr">
        <ns0:is>
          <ns0:t>盒装</ns0:t>
        </ns0:is>
      </ns0:c>
      <ns0:c r="L317" s="9">
        <ns0:f>I317-J317</ns0:f>
        <ns0:v>438</ns0:v>
      </ns0:c>
      <ns0:c r="M317" s="4" t="n">
        <ns0:v>8.4</ns0:v>
      </ns0:c>
      <ns0:c r="N317" s="10">
        <ns0:f>DATE(YEAR(C317),MONTH(C317),1)</ns0:f>
        <ns0:v>46204.0</ns0:v>
      </ns0:c>
      <ns0:c r="O317" s="4" t="str">
        <ns0:f>TEXT(N317,"yyyy-mm")</ns0:f>
        <ns0:v>2026-07</ns0:v>
      </ns0:c>
    </ns0:row>
    <ns0:row r="318">
      <ns0:c r="A318" s="4" t="inlineStr">
        <ns0:is>
          <ns0:t>SES-0317</ns0:t>
        </ns0:is>
      </ns0:c>
      <ns0:c r="B318" s="4" t="inlineStr">
        <ns0:is>
          <ns0:t>SYN-125</ns0:t>
        </ns0:is>
      </ns0:c>
      <ns0:c r="C318" s="10" t="n">
        <ns0:v>46207</ns0:v>
      </ns0:c>
      <ns0:c r="D318" s="4" t="inlineStr">
        <ns0:is>
          <ns0:t>Synthetic Script 125</ns0:t>
        </ns0:is>
      </ns0:c>
      <ns0:c r="E318" s="4" t="inlineStr">
        <ns0:is>
          <ns0:t>推理</ns0:t>
        </ns0:is>
      </ns0:c>
      <ns0:c r="F318" s="4" t="n">
        <ns0:v>2</ns0:v>
      </ns0:c>
      <ns0:c r="G318" s="4" t="n">
        <ns0:v>8</ns0:v>
      </ns0:c>
      <ns0:c r="H318" s="9" t="n">
        <ns0:v>65</ns0:v>
      </ns0:c>
      <ns0:c r="I318" s="9">
        <ns0:f>G318*H318</ns0:f>
        <ns0:v>520</ns0:v>
      </ns0:c>
      <ns0:c r="J318" s="9">
        <ns0:f>INDEX(Script_List!$H$2:$H$161,MATCH(B318,Script_List!$A$2:$A$161,0))</ns0:f>
        <ns0:v>137</ns0:v>
      </ns0:c>
      <ns0:c r="K318" s="4" t="inlineStr">
        <ns0:is>
          <ns0:t>城限</ns0:t>
        </ns0:is>
      </ns0:c>
      <ns0:c r="L318" s="9">
        <ns0:f>I318-J318</ns0:f>
        <ns0:v>383</ns0:v>
      </ns0:c>
      <ns0:c r="M318" s="4" t="n">
        <ns0:v>7.7</ns0:v>
      </ns0:c>
      <ns0:c r="N318" s="10">
        <ns0:f>DATE(YEAR(C318),MONTH(C318),1)</ns0:f>
        <ns0:v>46204.0</ns0:v>
      </ns0:c>
      <ns0:c r="O318" s="4" t="str">
        <ns0:f>TEXT(N318,"yyyy-mm")</ns0:f>
        <ns0:v>2026-07</ns0:v>
      </ns0:c>
    </ns0:row>
    <ns0:row r="319">
      <ns0:c r="A319" s="4" t="inlineStr">
        <ns0:is>
          <ns0:t>SES-0318</ns0:t>
        </ns0:is>
      </ns0:c>
      <ns0:c r="B319" s="4" t="inlineStr">
        <ns0:is>
          <ns0:t>SYN-125</ns0:t>
        </ns0:is>
      </ns0:c>
      <ns0:c r="C319" s="10" t="n">
        <ns0:v>46208</ns0:v>
      </ns0:c>
      <ns0:c r="D319" s="4" t="inlineStr">
        <ns0:is>
          <ns0:t>Synthetic Script 125</ns0:t>
        </ns0:is>
      </ns0:c>
      <ns0:c r="E319" s="4" t="inlineStr">
        <ns0:is>
          <ns0:t>推理</ns0:t>
        </ns0:is>
      </ns0:c>
      <ns0:c r="F319" s="4" t="n">
        <ns0:v>2</ns0:v>
      </ns0:c>
      <ns0:c r="G319" s="4" t="n">
        <ns0:v>8</ns0:v>
      </ns0:c>
      <ns0:c r="H319" s="9" t="n">
        <ns0:v>65</ns0:v>
      </ns0:c>
      <ns0:c r="I319" s="9">
        <ns0:f>G319*H319</ns0:f>
        <ns0:v>520</ns0:v>
      </ns0:c>
      <ns0:c r="J319" s="9">
        <ns0:f>INDEX(Script_List!$H$2:$H$161,MATCH(B319,Script_List!$A$2:$A$161,0))</ns0:f>
        <ns0:v>137</ns0:v>
      </ns0:c>
      <ns0:c r="K319" s="4" t="inlineStr">
        <ns0:is>
          <ns0:t>城限</ns0:t>
        </ns0:is>
      </ns0:c>
      <ns0:c r="L319" s="9">
        <ns0:f>I319-J319</ns0:f>
        <ns0:v>383</ns0:v>
      </ns0:c>
      <ns0:c r="M319" s="4" t="n">
        <ns0:v>7.7</ns0:v>
      </ns0:c>
      <ns0:c r="N319" s="10">
        <ns0:f>DATE(YEAR(C319),MONTH(C319),1)</ns0:f>
        <ns0:v>46204.0</ns0:v>
      </ns0:c>
      <ns0:c r="O319" s="4" t="str">
        <ns0:f>TEXT(N319,"yyyy-mm")</ns0:f>
        <ns0:v>2026-07</ns0:v>
      </ns0:c>
    </ns0:row>
    <ns0:row r="320">
      <ns0:c r="A320" s="4" t="inlineStr">
        <ns0:is>
          <ns0:t>SES-0319</ns0:t>
        </ns0:is>
      </ns0:c>
      <ns0:c r="B320" s="4" t="inlineStr">
        <ns0:is>
          <ns0:t>SYN-126</ns0:t>
        </ns0:is>
      </ns0:c>
      <ns0:c r="C320" s="10" t="n">
        <ns0:v>46209</ns0:v>
      </ns0:c>
      <ns0:c r="D320" s="4" t="inlineStr">
        <ns0:is>
          <ns0:t>Synthetic Script 126</ns0:t>
        </ns0:is>
      </ns0:c>
      <ns0:c r="E320" s="4" t="inlineStr">
        <ns0:is>
          <ns0:t>情感</ns0:t>
        </ns0:is>
      </ns0:c>
      <ns0:c r="F320" s="4" t="n">
        <ns0:v>2</ns0:v>
      </ns0:c>
      <ns0:c r="G320" s="4" t="n">
        <ns0:v>6</ns0:v>
      </ns0:c>
      <ns0:c r="H320" s="9" t="n">
        <ns0:v>109</ns0:v>
      </ns0:c>
      <ns0:c r="I320" s="9">
        <ns0:f>G320*H320</ns0:f>
        <ns0:v>654</ns0:v>
      </ns0:c>
      <ns0:c r="J320" s="9">
        <ns0:f>INDEX(Script_List!$H$2:$H$161,MATCH(B320,Script_List!$A$2:$A$161,0))</ns0:f>
        <ns0:v>180</ns0:v>
      </ns0:c>
      <ns0:c r="K320" s="4" t="inlineStr">
        <ns0:is>
          <ns0:t>盒装</ns0:t>
        </ns0:is>
      </ns0:c>
      <ns0:c r="L320" s="9">
        <ns0:f>I320-J320</ns0:f>
        <ns0:v>474</ns0:v>
      </ns0:c>
      <ns0:c r="M320" s="4" t="n">
        <ns0:v>8.4</ns0:v>
      </ns0:c>
      <ns0:c r="N320" s="10">
        <ns0:f>DATE(YEAR(C320),MONTH(C320),1)</ns0:f>
        <ns0:v>46204.0</ns0:v>
      </ns0:c>
      <ns0:c r="O320" s="4" t="str">
        <ns0:f>TEXT(N320,"yyyy-mm")</ns0:f>
        <ns0:v>2026-07</ns0:v>
      </ns0:c>
    </ns0:row>
    <ns0:row r="321">
      <ns0:c r="A321" s="4" t="inlineStr">
        <ns0:is>
          <ns0:t>SES-0320</ns0:t>
        </ns0:is>
      </ns0:c>
      <ns0:c r="B321" s="4" t="inlineStr">
        <ns0:is>
          <ns0:t>SYN-126</ns0:t>
        </ns0:is>
      </ns0:c>
      <ns0:c r="C321" s="10" t="n">
        <ns0:v>46210</ns0:v>
      </ns0:c>
      <ns0:c r="D321" s="4" t="inlineStr">
        <ns0:is>
          <ns0:t>Synthetic Script 126</ns0:t>
        </ns0:is>
      </ns0:c>
      <ns0:c r="E321" s="4" t="inlineStr">
        <ns0:is>
          <ns0:t>情感</ns0:t>
        </ns0:is>
      </ns0:c>
      <ns0:c r="F321" s="4" t="n">
        <ns0:v>2</ns0:v>
      </ns0:c>
      <ns0:c r="G321" s="4" t="n">
        <ns0:v>6</ns0:v>
      </ns0:c>
      <ns0:c r="H321" s="9" t="n">
        <ns0:v>109</ns0:v>
      </ns0:c>
      <ns0:c r="I321" s="9">
        <ns0:f>G321*H321</ns0:f>
        <ns0:v>654</ns0:v>
      </ns0:c>
      <ns0:c r="J321" s="9">
        <ns0:f>INDEX(Script_List!$H$2:$H$161,MATCH(B321,Script_List!$A$2:$A$161,0))</ns0:f>
        <ns0:v>180</ns0:v>
      </ns0:c>
      <ns0:c r="K321" s="4" t="inlineStr">
        <ns0:is>
          <ns0:t>盒装</ns0:t>
        </ns0:is>
      </ns0:c>
      <ns0:c r="L321" s="9">
        <ns0:f>I321-J321</ns0:f>
        <ns0:v>474</ns0:v>
      </ns0:c>
      <ns0:c r="M321" s="4" t="n">
        <ns0:v>8.4</ns0:v>
      </ns0:c>
      <ns0:c r="N321" s="10">
        <ns0:f>DATE(YEAR(C321),MONTH(C321),1)</ns0:f>
        <ns0:v>46204.0</ns0:v>
      </ns0:c>
      <ns0:c r="O321" s="4" t="str">
        <ns0:f>TEXT(N321,"yyyy-mm")</ns0:f>
        <ns0:v>2026-07</ns0:v>
      </ns0:c>
    </ns0:row>
    <ns0:row r="322">
      <ns0:c r="A322" s="4" t="inlineStr">
        <ns0:is>
          <ns0:t>SES-0321</ns0:t>
        </ns0:is>
      </ns0:c>
      <ns0:c r="B322" s="4" t="inlineStr">
        <ns0:is>
          <ns0:t>SYN-126</ns0:t>
        </ns0:is>
      </ns0:c>
      <ns0:c r="C322" s="10" t="n">
        <ns0:v>46211</ns0:v>
      </ns0:c>
      <ns0:c r="D322" s="4" t="inlineStr">
        <ns0:is>
          <ns0:t>Synthetic Script 126</ns0:t>
        </ns0:is>
      </ns0:c>
      <ns0:c r="E322" s="4" t="inlineStr">
        <ns0:is>
          <ns0:t>情感</ns0:t>
        </ns0:is>
      </ns0:c>
      <ns0:c r="F322" s="4" t="n">
        <ns0:v>2</ns0:v>
      </ns0:c>
      <ns0:c r="G322" s="4" t="n">
        <ns0:v>6</ns0:v>
      </ns0:c>
      <ns0:c r="H322" s="9" t="n">
        <ns0:v>109</ns0:v>
      </ns0:c>
      <ns0:c r="I322" s="9">
        <ns0:f>G322*H322</ns0:f>
        <ns0:v>654</ns0:v>
      </ns0:c>
      <ns0:c r="J322" s="9">
        <ns0:f>INDEX(Script_List!$H$2:$H$161,MATCH(B322,Script_List!$A$2:$A$161,0))</ns0:f>
        <ns0:v>180</ns0:v>
      </ns0:c>
      <ns0:c r="K322" s="4" t="inlineStr">
        <ns0:is>
          <ns0:t>盒装</ns0:t>
        </ns0:is>
      </ns0:c>
      <ns0:c r="L322" s="9">
        <ns0:f>I322-J322</ns0:f>
        <ns0:v>474</ns0:v>
      </ns0:c>
      <ns0:c r="M322" s="4" t="n">
        <ns0:v>8.4</ns0:v>
      </ns0:c>
      <ns0:c r="N322" s="10">
        <ns0:f>DATE(YEAR(C322),MONTH(C322),1)</ns0:f>
        <ns0:v>46204.0</ns0:v>
      </ns0:c>
      <ns0:c r="O322" s="4" t="str">
        <ns0:f>TEXT(N322,"yyyy-mm")</ns0:f>
        <ns0:v>2026-07</ns0:v>
      </ns0:c>
    </ns0:row>
    <ns0:row r="323">
      <ns0:c r="A323" s="4" t="inlineStr">
        <ns0:is>
          <ns0:t>SES-0322</ns0:t>
        </ns0:is>
      </ns0:c>
      <ns0:c r="B323" s="4" t="inlineStr">
        <ns0:is>
          <ns0:t>SYN-126</ns0:t>
        </ns0:is>
      </ns0:c>
      <ns0:c r="C323" s="10" t="n">
        <ns0:v>46212</ns0:v>
      </ns0:c>
      <ns0:c r="D323" s="4" t="inlineStr">
        <ns0:is>
          <ns0:t>Synthetic Script 126</ns0:t>
        </ns0:is>
      </ns0:c>
      <ns0:c r="E323" s="4" t="inlineStr">
        <ns0:is>
          <ns0:t>情感</ns0:t>
        </ns0:is>
      </ns0:c>
      <ns0:c r="F323" s="4" t="n">
        <ns0:v>2</ns0:v>
      </ns0:c>
      <ns0:c r="G323" s="4" t="n">
        <ns0:v>6</ns0:v>
      </ns0:c>
      <ns0:c r="H323" s="9" t="n">
        <ns0:v>109</ns0:v>
      </ns0:c>
      <ns0:c r="I323" s="9">
        <ns0:f>G323*H323</ns0:f>
        <ns0:v>654</ns0:v>
      </ns0:c>
      <ns0:c r="J323" s="9">
        <ns0:f>INDEX(Script_List!$H$2:$H$161,MATCH(B323,Script_List!$A$2:$A$161,0))</ns0:f>
        <ns0:v>180</ns0:v>
      </ns0:c>
      <ns0:c r="K323" s="4" t="inlineStr">
        <ns0:is>
          <ns0:t>盒装</ns0:t>
        </ns0:is>
      </ns0:c>
      <ns0:c r="L323" s="9">
        <ns0:f>I323-J323</ns0:f>
        <ns0:v>474</ns0:v>
      </ns0:c>
      <ns0:c r="M323" s="4" t="n">
        <ns0:v>8.4</ns0:v>
      </ns0:c>
      <ns0:c r="N323" s="10">
        <ns0:f>DATE(YEAR(C323),MONTH(C323),1)</ns0:f>
        <ns0:v>46204.0</ns0:v>
      </ns0:c>
      <ns0:c r="O323" s="4" t="str">
        <ns0:f>TEXT(N323,"yyyy-mm")</ns0:f>
        <ns0:v>2026-07</ns0:v>
      </ns0:c>
    </ns0:row>
    <ns0:row r="324">
      <ns0:c r="A324" s="4" t="inlineStr">
        <ns0:is>
          <ns0:t>SES-0323</ns0:t>
        </ns0:is>
      </ns0:c>
      <ns0:c r="B324" s="4" t="inlineStr">
        <ns0:is>
          <ns0:t>SYN-128</ns0:t>
        </ns0:is>
      </ns0:c>
      <ns0:c r="C324" s="10" t="n">
        <ns0:v>46213</ns0:v>
      </ns0:c>
      <ns0:c r="D324" s="4" t="inlineStr">
        <ns0:is>
          <ns0:t>Synthetic Script 128</ns0:t>
        </ns0:is>
      </ns0:c>
      <ns0:c r="E324" s="4" t="inlineStr">
        <ns0:is>
          <ns0:t>推理</ns0:t>
        </ns0:is>
      </ns0:c>
      <ns0:c r="F324" s="4" t="n">
        <ns0:v>1</ns0:v>
      </ns0:c>
      <ns0:c r="G324" s="4" t="n">
        <ns0:v>6</ns0:v>
      </ns0:c>
      <ns0:c r="H324" s="9" t="n">
        <ns0:v>119</ns0:v>
      </ns0:c>
      <ns0:c r="I324" s="9">
        <ns0:f>G324*H324</ns0:f>
        <ns0:v>714</ns0:v>
      </ns0:c>
      <ns0:c r="J324" s="9">
        <ns0:f>INDEX(Script_List!$H$2:$H$161,MATCH(B324,Script_List!$A$2:$A$161,0))</ns0:f>
        <ns0:v>187</ns0:v>
      </ns0:c>
      <ns0:c r="K324" s="4" t="inlineStr">
        <ns0:is>
          <ns0:t>盒装</ns0:t>
        </ns0:is>
      </ns0:c>
      <ns0:c r="L324" s="9">
        <ns0:f>I324-J324</ns0:f>
        <ns0:v>527</ns0:v>
      </ns0:c>
      <ns0:c r="M324" s="4" t="n">
        <ns0:v>7.7</ns0:v>
      </ns0:c>
      <ns0:c r="N324" s="10">
        <ns0:f>DATE(YEAR(C324),MONTH(C324),1)</ns0:f>
        <ns0:v>46204.0</ns0:v>
      </ns0:c>
      <ns0:c r="O324" s="4" t="str">
        <ns0:f>TEXT(N324,"yyyy-mm")</ns0:f>
        <ns0:v>2026-07</ns0:v>
      </ns0:c>
    </ns0:row>
    <ns0:row r="325">
      <ns0:c r="A325" s="4" t="inlineStr">
        <ns0:is>
          <ns0:t>SES-0324</ns0:t>
        </ns0:is>
      </ns0:c>
      <ns0:c r="B325" s="4" t="inlineStr">
        <ns0:is>
          <ns0:t>SYN-128</ns0:t>
        </ns0:is>
      </ns0:c>
      <ns0:c r="C325" s="10" t="n">
        <ns0:v>46214</ns0:v>
      </ns0:c>
      <ns0:c r="D325" s="4" t="inlineStr">
        <ns0:is>
          <ns0:t>Synthetic Script 128</ns0:t>
        </ns0:is>
      </ns0:c>
      <ns0:c r="E325" s="4" t="inlineStr">
        <ns0:is>
          <ns0:t>推理</ns0:t>
        </ns0:is>
      </ns0:c>
      <ns0:c r="F325" s="4" t="n">
        <ns0:v>1</ns0:v>
      </ns0:c>
      <ns0:c r="G325" s="4" t="n">
        <ns0:v>6</ns0:v>
      </ns0:c>
      <ns0:c r="H325" s="9" t="n">
        <ns0:v>119</ns0:v>
      </ns0:c>
      <ns0:c r="I325" s="9">
        <ns0:f>G325*H325</ns0:f>
        <ns0:v>714</ns0:v>
      </ns0:c>
      <ns0:c r="J325" s="9">
        <ns0:f>INDEX(Script_List!$H$2:$H$161,MATCH(B325,Script_List!$A$2:$A$161,0))</ns0:f>
        <ns0:v>187</ns0:v>
      </ns0:c>
      <ns0:c r="K325" s="4" t="inlineStr">
        <ns0:is>
          <ns0:t>盒装</ns0:t>
        </ns0:is>
      </ns0:c>
      <ns0:c r="L325" s="9">
        <ns0:f>I325-J325</ns0:f>
        <ns0:v>527</ns0:v>
      </ns0:c>
      <ns0:c r="M325" s="4" t="n">
        <ns0:v>7.7</ns0:v>
      </ns0:c>
      <ns0:c r="N325" s="10">
        <ns0:f>DATE(YEAR(C325),MONTH(C325),1)</ns0:f>
        <ns0:v>46204.0</ns0:v>
      </ns0:c>
      <ns0:c r="O325" s="4" t="str">
        <ns0:f>TEXT(N325,"yyyy-mm")</ns0:f>
        <ns0:v>2026-07</ns0:v>
      </ns0:c>
    </ns0:row>
    <ns0:row r="326">
      <ns0:c r="A326" s="4" t="inlineStr">
        <ns0:is>
          <ns0:t>SES-0325</ns0:t>
        </ns0:is>
      </ns0:c>
      <ns0:c r="B326" s="4" t="inlineStr">
        <ns0:is>
          <ns0:t>SYN-129</ns0:t>
        </ns0:is>
      </ns0:c>
      <ns0:c r="C326" s="10" t="n">
        <ns0:v>46215</ns0:v>
      </ns0:c>
      <ns0:c r="D326" s="4" t="inlineStr">
        <ns0:is>
          <ns0:t>Synthetic Script 129</ns0:t>
        </ns0:is>
      </ns0:c>
      <ns0:c r="E326" s="4" t="inlineStr">
        <ns0:is>
          <ns0:t>欢乐</ns0:t>
        </ns0:is>
      </ns0:c>
      <ns0:c r="F326" s="4" t="n">
        <ns0:v>3</ns0:v>
      </ns0:c>
      <ns0:c r="G326" s="4" t="n">
        <ns0:v>7</ns0:v>
      </ns0:c>
      <ns0:c r="H326" s="9" t="n">
        <ns0:v>95</ns0:v>
      </ns0:c>
      <ns0:c r="I326" s="9">
        <ns0:f>G326*H326</ns0:f>
        <ns0:v>665</ns0:v>
      </ns0:c>
      <ns0:c r="J326" s="9">
        <ns0:f>INDEX(Script_List!$H$2:$H$161,MATCH(B326,Script_List!$A$2:$A$161,0))</ns0:f>
        <ns0:v>175</ns0:v>
      </ns0:c>
      <ns0:c r="K326" s="4" t="inlineStr">
        <ns0:is>
          <ns0:t>独家</ns0:t>
        </ns0:is>
      </ns0:c>
      <ns0:c r="L326" s="9">
        <ns0:f>I326-J326</ns0:f>
        <ns0:v>490</ns0:v>
      </ns0:c>
      <ns0:c r="M326" s="4" t="n">
        <ns0:v>8.4</ns0:v>
      </ns0:c>
      <ns0:c r="N326" s="10">
        <ns0:f>DATE(YEAR(C326),MONTH(C326),1)</ns0:f>
        <ns0:v>46204.0</ns0:v>
      </ns0:c>
      <ns0:c r="O326" s="4" t="str">
        <ns0:f>TEXT(N326,"yyyy-mm")</ns0:f>
        <ns0:v>2026-07</ns0:v>
      </ns0:c>
    </ns0:row>
    <ns0:row r="327">
      <ns0:c r="A327" s="4" t="inlineStr">
        <ns0:is>
          <ns0:t>SES-0326</ns0:t>
        </ns0:is>
      </ns0:c>
      <ns0:c r="B327" s="4" t="inlineStr">
        <ns0:is>
          <ns0:t>SYN-129</ns0:t>
        </ns0:is>
      </ns0:c>
      <ns0:c r="C327" s="10" t="n">
        <ns0:v>46216</ns0:v>
      </ns0:c>
      <ns0:c r="D327" s="4" t="inlineStr">
        <ns0:is>
          <ns0:t>Synthetic Script 129</ns0:t>
        </ns0:is>
      </ns0:c>
      <ns0:c r="E327" s="4" t="inlineStr">
        <ns0:is>
          <ns0:t>欢乐</ns0:t>
        </ns0:is>
      </ns0:c>
      <ns0:c r="F327" s="4" t="n">
        <ns0:v>3</ns0:v>
      </ns0:c>
      <ns0:c r="G327" s="4" t="n">
        <ns0:v>7</ns0:v>
      </ns0:c>
      <ns0:c r="H327" s="9" t="n">
        <ns0:v>95</ns0:v>
      </ns0:c>
      <ns0:c r="I327" s="9">
        <ns0:f>G327*H327</ns0:f>
        <ns0:v>665</ns0:v>
      </ns0:c>
      <ns0:c r="J327" s="9">
        <ns0:f>INDEX(Script_List!$H$2:$H$161,MATCH(B327,Script_List!$A$2:$A$161,0))</ns0:f>
        <ns0:v>175</ns0:v>
      </ns0:c>
      <ns0:c r="K327" s="4" t="inlineStr">
        <ns0:is>
          <ns0:t>独家</ns0:t>
        </ns0:is>
      </ns0:c>
      <ns0:c r="L327" s="9">
        <ns0:f>I327-J327</ns0:f>
        <ns0:v>490</ns0:v>
      </ns0:c>
      <ns0:c r="M327" s="4" t="n">
        <ns0:v>8.4</ns0:v>
      </ns0:c>
      <ns0:c r="N327" s="10">
        <ns0:f>DATE(YEAR(C327),MONTH(C327),1)</ns0:f>
        <ns0:v>46204.0</ns0:v>
      </ns0:c>
      <ns0:c r="O327" s="4" t="str">
        <ns0:f>TEXT(N327,"yyyy-mm")</ns0:f>
        <ns0:v>2026-07</ns0:v>
      </ns0:c>
    </ns0:row>
    <ns0:row r="328">
      <ns0:c r="A328" s="4" t="inlineStr">
        <ns0:is>
          <ns0:t>SES-0327</ns0:t>
        </ns0:is>
      </ns0:c>
      <ns0:c r="B328" s="4" t="inlineStr">
        <ns0:is>
          <ns0:t>SYN-129</ns0:t>
        </ns0:is>
      </ns0:c>
      <ns0:c r="C328" s="10" t="n">
        <ns0:v>46217</ns0:v>
      </ns0:c>
      <ns0:c r="D328" s="4" t="inlineStr">
        <ns0:is>
          <ns0:t>Synthetic Script 129</ns0:t>
        </ns0:is>
      </ns0:c>
      <ns0:c r="E328" s="4" t="inlineStr">
        <ns0:is>
          <ns0:t>欢乐</ns0:t>
        </ns0:is>
      </ns0:c>
      <ns0:c r="F328" s="4" t="n">
        <ns0:v>3</ns0:v>
      </ns0:c>
      <ns0:c r="G328" s="4" t="n">
        <ns0:v>7</ns0:v>
      </ns0:c>
      <ns0:c r="H328" s="9" t="n">
        <ns0:v>95</ns0:v>
      </ns0:c>
      <ns0:c r="I328" s="9">
        <ns0:f>G328*H328</ns0:f>
        <ns0:v>665</ns0:v>
      </ns0:c>
      <ns0:c r="J328" s="9">
        <ns0:f>INDEX(Script_List!$H$2:$H$161,MATCH(B328,Script_List!$A$2:$A$161,0))</ns0:f>
        <ns0:v>175</ns0:v>
      </ns0:c>
      <ns0:c r="K328" s="4" t="inlineStr">
        <ns0:is>
          <ns0:t>独家</ns0:t>
        </ns0:is>
      </ns0:c>
      <ns0:c r="L328" s="9">
        <ns0:f>I328-J328</ns0:f>
        <ns0:v>490</ns0:v>
      </ns0:c>
      <ns0:c r="M328" s="4" t="n">
        <ns0:v>8.4</ns0:v>
      </ns0:c>
      <ns0:c r="N328" s="10">
        <ns0:f>DATE(YEAR(C328),MONTH(C328),1)</ns0:f>
        <ns0:v>46204.0</ns0:v>
      </ns0:c>
      <ns0:c r="O328" s="4" t="str">
        <ns0:f>TEXT(N328,"yyyy-mm")</ns0:f>
        <ns0:v>2026-07</ns0:v>
      </ns0:c>
    </ns0:row>
    <ns0:row r="329">
      <ns0:c r="A329" s="4" t="inlineStr">
        <ns0:is>
          <ns0:t>SES-0328</ns0:t>
        </ns0:is>
      </ns0:c>
      <ns0:c r="B329" s="4" t="inlineStr">
        <ns0:is>
          <ns0:t>SYN-129</ns0:t>
        </ns0:is>
      </ns0:c>
      <ns0:c r="C329" s="10" t="n">
        <ns0:v>46218</ns0:v>
      </ns0:c>
      <ns0:c r="D329" s="4" t="inlineStr">
        <ns0:is>
          <ns0:t>Synthetic Script 129</ns0:t>
        </ns0:is>
      </ns0:c>
      <ns0:c r="E329" s="4" t="inlineStr">
        <ns0:is>
          <ns0:t>欢乐</ns0:t>
        </ns0:is>
      </ns0:c>
      <ns0:c r="F329" s="4" t="n">
        <ns0:v>3</ns0:v>
      </ns0:c>
      <ns0:c r="G329" s="4" t="n">
        <ns0:v>7</ns0:v>
      </ns0:c>
      <ns0:c r="H329" s="9" t="n">
        <ns0:v>95</ns0:v>
      </ns0:c>
      <ns0:c r="I329" s="9">
        <ns0:f>G329*H329</ns0:f>
        <ns0:v>665</ns0:v>
      </ns0:c>
      <ns0:c r="J329" s="9">
        <ns0:f>INDEX(Script_List!$H$2:$H$161,MATCH(B329,Script_List!$A$2:$A$161,0))</ns0:f>
        <ns0:v>175</ns0:v>
      </ns0:c>
      <ns0:c r="K329" s="4" t="inlineStr">
        <ns0:is>
          <ns0:t>独家</ns0:t>
        </ns0:is>
      </ns0:c>
      <ns0:c r="L329" s="9">
        <ns0:f>I329-J329</ns0:f>
        <ns0:v>490</ns0:v>
      </ns0:c>
      <ns0:c r="M329" s="4" t="n">
        <ns0:v>8.4</ns0:v>
      </ns0:c>
      <ns0:c r="N329" s="10">
        <ns0:f>DATE(YEAR(C329),MONTH(C329),1)</ns0:f>
        <ns0:v>46204.0</ns0:v>
      </ns0:c>
      <ns0:c r="O329" s="4" t="str">
        <ns0:f>TEXT(N329,"yyyy-mm")</ns0:f>
        <ns0:v>2026-07</ns0:v>
      </ns0:c>
    </ns0:row>
    <ns0:row r="330">
      <ns0:c r="A330" s="4" t="inlineStr">
        <ns0:is>
          <ns0:t>SES-0329</ns0:t>
        </ns0:is>
      </ns0:c>
      <ns0:c r="B330" s="4" t="inlineStr">
        <ns0:is>
          <ns0:t>SYN-130</ns0:t>
        </ns0:is>
      </ns0:c>
      <ns0:c r="C330" s="10" t="n">
        <ns0:v>46219</ns0:v>
      </ns0:c>
      <ns0:c r="D330" s="4" t="inlineStr">
        <ns0:is>
          <ns0:t>Synthetic Script 130</ns0:t>
        </ns0:is>
      </ns0:c>
      <ns0:c r="E330" s="4" t="inlineStr">
        <ns0:is>
          <ns0:t>情感</ns0:t>
        </ns0:is>
      </ns0:c>
      <ns0:c r="F330" s="4" t="n">
        <ns0:v>6</ns0:v>
      </ns0:c>
      <ns0:c r="G330" s="4" t="n">
        <ns0:v>8</ns0:v>
      </ns0:c>
      <ns0:c r="H330" s="9" t="n">
        <ns0:v>109</ns0:v>
      </ns0:c>
      <ns0:c r="I330" s="9">
        <ns0:f>G330*H330</ns0:f>
        <ns0:v>872</ns0:v>
      </ns0:c>
      <ns0:c r="J330" s="9">
        <ns0:f>INDEX(Script_List!$H$2:$H$161,MATCH(B330,Script_List!$A$2:$A$161,0))</ns0:f>
        <ns0:v>540</ns0:v>
      </ns0:c>
      <ns0:c r="K330" s="4" t="inlineStr">
        <ns0:is>
          <ns0:t>盒装</ns0:t>
        </ns0:is>
      </ns0:c>
      <ns0:c r="L330" s="9">
        <ns0:f>I330-J330</ns0:f>
        <ns0:v>332</ns0:v>
      </ns0:c>
      <ns0:c r="M330" s="4" t="n">
        <ns0:v>7</ns0:v>
      </ns0:c>
      <ns0:c r="N330" s="10">
        <ns0:f>DATE(YEAR(C330),MONTH(C330),1)</ns0:f>
        <ns0:v>46204.0</ns0:v>
      </ns0:c>
      <ns0:c r="O330" s="4" t="str">
        <ns0:f>TEXT(N330,"yyyy-mm")</ns0:f>
        <ns0:v>2026-07</ns0:v>
      </ns0:c>
    </ns0:row>
    <ns0:row r="331">
      <ns0:c r="A331" s="4" t="inlineStr">
        <ns0:is>
          <ns0:t>SES-0330</ns0:t>
        </ns0:is>
      </ns0:c>
      <ns0:c r="B331" s="4" t="inlineStr">
        <ns0:is>
          <ns0:t>SYN-131</ns0:t>
        </ns0:is>
      </ns0:c>
      <ns0:c r="C331" s="10" t="n">
        <ns0:v>46220</ns0:v>
      </ns0:c>
      <ns0:c r="D331" s="4" t="inlineStr">
        <ns0:is>
          <ns0:t>Synthetic Script 131</ns0:t>
        </ns0:is>
      </ns0:c>
      <ns0:c r="E331" s="4" t="inlineStr">
        <ns0:is>
          <ns0:t>情感</ns0:t>
        </ns0:is>
      </ns0:c>
      <ns0:c r="F331" s="4" t="n">
        <ns0:v>2</ns0:v>
      </ns0:c>
      <ns0:c r="G331" s="4" t="n">
        <ns0:v>6</ns0:v>
      </ns0:c>
      <ns0:c r="H331" s="9" t="n">
        <ns0:v>118</ns0:v>
      </ns0:c>
      <ns0:c r="I331" s="9">
        <ns0:f>G331*H331</ns0:f>
        <ns0:v>708</ns0:v>
      </ns0:c>
      <ns0:c r="J331" s="9">
        <ns0:f>INDEX(Script_List!$H$2:$H$161,MATCH(B331,Script_List!$A$2:$A$161,0))</ns0:f>
        <ns0:v>180</ns0:v>
      </ns0:c>
      <ns0:c r="K331" s="4" t="inlineStr">
        <ns0:is>
          <ns0:t>盒装</ns0:t>
        </ns0:is>
      </ns0:c>
      <ns0:c r="L331" s="9">
        <ns0:f>I331-J331</ns0:f>
        <ns0:v>528</ns0:v>
      </ns0:c>
      <ns0:c r="M331" s="4" t="n">
        <ns0:v>7.7</ns0:v>
      </ns0:c>
      <ns0:c r="N331" s="10">
        <ns0:f>DATE(YEAR(C331),MONTH(C331),1)</ns0:f>
        <ns0:v>46204.0</ns0:v>
      </ns0:c>
      <ns0:c r="O331" s="4" t="str">
        <ns0:f>TEXT(N331,"yyyy-mm")</ns0:f>
        <ns0:v>2026-07</ns0:v>
      </ns0:c>
    </ns0:row>
    <ns0:row r="332">
      <ns0:c r="A332" s="4" t="inlineStr">
        <ns0:is>
          <ns0:t>SES-0331</ns0:t>
        </ns0:is>
      </ns0:c>
      <ns0:c r="B332" s="4" t="inlineStr">
        <ns0:is>
          <ns0:t>SYN-131</ns0:t>
        </ns0:is>
      </ns0:c>
      <ns0:c r="C332" s="10" t="n">
        <ns0:v>46221</ns0:v>
      </ns0:c>
      <ns0:c r="D332" s="4" t="inlineStr">
        <ns0:is>
          <ns0:t>Synthetic Script 131</ns0:t>
        </ns0:is>
      </ns0:c>
      <ns0:c r="E332" s="4" t="inlineStr">
        <ns0:is>
          <ns0:t>情感</ns0:t>
        </ns0:is>
      </ns0:c>
      <ns0:c r="F332" s="4" t="n">
        <ns0:v>2</ns0:v>
      </ns0:c>
      <ns0:c r="G332" s="4" t="n">
        <ns0:v>6</ns0:v>
      </ns0:c>
      <ns0:c r="H332" s="9" t="n">
        <ns0:v>118</ns0:v>
      </ns0:c>
      <ns0:c r="I332" s="9">
        <ns0:f>G332*H332</ns0:f>
        <ns0:v>708</ns0:v>
      </ns0:c>
      <ns0:c r="J332" s="9">
        <ns0:f>INDEX(Script_List!$H$2:$H$161,MATCH(B332,Script_List!$A$2:$A$161,0))</ns0:f>
        <ns0:v>180</ns0:v>
      </ns0:c>
      <ns0:c r="K332" s="4" t="inlineStr">
        <ns0:is>
          <ns0:t>盒装</ns0:t>
        </ns0:is>
      </ns0:c>
      <ns0:c r="L332" s="9">
        <ns0:f>I332-J332</ns0:f>
        <ns0:v>528</ns0:v>
      </ns0:c>
      <ns0:c r="M332" s="4" t="n">
        <ns0:v>7.7</ns0:v>
      </ns0:c>
      <ns0:c r="N332" s="10">
        <ns0:f>DATE(YEAR(C332),MONTH(C332),1)</ns0:f>
        <ns0:v>46204.0</ns0:v>
      </ns0:c>
      <ns0:c r="O332" s="4" t="str">
        <ns0:f>TEXT(N332,"yyyy-mm")</ns0:f>
        <ns0:v>2026-07</ns0:v>
      </ns0:c>
    </ns0:row>
    <ns0:row r="333">
      <ns0:c r="A333" s="4" t="inlineStr">
        <ns0:is>
          <ns0:t>SES-0332</ns0:t>
        </ns0:is>
      </ns0:c>
      <ns0:c r="B333" s="4" t="inlineStr">
        <ns0:is>
          <ns0:t>SYN-132</ns0:t>
        </ns0:is>
      </ns0:c>
      <ns0:c r="C333" s="10" t="n">
        <ns0:v>46222</ns0:v>
      </ns0:c>
      <ns0:c r="D333" s="4" t="inlineStr">
        <ns0:is>
          <ns0:t>Synthetic Script 132</ns0:t>
        </ns0:is>
      </ns0:c>
      <ns0:c r="E333" s="4" t="inlineStr">
        <ns0:is>
          <ns0:t>推理</ns0:t>
        </ns0:is>
      </ns0:c>
      <ns0:c r="F333" s="4" t="n">
        <ns0:v>1</ns0:v>
      </ns0:c>
      <ns0:c r="G333" s="4" t="n">
        <ns0:v>6</ns0:v>
      </ns0:c>
      <ns0:c r="H333" s="9" t="n">
        <ns0:v>119</ns0:v>
      </ns0:c>
      <ns0:c r="I333" s="9">
        <ns0:f>G333*H333</ns0:f>
        <ns0:v>714</ns0:v>
      </ns0:c>
      <ns0:c r="J333" s="9">
        <ns0:f>INDEX(Script_List!$H$2:$H$161,MATCH(B333,Script_List!$A$2:$A$161,0))</ns0:f>
        <ns0:v>187</ns0:v>
      </ns0:c>
      <ns0:c r="K333" s="4" t="inlineStr">
        <ns0:is>
          <ns0:t>城限</ns0:t>
        </ns0:is>
      </ns0:c>
      <ns0:c r="L333" s="9">
        <ns0:f>I333-J333</ns0:f>
        <ns0:v>527</ns0:v>
      </ns0:c>
      <ns0:c r="M333" s="4" t="n">
        <ns0:v>8.4</ns0:v>
      </ns0:c>
      <ns0:c r="N333" s="10">
        <ns0:f>DATE(YEAR(C333),MONTH(C333),1)</ns0:f>
        <ns0:v>46204.0</ns0:v>
      </ns0:c>
      <ns0:c r="O333" s="4" t="str">
        <ns0:f>TEXT(N333,"yyyy-mm")</ns0:f>
        <ns0:v>2026-07</ns0:v>
      </ns0:c>
    </ns0:row>
    <ns0:row r="334">
      <ns0:c r="A334" s="4" t="inlineStr">
        <ns0:is>
          <ns0:t>SES-0333</ns0:t>
        </ns0:is>
      </ns0:c>
      <ns0:c r="B334" s="4" t="inlineStr">
        <ns0:is>
          <ns0:t>SYN-132</ns0:t>
        </ns0:is>
      </ns0:c>
      <ns0:c r="C334" s="10" t="n">
        <ns0:v>46223</ns0:v>
      </ns0:c>
      <ns0:c r="D334" s="4" t="inlineStr">
        <ns0:is>
          <ns0:t>Synthetic Script 132</ns0:t>
        </ns0:is>
      </ns0:c>
      <ns0:c r="E334" s="4" t="inlineStr">
        <ns0:is>
          <ns0:t>推理</ns0:t>
        </ns0:is>
      </ns0:c>
      <ns0:c r="F334" s="4" t="n">
        <ns0:v>1</ns0:v>
      </ns0:c>
      <ns0:c r="G334" s="4" t="n">
        <ns0:v>6</ns0:v>
      </ns0:c>
      <ns0:c r="H334" s="9" t="n">
        <ns0:v>119</ns0:v>
      </ns0:c>
      <ns0:c r="I334" s="9">
        <ns0:f>G334*H334</ns0:f>
        <ns0:v>714</ns0:v>
      </ns0:c>
      <ns0:c r="J334" s="9">
        <ns0:f>INDEX(Script_List!$H$2:$H$161,MATCH(B334,Script_List!$A$2:$A$161,0))</ns0:f>
        <ns0:v>187</ns0:v>
      </ns0:c>
      <ns0:c r="K334" s="4" t="inlineStr">
        <ns0:is>
          <ns0:t>城限</ns0:t>
        </ns0:is>
      </ns0:c>
      <ns0:c r="L334" s="9">
        <ns0:f>I334-J334</ns0:f>
        <ns0:v>527</ns0:v>
      </ns0:c>
      <ns0:c r="M334" s="4" t="n">
        <ns0:v>8.4</ns0:v>
      </ns0:c>
      <ns0:c r="N334" s="10">
        <ns0:f>DATE(YEAR(C334),MONTH(C334),1)</ns0:f>
        <ns0:v>46204.0</ns0:v>
      </ns0:c>
      <ns0:c r="O334" s="4" t="str">
        <ns0:f>TEXT(N334,"yyyy-mm")</ns0:f>
        <ns0:v>2026-07</ns0:v>
      </ns0:c>
    </ns0:row>
    <ns0:row r="335">
      <ns0:c r="A335" s="4" t="inlineStr">
        <ns0:is>
          <ns0:t>SES-0334</ns0:t>
        </ns0:is>
      </ns0:c>
      <ns0:c r="B335" s="4" t="inlineStr">
        <ns0:is>
          <ns0:t>SYN-132</ns0:t>
        </ns0:is>
      </ns0:c>
      <ns0:c r="C335" s="10" t="n">
        <ns0:v>46224</ns0:v>
      </ns0:c>
      <ns0:c r="D335" s="4" t="inlineStr">
        <ns0:is>
          <ns0:t>Synthetic Script 132</ns0:t>
        </ns0:is>
      </ns0:c>
      <ns0:c r="E335" s="4" t="inlineStr">
        <ns0:is>
          <ns0:t>推理</ns0:t>
        </ns0:is>
      </ns0:c>
      <ns0:c r="F335" s="4" t="n">
        <ns0:v>1</ns0:v>
      </ns0:c>
      <ns0:c r="G335" s="4" t="n">
        <ns0:v>6</ns0:v>
      </ns0:c>
      <ns0:c r="H335" s="9" t="n">
        <ns0:v>119</ns0:v>
      </ns0:c>
      <ns0:c r="I335" s="9">
        <ns0:f>G335*H335</ns0:f>
        <ns0:v>714</ns0:v>
      </ns0:c>
      <ns0:c r="J335" s="9">
        <ns0:f>INDEX(Script_List!$H$2:$H$161,MATCH(B335,Script_List!$A$2:$A$161,0))</ns0:f>
        <ns0:v>187</ns0:v>
      </ns0:c>
      <ns0:c r="K335" s="4" t="inlineStr">
        <ns0:is>
          <ns0:t>城限</ns0:t>
        </ns0:is>
      </ns0:c>
      <ns0:c r="L335" s="9">
        <ns0:f>I335-J335</ns0:f>
        <ns0:v>527</ns0:v>
      </ns0:c>
      <ns0:c r="M335" s="4" t="n">
        <ns0:v>8.4</ns0:v>
      </ns0:c>
      <ns0:c r="N335" s="10">
        <ns0:f>DATE(YEAR(C335),MONTH(C335),1)</ns0:f>
        <ns0:v>46204.0</ns0:v>
      </ns0:c>
      <ns0:c r="O335" s="4" t="str">
        <ns0:f>TEXT(N335,"yyyy-mm")</ns0:f>
        <ns0:v>2026-07</ns0:v>
      </ns0:c>
    </ns0:row>
    <ns0:row r="336">
      <ns0:c r="A336" s="4" t="inlineStr">
        <ns0:is>
          <ns0:t>SES-0335</ns0:t>
        </ns0:is>
      </ns0:c>
      <ns0:c r="B336" s="4" t="inlineStr">
        <ns0:is>
          <ns0:t>SYN-132</ns0:t>
        </ns0:is>
      </ns0:c>
      <ns0:c r="C336" s="10" t="n">
        <ns0:v>46225</ns0:v>
      </ns0:c>
      <ns0:c r="D336" s="4" t="inlineStr">
        <ns0:is>
          <ns0:t>Synthetic Script 132</ns0:t>
        </ns0:is>
      </ns0:c>
      <ns0:c r="E336" s="4" t="inlineStr">
        <ns0:is>
          <ns0:t>推理</ns0:t>
        </ns0:is>
      </ns0:c>
      <ns0:c r="F336" s="4" t="n">
        <ns0:v>1</ns0:v>
      </ns0:c>
      <ns0:c r="G336" s="4" t="n">
        <ns0:v>6</ns0:v>
      </ns0:c>
      <ns0:c r="H336" s="9" t="n">
        <ns0:v>119</ns0:v>
      </ns0:c>
      <ns0:c r="I336" s="9">
        <ns0:f>G336*H336</ns0:f>
        <ns0:v>714</ns0:v>
      </ns0:c>
      <ns0:c r="J336" s="9">
        <ns0:f>INDEX(Script_List!$H$2:$H$161,MATCH(B336,Script_List!$A$2:$A$161,0))</ns0:f>
        <ns0:v>187</ns0:v>
      </ns0:c>
      <ns0:c r="K336" s="4" t="inlineStr">
        <ns0:is>
          <ns0:t>城限</ns0:t>
        </ns0:is>
      </ns0:c>
      <ns0:c r="L336" s="9">
        <ns0:f>I336-J336</ns0:f>
        <ns0:v>527</ns0:v>
      </ns0:c>
      <ns0:c r="M336" s="4" t="n">
        <ns0:v>8.4</ns0:v>
      </ns0:c>
      <ns0:c r="N336" s="10">
        <ns0:f>DATE(YEAR(C336),MONTH(C336),1)</ns0:f>
        <ns0:v>46204.0</ns0:v>
      </ns0:c>
      <ns0:c r="O336" s="4" t="str">
        <ns0:f>TEXT(N336,"yyyy-mm")</ns0:f>
        <ns0:v>2026-07</ns0:v>
      </ns0:c>
    </ns0:row>
    <ns0:row r="337">
      <ns0:c r="A337" s="4" t="inlineStr">
        <ns0:is>
          <ns0:t>SES-0336</ns0:t>
        </ns0:is>
      </ns0:c>
      <ns0:c r="B337" s="4" t="inlineStr">
        <ns0:is>
          <ns0:t>SYN-132</ns0:t>
        </ns0:is>
      </ns0:c>
      <ns0:c r="C337" s="10" t="n">
        <ns0:v>46226</ns0:v>
      </ns0:c>
      <ns0:c r="D337" s="4" t="inlineStr">
        <ns0:is>
          <ns0:t>Synthetic Script 132</ns0:t>
        </ns0:is>
      </ns0:c>
      <ns0:c r="E337" s="4" t="inlineStr">
        <ns0:is>
          <ns0:t>推理</ns0:t>
        </ns0:is>
      </ns0:c>
      <ns0:c r="F337" s="4" t="n">
        <ns0:v>1</ns0:v>
      </ns0:c>
      <ns0:c r="G337" s="4" t="n">
        <ns0:v>6</ns0:v>
      </ns0:c>
      <ns0:c r="H337" s="9" t="n">
        <ns0:v>119</ns0:v>
      </ns0:c>
      <ns0:c r="I337" s="9">
        <ns0:f>G337*H337</ns0:f>
        <ns0:v>714</ns0:v>
      </ns0:c>
      <ns0:c r="J337" s="9">
        <ns0:f>INDEX(Script_List!$H$2:$H$161,MATCH(B337,Script_List!$A$2:$A$161,0))</ns0:f>
        <ns0:v>187</ns0:v>
      </ns0:c>
      <ns0:c r="K337" s="4" t="inlineStr">
        <ns0:is>
          <ns0:t>城限</ns0:t>
        </ns0:is>
      </ns0:c>
      <ns0:c r="L337" s="9">
        <ns0:f>I337-J337</ns0:f>
        <ns0:v>527</ns0:v>
      </ns0:c>
      <ns0:c r="M337" s="4" t="n">
        <ns0:v>8.4</ns0:v>
      </ns0:c>
      <ns0:c r="N337" s="10">
        <ns0:f>DATE(YEAR(C337),MONTH(C337),1)</ns0:f>
        <ns0:v>46204.0</ns0:v>
      </ns0:c>
      <ns0:c r="O337" s="4" t="str">
        <ns0:f>TEXT(N337,"yyyy-mm")</ns0:f>
        <ns0:v>2026-07</ns0:v>
      </ns0:c>
    </ns0:row>
    <ns0:row r="338">
      <ns0:c r="A338" s="4" t="inlineStr">
        <ns0:is>
          <ns0:t>SES-0337</ns0:t>
        </ns0:is>
      </ns0:c>
      <ns0:c r="B338" s="4" t="inlineStr">
        <ns0:is>
          <ns0:t>SYN-133</ns0:t>
        </ns0:is>
      </ns0:c>
      <ns0:c r="C338" s="10" t="n">
        <ns0:v>46226</ns0:v>
      </ns0:c>
      <ns0:c r="D338" s="4" t="inlineStr">
        <ns0:is>
          <ns0:t>Synthetic Script 133</ns0:t>
        </ns0:is>
      </ns0:c>
      <ns0:c r="E338" s="4" t="inlineStr">
        <ns0:is>
          <ns0:t>情感</ns0:t>
        </ns0:is>
      </ns0:c>
      <ns0:c r="F338" s="4" t="n">
        <ns0:v>3</ns0:v>
      </ns0:c>
      <ns0:c r="G338" s="4" t="n">
        <ns0:v>6</ns0:v>
      </ns0:c>
      <ns0:c r="H338" s="9" t="n">
        <ns0:v>99</ns0:v>
      </ns0:c>
      <ns0:c r="I338" s="9">
        <ns0:f>G338*H338</ns0:f>
        <ns0:v>594</ns0:v>
      </ns0:c>
      <ns0:c r="J338" s="9">
        <ns0:f>INDEX(Script_List!$H$2:$H$161,MATCH(B338,Script_List!$A$2:$A$161,0))</ns0:f>
        <ns0:v>270</ns0:v>
      </ns0:c>
      <ns0:c r="K338" s="4" t="inlineStr">
        <ns0:is>
          <ns0:t>盒装</ns0:t>
        </ns0:is>
      </ns0:c>
      <ns0:c r="L338" s="9">
        <ns0:f>I338-J338</ns0:f>
        <ns0:v>324</ns0:v>
      </ns0:c>
      <ns0:c r="M338" s="4" t="n">
        <ns0:v>7</ns0:v>
      </ns0:c>
      <ns0:c r="N338" s="10">
        <ns0:f>DATE(YEAR(C338),MONTH(C338),1)</ns0:f>
        <ns0:v>46204.0</ns0:v>
      </ns0:c>
      <ns0:c r="O338" s="4" t="str">
        <ns0:f>TEXT(N338,"yyyy-mm")</ns0:f>
        <ns0:v>2026-07</ns0:v>
      </ns0:c>
    </ns0:row>
    <ns0:row r="339">
      <ns0:c r="A339" s="4" t="inlineStr">
        <ns0:is>
          <ns0:t>SES-0338</ns0:t>
        </ns0:is>
      </ns0:c>
      <ns0:c r="B339" s="4" t="inlineStr">
        <ns0:is>
          <ns0:t>SYN-134</ns0:t>
        </ns0:is>
      </ns0:c>
      <ns0:c r="C339" s="10" t="n">
        <ns0:v>46227</ns0:v>
      </ns0:c>
      <ns0:c r="D339" s="4" t="inlineStr">
        <ns0:is>
          <ns0:t>Synthetic Script 134</ns0:t>
        </ns0:is>
      </ns0:c>
      <ns0:c r="E339" s="4" t="inlineStr">
        <ns0:is>
          <ns0:t>欢乐</ns0:t>
        </ns0:is>
      </ns0:c>
      <ns0:c r="F339" s="4" t="n">
        <ns0:v>3</ns0:v>
      </ns0:c>
      <ns0:c r="G339" s="4" t="n">
        <ns0:v>7</ns0:v>
      </ns0:c>
      <ns0:c r="H339" s="9" t="n">
        <ns0:v>109</ns0:v>
      </ns0:c>
      <ns0:c r="I339" s="9">
        <ns0:f>G339*H339</ns0:f>
        <ns0:v>763</ns0:v>
      </ns0:c>
      <ns0:c r="J339" s="9">
        <ns0:f>INDEX(Script_List!$H$2:$H$161,MATCH(B339,Script_List!$A$2:$A$161,0))</ns0:f>
        <ns0:v>200</ns0:v>
      </ns0:c>
      <ns0:c r="K339" s="4" t="inlineStr">
        <ns0:is>
          <ns0:t>独家</ns0:t>
        </ns0:is>
      </ns0:c>
      <ns0:c r="L339" s="9">
        <ns0:f>I339-J339</ns0:f>
        <ns0:v>563</ns0:v>
      </ns0:c>
      <ns0:c r="M339" s="4" t="n">
        <ns0:v>7.7</ns0:v>
      </ns0:c>
      <ns0:c r="N339" s="10">
        <ns0:f>DATE(YEAR(C339),MONTH(C339),1)</ns0:f>
        <ns0:v>46204.0</ns0:v>
      </ns0:c>
      <ns0:c r="O339" s="4" t="str">
        <ns0:f>TEXT(N339,"yyyy-mm")</ns0:f>
        <ns0:v>2026-07</ns0:v>
      </ns0:c>
    </ns0:row>
    <ns0:row r="340">
      <ns0:c r="A340" s="4" t="inlineStr">
        <ns0:is>
          <ns0:t>SES-0339</ns0:t>
        </ns0:is>
      </ns0:c>
      <ns0:c r="B340" s="4" t="inlineStr">
        <ns0:is>
          <ns0:t>SYN-134</ns0:t>
        </ns0:is>
      </ns0:c>
      <ns0:c r="C340" s="10" t="n">
        <ns0:v>46228</ns0:v>
      </ns0:c>
      <ns0:c r="D340" s="4" t="inlineStr">
        <ns0:is>
          <ns0:t>Synthetic Script 134</ns0:t>
        </ns0:is>
      </ns0:c>
      <ns0:c r="E340" s="4" t="inlineStr">
        <ns0:is>
          <ns0:t>欢乐</ns0:t>
        </ns0:is>
      </ns0:c>
      <ns0:c r="F340" s="4" t="n">
        <ns0:v>3</ns0:v>
      </ns0:c>
      <ns0:c r="G340" s="4" t="n">
        <ns0:v>7</ns0:v>
      </ns0:c>
      <ns0:c r="H340" s="9" t="n">
        <ns0:v>109</ns0:v>
      </ns0:c>
      <ns0:c r="I340" s="9">
        <ns0:f>G340*H340</ns0:f>
        <ns0:v>763</ns0:v>
      </ns0:c>
      <ns0:c r="J340" s="9">
        <ns0:f>INDEX(Script_List!$H$2:$H$161,MATCH(B340,Script_List!$A$2:$A$161,0))</ns0:f>
        <ns0:v>200</ns0:v>
      </ns0:c>
      <ns0:c r="K340" s="4" t="inlineStr">
        <ns0:is>
          <ns0:t>独家</ns0:t>
        </ns0:is>
      </ns0:c>
      <ns0:c r="L340" s="9">
        <ns0:f>I340-J340</ns0:f>
        <ns0:v>563</ns0:v>
      </ns0:c>
      <ns0:c r="M340" s="4" t="n">
        <ns0:v>7.7</ns0:v>
      </ns0:c>
      <ns0:c r="N340" s="10">
        <ns0:f>DATE(YEAR(C340),MONTH(C340),1)</ns0:f>
        <ns0:v>46204.0</ns0:v>
      </ns0:c>
      <ns0:c r="O340" s="4" t="str">
        <ns0:f>TEXT(N340,"yyyy-mm")</ns0:f>
        <ns0:v>2026-07</ns0:v>
      </ns0:c>
    </ns0:row>
    <ns0:row r="341">
      <ns0:c r="A341" s="4" t="inlineStr">
        <ns0:is>
          <ns0:t>SES-0340</ns0:t>
        </ns0:is>
      </ns0:c>
      <ns0:c r="B341" s="4" t="inlineStr">
        <ns0:is>
          <ns0:t>SYN-135</ns0:t>
        </ns0:is>
      </ns0:c>
      <ns0:c r="C341" s="10" t="n">
        <ns0:v>46229</ns0:v>
      </ns0:c>
      <ns0:c r="D341" s="4" t="inlineStr">
        <ns0:is>
          <ns0:t>Synthetic Script 135</ns0:t>
        </ns0:is>
      </ns0:c>
      <ns0:c r="E341" s="4" t="inlineStr">
        <ns0:is>
          <ns0:t>推理</ns0:t>
        </ns0:is>
      </ns0:c>
      <ns0:c r="F341" s="4" t="n">
        <ns0:v>2</ns0:v>
      </ns0:c>
      <ns0:c r="G341" s="4" t="n">
        <ns0:v>8</ns0:v>
      </ns0:c>
      <ns0:c r="H341" s="9" t="n">
        <ns0:v>95</ns0:v>
      </ns0:c>
      <ns0:c r="I341" s="9">
        <ns0:f>G341*H341</ns0:f>
        <ns0:v>760</ns0:v>
      </ns0:c>
      <ns0:c r="J341" s="9">
        <ns0:f>INDEX(Script_List!$H$2:$H$161,MATCH(B341,Script_List!$A$2:$A$161,0))</ns0:f>
        <ns0:v>200</ns0:v>
      </ns0:c>
      <ns0:c r="K341" s="4" t="inlineStr">
        <ns0:is>
          <ns0:t>城限</ns0:t>
        </ns0:is>
      </ns0:c>
      <ns0:c r="L341" s="9">
        <ns0:f>I341-J341</ns0:f>
        <ns0:v>560</ns0:v>
      </ns0:c>
      <ns0:c r="M341" s="4" t="n">
        <ns0:v>8.4</ns0:v>
      </ns0:c>
      <ns0:c r="N341" s="10">
        <ns0:f>DATE(YEAR(C341),MONTH(C341),1)</ns0:f>
        <ns0:v>46204.0</ns0:v>
      </ns0:c>
      <ns0:c r="O341" s="4" t="str">
        <ns0:f>TEXT(N341,"yyyy-mm")</ns0:f>
        <ns0:v>2026-07</ns0:v>
      </ns0:c>
    </ns0:row>
    <ns0:row r="342">
      <ns0:c r="A342" s="4" t="inlineStr">
        <ns0:is>
          <ns0:t>SES-0341</ns0:t>
        </ns0:is>
      </ns0:c>
      <ns0:c r="B342" s="4" t="inlineStr">
        <ns0:is>
          <ns0:t>SYN-135</ns0:t>
        </ns0:is>
      </ns0:c>
      <ns0:c r="C342" s="10" t="n">
        <ns0:v>46230</ns0:v>
      </ns0:c>
      <ns0:c r="D342" s="4" t="inlineStr">
        <ns0:is>
          <ns0:t>Synthetic Script 135</ns0:t>
        </ns0:is>
      </ns0:c>
      <ns0:c r="E342" s="4" t="inlineStr">
        <ns0:is>
          <ns0:t>推理</ns0:t>
        </ns0:is>
      </ns0:c>
      <ns0:c r="F342" s="4" t="n">
        <ns0:v>2</ns0:v>
      </ns0:c>
      <ns0:c r="G342" s="4" t="n">
        <ns0:v>8</ns0:v>
      </ns0:c>
      <ns0:c r="H342" s="9" t="n">
        <ns0:v>95</ns0:v>
      </ns0:c>
      <ns0:c r="I342" s="9">
        <ns0:f>G342*H342</ns0:f>
        <ns0:v>760</ns0:v>
      </ns0:c>
      <ns0:c r="J342" s="9">
        <ns0:f>INDEX(Script_List!$H$2:$H$161,MATCH(B342,Script_List!$A$2:$A$161,0))</ns0:f>
        <ns0:v>200</ns0:v>
      </ns0:c>
      <ns0:c r="K342" s="4" t="inlineStr">
        <ns0:is>
          <ns0:t>城限</ns0:t>
        </ns0:is>
      </ns0:c>
      <ns0:c r="L342" s="9">
        <ns0:f>I342-J342</ns0:f>
        <ns0:v>560</ns0:v>
      </ns0:c>
      <ns0:c r="M342" s="4" t="n">
        <ns0:v>8.4</ns0:v>
      </ns0:c>
      <ns0:c r="N342" s="10">
        <ns0:f>DATE(YEAR(C342),MONTH(C342),1)</ns0:f>
        <ns0:v>46204.0</ns0:v>
      </ns0:c>
      <ns0:c r="O342" s="4" t="str">
        <ns0:f>TEXT(N342,"yyyy-mm")</ns0:f>
        <ns0:v>2026-07</ns0:v>
      </ns0:c>
    </ns0:row>
    <ns0:row r="343">
      <ns0:c r="A343" s="4" t="inlineStr">
        <ns0:is>
          <ns0:t>SES-0342</ns0:t>
        </ns0:is>
      </ns0:c>
      <ns0:c r="B343" s="4" t="inlineStr">
        <ns0:is>
          <ns0:t>SYN-135</ns0:t>
        </ns0:is>
      </ns0:c>
      <ns0:c r="C343" s="10" t="n">
        <ns0:v>46231</ns0:v>
      </ns0:c>
      <ns0:c r="D343" s="4" t="inlineStr">
        <ns0:is>
          <ns0:t>Synthetic Script 135</ns0:t>
        </ns0:is>
      </ns0:c>
      <ns0:c r="E343" s="4" t="inlineStr">
        <ns0:is>
          <ns0:t>推理</ns0:t>
        </ns0:is>
      </ns0:c>
      <ns0:c r="F343" s="4" t="n">
        <ns0:v>2</ns0:v>
      </ns0:c>
      <ns0:c r="G343" s="4" t="n">
        <ns0:v>8</ns0:v>
      </ns0:c>
      <ns0:c r="H343" s="9" t="n">
        <ns0:v>95</ns0:v>
      </ns0:c>
      <ns0:c r="I343" s="9">
        <ns0:f>G343*H343</ns0:f>
        <ns0:v>760</ns0:v>
      </ns0:c>
      <ns0:c r="J343" s="9">
        <ns0:f>INDEX(Script_List!$H$2:$H$161,MATCH(B343,Script_List!$A$2:$A$161,0))</ns0:f>
        <ns0:v>200</ns0:v>
      </ns0:c>
      <ns0:c r="K343" s="4" t="inlineStr">
        <ns0:is>
          <ns0:t>城限</ns0:t>
        </ns0:is>
      </ns0:c>
      <ns0:c r="L343" s="9">
        <ns0:f>I343-J343</ns0:f>
        <ns0:v>560</ns0:v>
      </ns0:c>
      <ns0:c r="M343" s="4" t="n">
        <ns0:v>8.4</ns0:v>
      </ns0:c>
      <ns0:c r="N343" s="10">
        <ns0:f>DATE(YEAR(C343),MONTH(C343),1)</ns0:f>
        <ns0:v>46204.0</ns0:v>
      </ns0:c>
      <ns0:c r="O343" s="4" t="str">
        <ns0:f>TEXT(N343,"yyyy-mm")</ns0:f>
        <ns0:v>2026-07</ns0:v>
      </ns0:c>
    </ns0:row>
    <ns0:row r="344">
      <ns0:c r="A344" s="4" t="inlineStr">
        <ns0:is>
          <ns0:t>SES-0343</ns0:t>
        </ns0:is>
      </ns0:c>
      <ns0:c r="B344" s="4" t="inlineStr">
        <ns0:is>
          <ns0:t>SYN-135</ns0:t>
        </ns0:is>
      </ns0:c>
      <ns0:c r="C344" s="10" t="n">
        <ns0:v>46232</ns0:v>
      </ns0:c>
      <ns0:c r="D344" s="4" t="inlineStr">
        <ns0:is>
          <ns0:t>Synthetic Script 135</ns0:t>
        </ns0:is>
      </ns0:c>
      <ns0:c r="E344" s="4" t="inlineStr">
        <ns0:is>
          <ns0:t>推理</ns0:t>
        </ns0:is>
      </ns0:c>
      <ns0:c r="F344" s="4" t="n">
        <ns0:v>2</ns0:v>
      </ns0:c>
      <ns0:c r="G344" s="4" t="n">
        <ns0:v>8</ns0:v>
      </ns0:c>
      <ns0:c r="H344" s="9" t="n">
        <ns0:v>95</ns0:v>
      </ns0:c>
      <ns0:c r="I344" s="9">
        <ns0:f>G344*H344</ns0:f>
        <ns0:v>760</ns0:v>
      </ns0:c>
      <ns0:c r="J344" s="9">
        <ns0:f>INDEX(Script_List!$H$2:$H$161,MATCH(B344,Script_List!$A$2:$A$161,0))</ns0:f>
        <ns0:v>200</ns0:v>
      </ns0:c>
      <ns0:c r="K344" s="4" t="inlineStr">
        <ns0:is>
          <ns0:t>城限</ns0:t>
        </ns0:is>
      </ns0:c>
      <ns0:c r="L344" s="9">
        <ns0:f>I344-J344</ns0:f>
        <ns0:v>560</ns0:v>
      </ns0:c>
      <ns0:c r="M344" s="4" t="n">
        <ns0:v>8.4</ns0:v>
      </ns0:c>
      <ns0:c r="N344" s="10">
        <ns0:f>DATE(YEAR(C344),MONTH(C344),1)</ns0:f>
        <ns0:v>46204.0</ns0:v>
      </ns0:c>
      <ns0:c r="O344" s="4" t="str">
        <ns0:f>TEXT(N344,"yyyy-mm")</ns0:f>
        <ns0:v>2026-07</ns0:v>
      </ns0:c>
    </ns0:row>
    <ns0:row r="345">
      <ns0:c r="A345" s="4" t="inlineStr">
        <ns0:is>
          <ns0:t>SES-0344</ns0:t>
        </ns0:is>
      </ns0:c>
      <ns0:c r="B345" s="4" t="inlineStr">
        <ns0:is>
          <ns0:t>SYN-135</ns0:t>
        </ns0:is>
      </ns0:c>
      <ns0:c r="C345" s="10" t="n">
        <ns0:v>46233</ns0:v>
      </ns0:c>
      <ns0:c r="D345" s="4" t="inlineStr">
        <ns0:is>
          <ns0:t>Synthetic Script 135</ns0:t>
        </ns0:is>
      </ns0:c>
      <ns0:c r="E345" s="4" t="inlineStr">
        <ns0:is>
          <ns0:t>推理</ns0:t>
        </ns0:is>
      </ns0:c>
      <ns0:c r="F345" s="4" t="n">
        <ns0:v>2</ns0:v>
      </ns0:c>
      <ns0:c r="G345" s="4" t="n">
        <ns0:v>8</ns0:v>
      </ns0:c>
      <ns0:c r="H345" s="9" t="n">
        <ns0:v>95</ns0:v>
      </ns0:c>
      <ns0:c r="I345" s="9">
        <ns0:f>G345*H345</ns0:f>
        <ns0:v>760</ns0:v>
      </ns0:c>
      <ns0:c r="J345" s="9">
        <ns0:f>INDEX(Script_List!$H$2:$H$161,MATCH(B345,Script_List!$A$2:$A$161,0))</ns0:f>
        <ns0:v>200</ns0:v>
      </ns0:c>
      <ns0:c r="K345" s="4" t="inlineStr">
        <ns0:is>
          <ns0:t>城限</ns0:t>
        </ns0:is>
      </ns0:c>
      <ns0:c r="L345" s="9">
        <ns0:f>I345-J345</ns0:f>
        <ns0:v>560</ns0:v>
      </ns0:c>
      <ns0:c r="M345" s="4" t="n">
        <ns0:v>8.4</ns0:v>
      </ns0:c>
      <ns0:c r="N345" s="10">
        <ns0:f>DATE(YEAR(C345),MONTH(C345),1)</ns0:f>
        <ns0:v>46204.0</ns0:v>
      </ns0:c>
      <ns0:c r="O345" s="4" t="str">
        <ns0:f>TEXT(N345,"yyyy-mm")</ns0:f>
        <ns0:v>2026-07</ns0:v>
      </ns0:c>
    </ns0:row>
    <ns0:row r="346">
      <ns0:c r="A346" s="4" t="inlineStr">
        <ns0:is>
          <ns0:t>SES-0345</ns0:t>
        </ns0:is>
      </ns0:c>
      <ns0:c r="B346" s="4" t="inlineStr">
        <ns0:is>
          <ns0:t>SYN-135</ns0:t>
        </ns0:is>
      </ns0:c>
      <ns0:c r="C346" s="10" t="n">
        <ns0:v>46234</ns0:v>
      </ns0:c>
      <ns0:c r="D346" s="4" t="inlineStr">
        <ns0:is>
          <ns0:t>Synthetic Script 135</ns0:t>
        </ns0:is>
      </ns0:c>
      <ns0:c r="E346" s="4" t="inlineStr">
        <ns0:is>
          <ns0:t>推理</ns0:t>
        </ns0:is>
      </ns0:c>
      <ns0:c r="F346" s="4" t="n">
        <ns0:v>2</ns0:v>
      </ns0:c>
      <ns0:c r="G346" s="4" t="n">
        <ns0:v>8</ns0:v>
      </ns0:c>
      <ns0:c r="H346" s="9" t="n">
        <ns0:v>95</ns0:v>
      </ns0:c>
      <ns0:c r="I346" s="9">
        <ns0:f>G346*H346</ns0:f>
        <ns0:v>760</ns0:v>
      </ns0:c>
      <ns0:c r="J346" s="9">
        <ns0:f>INDEX(Script_List!$H$2:$H$161,MATCH(B346,Script_List!$A$2:$A$161,0))</ns0:f>
        <ns0:v>200</ns0:v>
      </ns0:c>
      <ns0:c r="K346" s="4" t="inlineStr">
        <ns0:is>
          <ns0:t>城限</ns0:t>
        </ns0:is>
      </ns0:c>
      <ns0:c r="L346" s="9">
        <ns0:f>I346-J346</ns0:f>
        <ns0:v>560</ns0:v>
      </ns0:c>
      <ns0:c r="M346" s="4" t="n">
        <ns0:v>8.4</ns0:v>
      </ns0:c>
      <ns0:c r="N346" s="10">
        <ns0:f>DATE(YEAR(C346),MONTH(C346),1)</ns0:f>
        <ns0:v>46204.0</ns0:v>
      </ns0:c>
      <ns0:c r="O346" s="4" t="str">
        <ns0:f>TEXT(N346,"yyyy-mm")</ns0:f>
        <ns0:v>2026-07</ns0:v>
      </ns0:c>
    </ns0:row>
    <ns0:row r="347">
      <ns0:c r="A347" s="4" t="inlineStr">
        <ns0:is>
          <ns0:t>SES-0346</ns0:t>
        </ns0:is>
      </ns0:c>
      <ns0:c r="B347" s="4" t="inlineStr">
        <ns0:is>
          <ns0:t>SYN-135</ns0:t>
        </ns0:is>
      </ns0:c>
      <ns0:c r="C347" s="10" t="n">
        <ns0:v>46235</ns0:v>
      </ns0:c>
      <ns0:c r="D347" s="4" t="inlineStr">
        <ns0:is>
          <ns0:t>Synthetic Script 135</ns0:t>
        </ns0:is>
      </ns0:c>
      <ns0:c r="E347" s="4" t="inlineStr">
        <ns0:is>
          <ns0:t>推理</ns0:t>
        </ns0:is>
      </ns0:c>
      <ns0:c r="F347" s="4" t="n">
        <ns0:v>2</ns0:v>
      </ns0:c>
      <ns0:c r="G347" s="4" t="n">
        <ns0:v>8</ns0:v>
      </ns0:c>
      <ns0:c r="H347" s="9" t="n">
        <ns0:v>95</ns0:v>
      </ns0:c>
      <ns0:c r="I347" s="9">
        <ns0:f>G347*H347</ns0:f>
        <ns0:v>760</ns0:v>
      </ns0:c>
      <ns0:c r="J347" s="9">
        <ns0:f>INDEX(Script_List!$H$2:$H$161,MATCH(B347,Script_List!$A$2:$A$161,0))</ns0:f>
        <ns0:v>200</ns0:v>
      </ns0:c>
      <ns0:c r="K347" s="4" t="inlineStr">
        <ns0:is>
          <ns0:t>城限</ns0:t>
        </ns0:is>
      </ns0:c>
      <ns0:c r="L347" s="9">
        <ns0:f>I347-J347</ns0:f>
        <ns0:v>560</ns0:v>
      </ns0:c>
      <ns0:c r="M347" s="4" t="n">
        <ns0:v>8.4</ns0:v>
      </ns0:c>
      <ns0:c r="N347" s="10">
        <ns0:f>DATE(YEAR(C347),MONTH(C347),1)</ns0:f>
        <ns0:v>46235.0</ns0:v>
      </ns0:c>
      <ns0:c r="O347" s="4" t="str">
        <ns0:f>TEXT(N347,"yyyy-mm")</ns0:f>
        <ns0:v>2026-08</ns0:v>
      </ns0:c>
    </ns0:row>
    <ns0:row r="348">
      <ns0:c r="A348" s="4" t="inlineStr">
        <ns0:is>
          <ns0:t>SES-0347</ns0:t>
        </ns0:is>
      </ns0:c>
      <ns0:c r="B348" s="4" t="inlineStr">
        <ns0:is>
          <ns0:t>SYN-136</ns0:t>
        </ns0:is>
      </ns0:c>
      <ns0:c r="C348" s="10" t="n">
        <ns0:v>46236</ns0:v>
      </ns0:c>
      <ns0:c r="D348" s="4" t="inlineStr">
        <ns0:is>
          <ns0:t>Synthetic Script 136</ns0:t>
        </ns0:is>
      </ns0:c>
      <ns0:c r="E348" s="4" t="inlineStr">
        <ns0:is>
          <ns0:t>情感</ns0:t>
        </ns0:is>
      </ns0:c>
      <ns0:c r="F348" s="4" t="n">
        <ns0:v>2</ns0:v>
      </ns0:c>
      <ns0:c r="G348" s="4" t="n">
        <ns0:v>6</ns0:v>
      </ns0:c>
      <ns0:c r="H348" s="9" t="n">
        <ns0:v>138</ns0:v>
      </ns0:c>
      <ns0:c r="I348" s="9">
        <ns0:f>G348*H348</ns0:f>
        <ns0:v>828</ns0:v>
      </ns0:c>
      <ns0:c r="J348" s="9">
        <ns0:f>INDEX(Script_List!$H$2:$H$161,MATCH(B348,Script_List!$A$2:$A$161,0))</ns0:f>
        <ns0:v>180</ns0:v>
      </ns0:c>
      <ns0:c r="K348" s="4" t="inlineStr">
        <ns0:is>
          <ns0:t>盒装</ns0:t>
        </ns0:is>
      </ns0:c>
      <ns0:c r="L348" s="9">
        <ns0:f>I348-J348</ns0:f>
        <ns0:v>648</ns0:v>
      </ns0:c>
      <ns0:c r="M348" s="4" t="n">
        <ns0:v>7</ns0:v>
      </ns0:c>
      <ns0:c r="N348" s="10">
        <ns0:f>DATE(YEAR(C348),MONTH(C348),1)</ns0:f>
        <ns0:v>46235.0</ns0:v>
      </ns0:c>
      <ns0:c r="O348" s="4" t="str">
        <ns0:f>TEXT(N348,"yyyy-mm")</ns0:f>
        <ns0:v>2026-08</ns0:v>
      </ns0:c>
    </ns0:row>
    <ns0:row r="349">
      <ns0:c r="A349" s="4" t="inlineStr">
        <ns0:is>
          <ns0:t>SES-0348</ns0:t>
        </ns0:is>
      </ns0:c>
      <ns0:c r="B349" s="4" t="inlineStr">
        <ns0:is>
          <ns0:t>SYN-137</ns0:t>
        </ns0:is>
      </ns0:c>
      <ns0:c r="C349" s="10" t="n">
        <ns0:v>46237</ns0:v>
      </ns0:c>
      <ns0:c r="D349" s="4" t="inlineStr">
        <ns0:is>
          <ns0:t>Synthetic Script 137</ns0:t>
        </ns0:is>
      </ns0:c>
      <ns0:c r="E349" s="4" t="inlineStr">
        <ns0:is>
          <ns0:t>机制</ns0:t>
        </ns0:is>
      </ns0:c>
      <ns0:c r="F349" s="4" t="n">
        <ns0:v>1</ns0:v>
      </ns0:c>
      <ns0:c r="G349" s="4" t="n">
        <ns0:v>6</ns0:v>
      </ns0:c>
      <ns0:c r="H349" s="9" t="n">
        <ns0:v>109</ns0:v>
      </ns0:c>
      <ns0:c r="I349" s="9">
        <ns0:f>G349*H349</ns0:f>
        <ns0:v>654</ns0:v>
      </ns0:c>
      <ns0:c r="J349" s="9">
        <ns0:f>INDEX(Script_List!$H$2:$H$161,MATCH(B349,Script_List!$A$2:$A$161,0))</ns0:f>
        <ns0:v>172</ns0:v>
      </ns0:c>
      <ns0:c r="K349" s="4" t="inlineStr">
        <ns0:is>
          <ns0:t>城限</ns0:t>
        </ns0:is>
      </ns0:c>
      <ns0:c r="L349" s="9">
        <ns0:f>I349-J349</ns0:f>
        <ns0:v>482</ns0:v>
      </ns0:c>
      <ns0:c r="M349" s="4" t="n">
        <ns0:v>7.7</ns0:v>
      </ns0:c>
      <ns0:c r="N349" s="10">
        <ns0:f>DATE(YEAR(C349),MONTH(C349),1)</ns0:f>
        <ns0:v>46235.0</ns0:v>
      </ns0:c>
      <ns0:c r="O349" s="4" t="str">
        <ns0:f>TEXT(N349,"yyyy-mm")</ns0:f>
        <ns0:v>2026-08</ns0:v>
      </ns0:c>
    </ns0:row>
    <ns0:row r="350">
      <ns0:c r="A350" s="4" t="inlineStr">
        <ns0:is>
          <ns0:t>SES-0349</ns0:t>
        </ns0:is>
      </ns0:c>
      <ns0:c r="B350" s="4" t="inlineStr">
        <ns0:is>
          <ns0:t>SYN-137</ns0:t>
        </ns0:is>
      </ns0:c>
      <ns0:c r="C350" s="10" t="n">
        <ns0:v>46238</ns0:v>
      </ns0:c>
      <ns0:c r="D350" s="4" t="inlineStr">
        <ns0:is>
          <ns0:t>Synthetic Script 137</ns0:t>
        </ns0:is>
      </ns0:c>
      <ns0:c r="E350" s="4" t="inlineStr">
        <ns0:is>
          <ns0:t>机制</ns0:t>
        </ns0:is>
      </ns0:c>
      <ns0:c r="F350" s="4" t="n">
        <ns0:v>1</ns0:v>
      </ns0:c>
      <ns0:c r="G350" s="4" t="n">
        <ns0:v>6</ns0:v>
      </ns0:c>
      <ns0:c r="H350" s="9" t="n">
        <ns0:v>109</ns0:v>
      </ns0:c>
      <ns0:c r="I350" s="9">
        <ns0:f>G350*H350</ns0:f>
        <ns0:v>654</ns0:v>
      </ns0:c>
      <ns0:c r="J350" s="9">
        <ns0:f>INDEX(Script_List!$H$2:$H$161,MATCH(B350,Script_List!$A$2:$A$161,0))</ns0:f>
        <ns0:v>172</ns0:v>
      </ns0:c>
      <ns0:c r="K350" s="4" t="inlineStr">
        <ns0:is>
          <ns0:t>城限</ns0:t>
        </ns0:is>
      </ns0:c>
      <ns0:c r="L350" s="9">
        <ns0:f>I350-J350</ns0:f>
        <ns0:v>482</ns0:v>
      </ns0:c>
      <ns0:c r="M350" s="4" t="n">
        <ns0:v>7.7</ns0:v>
      </ns0:c>
      <ns0:c r="N350" s="10">
        <ns0:f>DATE(YEAR(C350),MONTH(C350),1)</ns0:f>
        <ns0:v>46235.0</ns0:v>
      </ns0:c>
      <ns0:c r="O350" s="4" t="str">
        <ns0:f>TEXT(N350,"yyyy-mm")</ns0:f>
        <ns0:v>2026-08</ns0:v>
      </ns0:c>
    </ns0:row>
    <ns0:row r="351">
      <ns0:c r="A351" s="4" t="inlineStr">
        <ns0:is>
          <ns0:t>SES-0350</ns0:t>
        </ns0:is>
      </ns0:c>
      <ns0:c r="B351" s="4" t="inlineStr">
        <ns0:is>
          <ns0:t>SYN-137</ns0:t>
        </ns0:is>
      </ns0:c>
      <ns0:c r="C351" s="10" t="n">
        <ns0:v>46239</ns0:v>
      </ns0:c>
      <ns0:c r="D351" s="4" t="inlineStr">
        <ns0:is>
          <ns0:t>Synthetic Script 137</ns0:t>
        </ns0:is>
      </ns0:c>
      <ns0:c r="E351" s="4" t="inlineStr">
        <ns0:is>
          <ns0:t>机制</ns0:t>
        </ns0:is>
      </ns0:c>
      <ns0:c r="F351" s="4" t="n">
        <ns0:v>1</ns0:v>
      </ns0:c>
      <ns0:c r="G351" s="4" t="n">
        <ns0:v>6</ns0:v>
      </ns0:c>
      <ns0:c r="H351" s="9" t="n">
        <ns0:v>109</ns0:v>
      </ns0:c>
      <ns0:c r="I351" s="9">
        <ns0:f>G351*H351</ns0:f>
        <ns0:v>654</ns0:v>
      </ns0:c>
      <ns0:c r="J351" s="9">
        <ns0:f>INDEX(Script_List!$H$2:$H$161,MATCH(B351,Script_List!$A$2:$A$161,0))</ns0:f>
        <ns0:v>172</ns0:v>
      </ns0:c>
      <ns0:c r="K351" s="4" t="inlineStr">
        <ns0:is>
          <ns0:t>城限</ns0:t>
        </ns0:is>
      </ns0:c>
      <ns0:c r="L351" s="9">
        <ns0:f>I351-J351</ns0:f>
        <ns0:v>482</ns0:v>
      </ns0:c>
      <ns0:c r="M351" s="4" t="n">
        <ns0:v>7.7</ns0:v>
      </ns0:c>
      <ns0:c r="N351" s="10">
        <ns0:f>DATE(YEAR(C351),MONTH(C351),1)</ns0:f>
        <ns0:v>46235.0</ns0:v>
      </ns0:c>
      <ns0:c r="O351" s="4" t="str">
        <ns0:f>TEXT(N351,"yyyy-mm")</ns0:f>
        <ns0:v>2026-08</ns0:v>
      </ns0:c>
    </ns0:row>
    <ns0:row r="352">
      <ns0:c r="A352" s="4" t="inlineStr">
        <ns0:is>
          <ns0:t>SES-0351</ns0:t>
        </ns0:is>
      </ns0:c>
      <ns0:c r="B352" s="4" t="inlineStr">
        <ns0:is>
          <ns0:t>SYN-138</ns0:t>
        </ns0:is>
      </ns0:c>
      <ns0:c r="C352" s="10" t="n">
        <ns0:v>46240</ns0:v>
      </ns0:c>
      <ns0:c r="D352" s="4" t="inlineStr">
        <ns0:is>
          <ns0:t>Synthetic Script 138</ns0:t>
        </ns0:is>
      </ns0:c>
      <ns0:c r="E352" s="4" t="inlineStr">
        <ns0:is>
          <ns0:t>推理</ns0:t>
        </ns0:is>
      </ns0:c>
      <ns0:c r="F352" s="4" t="n">
        <ns0:v>1</ns0:v>
      </ns0:c>
      <ns0:c r="G352" s="4" t="n">
        <ns0:v>6</ns0:v>
      </ns0:c>
      <ns0:c r="H352" s="9" t="n">
        <ns0:v>75</ns0:v>
      </ns0:c>
      <ns0:c r="I352" s="9">
        <ns0:f>G352*H352</ns0:f>
        <ns0:v>450</ns0:v>
      </ns0:c>
      <ns0:c r="J352" s="9">
        <ns0:f>INDEX(Script_List!$H$2:$H$161,MATCH(B352,Script_List!$A$2:$A$161,0))</ns0:f>
        <ns0:v>118</ns0:v>
      </ns0:c>
      <ns0:c r="K352" s="4" t="inlineStr">
        <ns0:is>
          <ns0:t>盒装</ns0:t>
        </ns0:is>
      </ns0:c>
      <ns0:c r="L352" s="9">
        <ns0:f>I352-J352</ns0:f>
        <ns0:v>332</ns0:v>
      </ns0:c>
      <ns0:c r="M352" s="4" t="n">
        <ns0:v>8.4</ns0:v>
      </ns0:c>
      <ns0:c r="N352" s="10">
        <ns0:f>DATE(YEAR(C352),MONTH(C352),1)</ns0:f>
        <ns0:v>46235.0</ns0:v>
      </ns0:c>
      <ns0:c r="O352" s="4" t="str">
        <ns0:f>TEXT(N352,"yyyy-mm")</ns0:f>
        <ns0:v>2026-08</ns0:v>
      </ns0:c>
    </ns0:row>
    <ns0:row r="353">
      <ns0:c r="A353" s="4" t="inlineStr">
        <ns0:is>
          <ns0:t>SES-0352</ns0:t>
        </ns0:is>
      </ns0:c>
      <ns0:c r="B353" s="4" t="inlineStr">
        <ns0:is>
          <ns0:t>SYN-138</ns0:t>
        </ns0:is>
      </ns0:c>
      <ns0:c r="C353" s="10" t="n">
        <ns0:v>46241</ns0:v>
      </ns0:c>
      <ns0:c r="D353" s="4" t="inlineStr">
        <ns0:is>
          <ns0:t>Synthetic Script 138</ns0:t>
        </ns0:is>
      </ns0:c>
      <ns0:c r="E353" s="4" t="inlineStr">
        <ns0:is>
          <ns0:t>推理</ns0:t>
        </ns0:is>
      </ns0:c>
      <ns0:c r="F353" s="4" t="n">
        <ns0:v>1</ns0:v>
      </ns0:c>
      <ns0:c r="G353" s="4" t="n">
        <ns0:v>6</ns0:v>
      </ns0:c>
      <ns0:c r="H353" s="9" t="n">
        <ns0:v>75</ns0:v>
      </ns0:c>
      <ns0:c r="I353" s="9">
        <ns0:f>G353*H353</ns0:f>
        <ns0:v>450</ns0:v>
      </ns0:c>
      <ns0:c r="J353" s="9">
        <ns0:f>INDEX(Script_List!$H$2:$H$161,MATCH(B353,Script_List!$A$2:$A$161,0))</ns0:f>
        <ns0:v>118</ns0:v>
      </ns0:c>
      <ns0:c r="K353" s="4" t="inlineStr">
        <ns0:is>
          <ns0:t>盒装</ns0:t>
        </ns0:is>
      </ns0:c>
      <ns0:c r="L353" s="9">
        <ns0:f>I353-J353</ns0:f>
        <ns0:v>332</ns0:v>
      </ns0:c>
      <ns0:c r="M353" s="4" t="n">
        <ns0:v>8.4</ns0:v>
      </ns0:c>
      <ns0:c r="N353" s="10">
        <ns0:f>DATE(YEAR(C353),MONTH(C353),1)</ns0:f>
        <ns0:v>46235.0</ns0:v>
      </ns0:c>
      <ns0:c r="O353" s="4" t="str">
        <ns0:f>TEXT(N353,"yyyy-mm")</ns0:f>
        <ns0:v>2026-08</ns0:v>
      </ns0:c>
    </ns0:row>
    <ns0:row r="354">
      <ns0:c r="A354" s="4" t="inlineStr">
        <ns0:is>
          <ns0:t>SES-0353</ns0:t>
        </ns0:is>
      </ns0:c>
      <ns0:c r="B354" s="4" t="inlineStr">
        <ns0:is>
          <ns0:t>SYN-138</ns0:t>
        </ns0:is>
      </ns0:c>
      <ns0:c r="C354" s="10" t="n">
        <ns0:v>46242</ns0:v>
      </ns0:c>
      <ns0:c r="D354" s="4" t="inlineStr">
        <ns0:is>
          <ns0:t>Synthetic Script 138</ns0:t>
        </ns0:is>
      </ns0:c>
      <ns0:c r="E354" s="4" t="inlineStr">
        <ns0:is>
          <ns0:t>推理</ns0:t>
        </ns0:is>
      </ns0:c>
      <ns0:c r="F354" s="4" t="n">
        <ns0:v>1</ns0:v>
      </ns0:c>
      <ns0:c r="G354" s="4" t="n">
        <ns0:v>6</ns0:v>
      </ns0:c>
      <ns0:c r="H354" s="9" t="n">
        <ns0:v>75</ns0:v>
      </ns0:c>
      <ns0:c r="I354" s="9">
        <ns0:f>G354*H354</ns0:f>
        <ns0:v>450</ns0:v>
      </ns0:c>
      <ns0:c r="J354" s="9">
        <ns0:f>INDEX(Script_List!$H$2:$H$161,MATCH(B354,Script_List!$A$2:$A$161,0))</ns0:f>
        <ns0:v>118</ns0:v>
      </ns0:c>
      <ns0:c r="K354" s="4" t="inlineStr">
        <ns0:is>
          <ns0:t>盒装</ns0:t>
        </ns0:is>
      </ns0:c>
      <ns0:c r="L354" s="9">
        <ns0:f>I354-J354</ns0:f>
        <ns0:v>332</ns0:v>
      </ns0:c>
      <ns0:c r="M354" s="4" t="n">
        <ns0:v>8.4</ns0:v>
      </ns0:c>
      <ns0:c r="N354" s="10">
        <ns0:f>DATE(YEAR(C354),MONTH(C354),1)</ns0:f>
        <ns0:v>46235.0</ns0:v>
      </ns0:c>
      <ns0:c r="O354" s="4" t="str">
        <ns0:f>TEXT(N354,"yyyy-mm")</ns0:f>
        <ns0:v>2026-08</ns0:v>
      </ns0:c>
    </ns0:row>
    <ns0:row r="355">
      <ns0:c r="A355" s="4" t="inlineStr">
        <ns0:is>
          <ns0:t>SES-0354</ns0:t>
        </ns0:is>
      </ns0:c>
      <ns0:c r="B355" s="4" t="inlineStr">
        <ns0:is>
          <ns0:t>SYN-138</ns0:t>
        </ns0:is>
      </ns0:c>
      <ns0:c r="C355" s="10" t="n">
        <ns0:v>46243</ns0:v>
      </ns0:c>
      <ns0:c r="D355" s="4" t="inlineStr">
        <ns0:is>
          <ns0:t>Synthetic Script 138</ns0:t>
        </ns0:is>
      </ns0:c>
      <ns0:c r="E355" s="4" t="inlineStr">
        <ns0:is>
          <ns0:t>推理</ns0:t>
        </ns0:is>
      </ns0:c>
      <ns0:c r="F355" s="4" t="n">
        <ns0:v>1</ns0:v>
      </ns0:c>
      <ns0:c r="G355" s="4" t="n">
        <ns0:v>6</ns0:v>
      </ns0:c>
      <ns0:c r="H355" s="9" t="n">
        <ns0:v>75</ns0:v>
      </ns0:c>
      <ns0:c r="I355" s="9">
        <ns0:f>G355*H355</ns0:f>
        <ns0:v>450</ns0:v>
      </ns0:c>
      <ns0:c r="J355" s="9">
        <ns0:f>INDEX(Script_List!$H$2:$H$161,MATCH(B355,Script_List!$A$2:$A$161,0))</ns0:f>
        <ns0:v>118</ns0:v>
      </ns0:c>
      <ns0:c r="K355" s="4" t="inlineStr">
        <ns0:is>
          <ns0:t>盒装</ns0:t>
        </ns0:is>
      </ns0:c>
      <ns0:c r="L355" s="9">
        <ns0:f>I355-J355</ns0:f>
        <ns0:v>332</ns0:v>
      </ns0:c>
      <ns0:c r="M355" s="4" t="n">
        <ns0:v>8.4</ns0:v>
      </ns0:c>
      <ns0:c r="N355" s="10">
        <ns0:f>DATE(YEAR(C355),MONTH(C355),1)</ns0:f>
        <ns0:v>46235.0</ns0:v>
      </ns0:c>
      <ns0:c r="O355" s="4" t="str">
        <ns0:f>TEXT(N355,"yyyy-mm")</ns0:f>
        <ns0:v>2026-08</ns0:v>
      </ns0:c>
    </ns0:row>
    <ns0:row r="356">
      <ns0:c r="A356" s="4" t="inlineStr">
        <ns0:is>
          <ns0:t>SES-0355</ns0:t>
        </ns0:is>
      </ns0:c>
      <ns0:c r="B356" s="4" t="inlineStr">
        <ns0:is>
          <ns0:t>SYN-138</ns0:t>
        </ns0:is>
      </ns0:c>
      <ns0:c r="C356" s="10" t="n">
        <ns0:v>46244</ns0:v>
      </ns0:c>
      <ns0:c r="D356" s="4" t="inlineStr">
        <ns0:is>
          <ns0:t>Synthetic Script 138</ns0:t>
        </ns0:is>
      </ns0:c>
      <ns0:c r="E356" s="4" t="inlineStr">
        <ns0:is>
          <ns0:t>推理</ns0:t>
        </ns0:is>
      </ns0:c>
      <ns0:c r="F356" s="4" t="n">
        <ns0:v>1</ns0:v>
      </ns0:c>
      <ns0:c r="G356" s="4" t="n">
        <ns0:v>6</ns0:v>
      </ns0:c>
      <ns0:c r="H356" s="9" t="n">
        <ns0:v>75</ns0:v>
      </ns0:c>
      <ns0:c r="I356" s="9">
        <ns0:f>G356*H356</ns0:f>
        <ns0:v>450</ns0:v>
      </ns0:c>
      <ns0:c r="J356" s="9">
        <ns0:f>INDEX(Script_List!$H$2:$H$161,MATCH(B356,Script_List!$A$2:$A$161,0))</ns0:f>
        <ns0:v>118</ns0:v>
      </ns0:c>
      <ns0:c r="K356" s="4" t="inlineStr">
        <ns0:is>
          <ns0:t>盒装</ns0:t>
        </ns0:is>
      </ns0:c>
      <ns0:c r="L356" s="9">
        <ns0:f>I356-J356</ns0:f>
        <ns0:v>332</ns0:v>
      </ns0:c>
      <ns0:c r="M356" s="4" t="n">
        <ns0:v>8.4</ns0:v>
      </ns0:c>
      <ns0:c r="N356" s="10">
        <ns0:f>DATE(YEAR(C356),MONTH(C356),1)</ns0:f>
        <ns0:v>46235.0</ns0:v>
      </ns0:c>
      <ns0:c r="O356" s="4" t="str">
        <ns0:f>TEXT(N356,"yyyy-mm")</ns0:f>
        <ns0:v>2026-08</ns0:v>
      </ns0:c>
    </ns0:row>
    <ns0:row r="357">
      <ns0:c r="A357" s="4" t="inlineStr">
        <ns0:is>
          <ns0:t>SES-0356</ns0:t>
        </ns0:is>
      </ns0:c>
      <ns0:c r="B357" s="4" t="inlineStr">
        <ns0:is>
          <ns0:t>SYN-138</ns0:t>
        </ns0:is>
      </ns0:c>
      <ns0:c r="C357" s="10" t="n">
        <ns0:v>46245</ns0:v>
      </ns0:c>
      <ns0:c r="D357" s="4" t="inlineStr">
        <ns0:is>
          <ns0:t>Synthetic Script 138</ns0:t>
        </ns0:is>
      </ns0:c>
      <ns0:c r="E357" s="4" t="inlineStr">
        <ns0:is>
          <ns0:t>推理</ns0:t>
        </ns0:is>
      </ns0:c>
      <ns0:c r="F357" s="4" t="n">
        <ns0:v>1</ns0:v>
      </ns0:c>
      <ns0:c r="G357" s="4" t="n">
        <ns0:v>6</ns0:v>
      </ns0:c>
      <ns0:c r="H357" s="9" t="n">
        <ns0:v>75</ns0:v>
      </ns0:c>
      <ns0:c r="I357" s="9">
        <ns0:f>G357*H357</ns0:f>
        <ns0:v>450</ns0:v>
      </ns0:c>
      <ns0:c r="J357" s="9">
        <ns0:f>INDEX(Script_List!$H$2:$H$161,MATCH(B357,Script_List!$A$2:$A$161,0))</ns0:f>
        <ns0:v>118</ns0:v>
      </ns0:c>
      <ns0:c r="K357" s="4" t="inlineStr">
        <ns0:is>
          <ns0:t>盒装</ns0:t>
        </ns0:is>
      </ns0:c>
      <ns0:c r="L357" s="9">
        <ns0:f>I357-J357</ns0:f>
        <ns0:v>332</ns0:v>
      </ns0:c>
      <ns0:c r="M357" s="4" t="n">
        <ns0:v>8.4</ns0:v>
      </ns0:c>
      <ns0:c r="N357" s="10">
        <ns0:f>DATE(YEAR(C357),MONTH(C357),1)</ns0:f>
        <ns0:v>46235.0</ns0:v>
      </ns0:c>
      <ns0:c r="O357" s="4" t="str">
        <ns0:f>TEXT(N357,"yyyy-mm")</ns0:f>
        <ns0:v>2026-08</ns0:v>
      </ns0:c>
    </ns0:row>
    <ns0:row r="358">
      <ns0:c r="A358" s="4" t="inlineStr">
        <ns0:is>
          <ns0:t>SES-0357</ns0:t>
        </ns0:is>
      </ns0:c>
      <ns0:c r="B358" s="4" t="inlineStr">
        <ns0:is>
          <ns0:t>SYN-138</ns0:t>
        </ns0:is>
      </ns0:c>
      <ns0:c r="C358" s="10" t="n">
        <ns0:v>46246</ns0:v>
      </ns0:c>
      <ns0:c r="D358" s="4" t="inlineStr">
        <ns0:is>
          <ns0:t>Synthetic Script 138</ns0:t>
        </ns0:is>
      </ns0:c>
      <ns0:c r="E358" s="4" t="inlineStr">
        <ns0:is>
          <ns0:t>推理</ns0:t>
        </ns0:is>
      </ns0:c>
      <ns0:c r="F358" s="4" t="n">
        <ns0:v>1</ns0:v>
      </ns0:c>
      <ns0:c r="G358" s="4" t="n">
        <ns0:v>6</ns0:v>
      </ns0:c>
      <ns0:c r="H358" s="9" t="n">
        <ns0:v>75</ns0:v>
      </ns0:c>
      <ns0:c r="I358" s="9">
        <ns0:f>G358*H358</ns0:f>
        <ns0:v>450</ns0:v>
      </ns0:c>
      <ns0:c r="J358" s="9">
        <ns0:f>INDEX(Script_List!$H$2:$H$161,MATCH(B358,Script_List!$A$2:$A$161,0))</ns0:f>
        <ns0:v>118</ns0:v>
      </ns0:c>
      <ns0:c r="K358" s="4" t="inlineStr">
        <ns0:is>
          <ns0:t>盒装</ns0:t>
        </ns0:is>
      </ns0:c>
      <ns0:c r="L358" s="9">
        <ns0:f>I358-J358</ns0:f>
        <ns0:v>332</ns0:v>
      </ns0:c>
      <ns0:c r="M358" s="4" t="n">
        <ns0:v>8.4</ns0:v>
      </ns0:c>
      <ns0:c r="N358" s="10">
        <ns0:f>DATE(YEAR(C358),MONTH(C358),1)</ns0:f>
        <ns0:v>46235.0</ns0:v>
      </ns0:c>
      <ns0:c r="O358" s="4" t="str">
        <ns0:f>TEXT(N358,"yyyy-mm")</ns0:f>
        <ns0:v>2026-08</ns0:v>
      </ns0:c>
    </ns0:row>
    <ns0:row r="359">
      <ns0:c r="A359" s="4" t="inlineStr">
        <ns0:is>
          <ns0:t>SES-0358</ns0:t>
        </ns0:is>
      </ns0:c>
      <ns0:c r="B359" s="4" t="inlineStr">
        <ns0:is>
          <ns0:t>SYN-138</ns0:t>
        </ns0:is>
      </ns0:c>
      <ns0:c r="C359" s="10" t="n">
        <ns0:v>46247</ns0:v>
      </ns0:c>
      <ns0:c r="D359" s="4" t="inlineStr">
        <ns0:is>
          <ns0:t>Synthetic Script 138</ns0:t>
        </ns0:is>
      </ns0:c>
      <ns0:c r="E359" s="4" t="inlineStr">
        <ns0:is>
          <ns0:t>推理</ns0:t>
        </ns0:is>
      </ns0:c>
      <ns0:c r="F359" s="4" t="n">
        <ns0:v>1</ns0:v>
      </ns0:c>
      <ns0:c r="G359" s="4" t="n">
        <ns0:v>6</ns0:v>
      </ns0:c>
      <ns0:c r="H359" s="9" t="n">
        <ns0:v>75</ns0:v>
      </ns0:c>
      <ns0:c r="I359" s="9">
        <ns0:f>G359*H359</ns0:f>
        <ns0:v>450</ns0:v>
      </ns0:c>
      <ns0:c r="J359" s="9">
        <ns0:f>INDEX(Script_List!$H$2:$H$161,MATCH(B359,Script_List!$A$2:$A$161,0))</ns0:f>
        <ns0:v>118</ns0:v>
      </ns0:c>
      <ns0:c r="K359" s="4" t="inlineStr">
        <ns0:is>
          <ns0:t>盒装</ns0:t>
        </ns0:is>
      </ns0:c>
      <ns0:c r="L359" s="9">
        <ns0:f>I359-J359</ns0:f>
        <ns0:v>332</ns0:v>
      </ns0:c>
      <ns0:c r="M359" s="4" t="n">
        <ns0:v>8.4</ns0:v>
      </ns0:c>
      <ns0:c r="N359" s="10">
        <ns0:f>DATE(YEAR(C359),MONTH(C359),1)</ns0:f>
        <ns0:v>46235.0</ns0:v>
      </ns0:c>
      <ns0:c r="O359" s="4" t="str">
        <ns0:f>TEXT(N359,"yyyy-mm")</ns0:f>
        <ns0:v>2026-08</ns0:v>
      </ns0:c>
    </ns0:row>
    <ns0:row r="360">
      <ns0:c r="A360" s="4" t="inlineStr">
        <ns0:is>
          <ns0:t>SES-0359</ns0:t>
        </ns0:is>
      </ns0:c>
      <ns0:c r="B360" s="4" t="inlineStr">
        <ns0:is>
          <ns0:t>SYN-138</ns0:t>
        </ns0:is>
      </ns0:c>
      <ns0:c r="C360" s="10" t="n">
        <ns0:v>46248</ns0:v>
      </ns0:c>
      <ns0:c r="D360" s="4" t="inlineStr">
        <ns0:is>
          <ns0:t>Synthetic Script 138</ns0:t>
        </ns0:is>
      </ns0:c>
      <ns0:c r="E360" s="4" t="inlineStr">
        <ns0:is>
          <ns0:t>推理</ns0:t>
        </ns0:is>
      </ns0:c>
      <ns0:c r="F360" s="4" t="n">
        <ns0:v>1</ns0:v>
      </ns0:c>
      <ns0:c r="G360" s="4" t="n">
        <ns0:v>6</ns0:v>
      </ns0:c>
      <ns0:c r="H360" s="9" t="n">
        <ns0:v>75</ns0:v>
      </ns0:c>
      <ns0:c r="I360" s="9">
        <ns0:f>G360*H360</ns0:f>
        <ns0:v>450</ns0:v>
      </ns0:c>
      <ns0:c r="J360" s="9">
        <ns0:f>INDEX(Script_List!$H$2:$H$161,MATCH(B360,Script_List!$A$2:$A$161,0))</ns0:f>
        <ns0:v>118</ns0:v>
      </ns0:c>
      <ns0:c r="K360" s="4" t="inlineStr">
        <ns0:is>
          <ns0:t>盒装</ns0:t>
        </ns0:is>
      </ns0:c>
      <ns0:c r="L360" s="9">
        <ns0:f>I360-J360</ns0:f>
        <ns0:v>332</ns0:v>
      </ns0:c>
      <ns0:c r="M360" s="4" t="n">
        <ns0:v>8.4</ns0:v>
      </ns0:c>
      <ns0:c r="N360" s="10">
        <ns0:f>DATE(YEAR(C360),MONTH(C360),1)</ns0:f>
        <ns0:v>46235.0</ns0:v>
      </ns0:c>
      <ns0:c r="O360" s="4" t="str">
        <ns0:f>TEXT(N360,"yyyy-mm")</ns0:f>
        <ns0:v>2026-08</ns0:v>
      </ns0:c>
    </ns0:row>
    <ns0:row r="361">
      <ns0:c r="A361" s="4" t="inlineStr">
        <ns0:is>
          <ns0:t>SES-0360</ns0:t>
        </ns0:is>
      </ns0:c>
      <ns0:c r="B361" s="4" t="inlineStr">
        <ns0:is>
          <ns0:t>SYN-138</ns0:t>
        </ns0:is>
      </ns0:c>
      <ns0:c r="C361" s="10" t="n">
        <ns0:v>46249</ns0:v>
      </ns0:c>
      <ns0:c r="D361" s="4" t="inlineStr">
        <ns0:is>
          <ns0:t>Synthetic Script 138</ns0:t>
        </ns0:is>
      </ns0:c>
      <ns0:c r="E361" s="4" t="inlineStr">
        <ns0:is>
          <ns0:t>推理</ns0:t>
        </ns0:is>
      </ns0:c>
      <ns0:c r="F361" s="4" t="n">
        <ns0:v>1</ns0:v>
      </ns0:c>
      <ns0:c r="G361" s="4" t="n">
        <ns0:v>6</ns0:v>
      </ns0:c>
      <ns0:c r="H361" s="9" t="n">
        <ns0:v>75</ns0:v>
      </ns0:c>
      <ns0:c r="I361" s="9">
        <ns0:f>G361*H361</ns0:f>
        <ns0:v>450</ns0:v>
      </ns0:c>
      <ns0:c r="J361" s="9">
        <ns0:f>INDEX(Script_List!$H$2:$H$161,MATCH(B361,Script_List!$A$2:$A$161,0))</ns0:f>
        <ns0:v>118</ns0:v>
      </ns0:c>
      <ns0:c r="K361" s="4" t="inlineStr">
        <ns0:is>
          <ns0:t>盒装</ns0:t>
        </ns0:is>
      </ns0:c>
      <ns0:c r="L361" s="9">
        <ns0:f>I361-J361</ns0:f>
        <ns0:v>332</ns0:v>
      </ns0:c>
      <ns0:c r="M361" s="4" t="n">
        <ns0:v>8.4</ns0:v>
      </ns0:c>
      <ns0:c r="N361" s="10">
        <ns0:f>DATE(YEAR(C361),MONTH(C361),1)</ns0:f>
        <ns0:v>46235.0</ns0:v>
      </ns0:c>
      <ns0:c r="O361" s="4" t="str">
        <ns0:f>TEXT(N361,"yyyy-mm")</ns0:f>
        <ns0:v>2026-08</ns0:v>
      </ns0:c>
    </ns0:row>
    <ns0:row r="362">
      <ns0:c r="A362" s="4" t="inlineStr">
        <ns0:is>
          <ns0:t>SES-0361</ns0:t>
        </ns0:is>
      </ns0:c>
      <ns0:c r="B362" s="4" t="inlineStr">
        <ns0:is>
          <ns0:t>SYN-139</ns0:t>
        </ns0:is>
      </ns0:c>
      <ns0:c r="C362" s="10" t="n">
        <ns0:v>46250</ns0:v>
      </ns0:c>
      <ns0:c r="D362" s="4" t="inlineStr">
        <ns0:is>
          <ns0:t>Synthetic Script 139</ns0:t>
        </ns0:is>
      </ns0:c>
      <ns0:c r="E362" s="4" t="inlineStr">
        <ns0:is>
          <ns0:t>欢乐</ns0:t>
        </ns0:is>
      </ns0:c>
      <ns0:c r="F362" s="4" t="n">
        <ns0:v>3</ns0:v>
      </ns0:c>
      <ns0:c r="G362" s="4" t="n">
        <ns0:v>7</ns0:v>
      </ns0:c>
      <ns0:c r="H362" s="9" t="n">
        <ns0:v>118</ns0:v>
      </ns0:c>
      <ns0:c r="I362" s="9">
        <ns0:f>G362*H362</ns0:f>
        <ns0:v>826</ns0:v>
      </ns0:c>
      <ns0:c r="J362" s="9">
        <ns0:f>INDEX(Script_List!$H$2:$H$161,MATCH(B362,Script_List!$A$2:$A$161,0))</ns0:f>
        <ns0:v>217</ns0:v>
      </ns0:c>
      <ns0:c r="K362" s="4" t="inlineStr">
        <ns0:is>
          <ns0:t>独家</ns0:t>
        </ns0:is>
      </ns0:c>
      <ns0:c r="L362" s="9">
        <ns0:f>I362-J362</ns0:f>
        <ns0:v>609</ns0:v>
      </ns0:c>
      <ns0:c r="M362" s="4" t="n">
        <ns0:v>7</ns0:v>
      </ns0:c>
      <ns0:c r="N362" s="10">
        <ns0:f>DATE(YEAR(C362),MONTH(C362),1)</ns0:f>
        <ns0:v>46235.0</ns0:v>
      </ns0:c>
      <ns0:c r="O362" s="4" t="str">
        <ns0:f>TEXT(N362,"yyyy-mm")</ns0:f>
        <ns0:v>2026-08</ns0:v>
      </ns0:c>
    </ns0:row>
    <ns0:row r="363">
      <ns0:c r="A363" s="4" t="inlineStr">
        <ns0:is>
          <ns0:t>SES-0362</ns0:t>
        </ns0:is>
      </ns0:c>
      <ns0:c r="B363" s="4" t="inlineStr">
        <ns0:is>
          <ns0:t>SYN-140</ns0:t>
        </ns0:is>
      </ns0:c>
      <ns0:c r="C363" s="10" t="n">
        <ns0:v>46251</ns0:v>
      </ns0:c>
      <ns0:c r="D363" s="4" t="inlineStr">
        <ns0:is>
          <ns0:t>Synthetic Script 140</ns0:t>
        </ns0:is>
      </ns0:c>
      <ns0:c r="E363" s="4" t="inlineStr">
        <ns0:is>
          <ns0:t>情感</ns0:t>
        </ns0:is>
      </ns0:c>
      <ns0:c r="F363" s="4" t="n">
        <ns0:v>6</ns0:v>
      </ns0:c>
      <ns0:c r="G363" s="4" t="n">
        <ns0:v>8</ns0:v>
      </ns0:c>
      <ns0:c r="H363" s="9" t="n">
        <ns0:v>138</ns0:v>
      </ns0:c>
      <ns0:c r="I363" s="9">
        <ns0:f>G363*H363</ns0:f>
        <ns0:v>1104</ns0:v>
      </ns0:c>
      <ns0:c r="J363" s="9">
        <ns0:f>INDEX(Script_List!$H$2:$H$161,MATCH(B363,Script_List!$A$2:$A$161,0))</ns0:f>
        <ns0:v>540</ns0:v>
      </ns0:c>
      <ns0:c r="K363" s="4" t="inlineStr">
        <ns0:is>
          <ns0:t>盒装</ns0:t>
        </ns0:is>
      </ns0:c>
      <ns0:c r="L363" s="9">
        <ns0:f>I363-J363</ns0:f>
        <ns0:v>564</ns0:v>
      </ns0:c>
      <ns0:c r="M363" s="4" t="n">
        <ns0:v>7.7</ns0:v>
      </ns0:c>
      <ns0:c r="N363" s="10">
        <ns0:f>DATE(YEAR(C363),MONTH(C363),1)</ns0:f>
        <ns0:v>46235.0</ns0:v>
      </ns0:c>
      <ns0:c r="O363" s="4" t="str">
        <ns0:f>TEXT(N363,"yyyy-mm")</ns0:f>
        <ns0:v>2026-08</ns0:v>
      </ns0:c>
    </ns0:row>
    <ns0:row r="364">
      <ns0:c r="A364" s="4" t="inlineStr">
        <ns0:is>
          <ns0:t>SES-0363</ns0:t>
        </ns0:is>
      </ns0:c>
      <ns0:c r="B364" s="4" t="inlineStr">
        <ns0:is>
          <ns0:t>SYN-140</ns0:t>
        </ns0:is>
      </ns0:c>
      <ns0:c r="C364" s="10" t="n">
        <ns0:v>46252</ns0:v>
      </ns0:c>
      <ns0:c r="D364" s="4" t="inlineStr">
        <ns0:is>
          <ns0:t>Synthetic Script 140</ns0:t>
        </ns0:is>
      </ns0:c>
      <ns0:c r="E364" s="4" t="inlineStr">
        <ns0:is>
          <ns0:t>情感</ns0:t>
        </ns0:is>
      </ns0:c>
      <ns0:c r="F364" s="4" t="n">
        <ns0:v>6</ns0:v>
      </ns0:c>
      <ns0:c r="G364" s="4" t="n">
        <ns0:v>8</ns0:v>
      </ns0:c>
      <ns0:c r="H364" s="9" t="n">
        <ns0:v>138</ns0:v>
      </ns0:c>
      <ns0:c r="I364" s="9">
        <ns0:f>G364*H364</ns0:f>
        <ns0:v>1104</ns0:v>
      </ns0:c>
      <ns0:c r="J364" s="9">
        <ns0:f>INDEX(Script_List!$H$2:$H$161,MATCH(B364,Script_List!$A$2:$A$161,0))</ns0:f>
        <ns0:v>540</ns0:v>
      </ns0:c>
      <ns0:c r="K364" s="4" t="inlineStr">
        <ns0:is>
          <ns0:t>盒装</ns0:t>
        </ns0:is>
      </ns0:c>
      <ns0:c r="L364" s="9">
        <ns0:f>I364-J364</ns0:f>
        <ns0:v>564</ns0:v>
      </ns0:c>
      <ns0:c r="M364" s="4" t="n">
        <ns0:v>7.7</ns0:v>
      </ns0:c>
      <ns0:c r="N364" s="10">
        <ns0:f>DATE(YEAR(C364),MONTH(C364),1)</ns0:f>
        <ns0:v>46235.0</ns0:v>
      </ns0:c>
      <ns0:c r="O364" s="4" t="str">
        <ns0:f>TEXT(N364,"yyyy-mm")</ns0:f>
        <ns0:v>2026-08</ns0:v>
      </ns0:c>
    </ns0:row>
    <ns0:row r="365">
      <ns0:c r="A365" s="4" t="inlineStr">
        <ns0:is>
          <ns0:t>SES-0364</ns0:t>
        </ns0:is>
      </ns0:c>
      <ns0:c r="B365" s="4" t="inlineStr">
        <ns0:is>
          <ns0:t>SYN-140</ns0:t>
        </ns0:is>
      </ns0:c>
      <ns0:c r="C365" s="10" t="n">
        <ns0:v>46253</ns0:v>
      </ns0:c>
      <ns0:c r="D365" s="4" t="inlineStr">
        <ns0:is>
          <ns0:t>Synthetic Script 140</ns0:t>
        </ns0:is>
      </ns0:c>
      <ns0:c r="E365" s="4" t="inlineStr">
        <ns0:is>
          <ns0:t>情感</ns0:t>
        </ns0:is>
      </ns0:c>
      <ns0:c r="F365" s="4" t="n">
        <ns0:v>6</ns0:v>
      </ns0:c>
      <ns0:c r="G365" s="4" t="n">
        <ns0:v>8</ns0:v>
      </ns0:c>
      <ns0:c r="H365" s="9" t="n">
        <ns0:v>138</ns0:v>
      </ns0:c>
      <ns0:c r="I365" s="9">
        <ns0:f>G365*H365</ns0:f>
        <ns0:v>1104</ns0:v>
      </ns0:c>
      <ns0:c r="J365" s="9">
        <ns0:f>INDEX(Script_List!$H$2:$H$161,MATCH(B365,Script_List!$A$2:$A$161,0))</ns0:f>
        <ns0:v>540</ns0:v>
      </ns0:c>
      <ns0:c r="K365" s="4" t="inlineStr">
        <ns0:is>
          <ns0:t>盒装</ns0:t>
        </ns0:is>
      </ns0:c>
      <ns0:c r="L365" s="9">
        <ns0:f>I365-J365</ns0:f>
        <ns0:v>564</ns0:v>
      </ns0:c>
      <ns0:c r="M365" s="4" t="n">
        <ns0:v>7.7</ns0:v>
      </ns0:c>
      <ns0:c r="N365" s="10">
        <ns0:f>DATE(YEAR(C365),MONTH(C365),1)</ns0:f>
        <ns0:v>46235.0</ns0:v>
      </ns0:c>
      <ns0:c r="O365" s="4" t="str">
        <ns0:f>TEXT(N365,"yyyy-mm")</ns0:f>
        <ns0:v>2026-08</ns0:v>
      </ns0:c>
    </ns0:row>
    <ns0:row r="366">
      <ns0:c r="A366" s="4" t="inlineStr">
        <ns0:is>
          <ns0:t>SES-0365</ns0:t>
        </ns0:is>
      </ns0:c>
      <ns0:c r="B366" s="4" t="inlineStr">
        <ns0:is>
          <ns0:t>SYN-142</ns0:t>
        </ns0:is>
      </ns0:c>
      <ns0:c r="C366" s="10" t="n">
        <ns0:v>46254</ns0:v>
      </ns0:c>
      <ns0:c r="D366" s="4" t="inlineStr">
        <ns0:is>
          <ns0:t>Synthetic Script 142</ns0:t>
        </ns0:is>
      </ns0:c>
      <ns0:c r="E366" s="4" t="inlineStr">
        <ns0:is>
          <ns0:t>推理</ns0:t>
        </ns0:is>
      </ns0:c>
      <ns0:c r="F366" s="4" t="n">
        <ns0:v>1</ns0:v>
      </ns0:c>
      <ns0:c r="G366" s="4" t="n">
        <ns0:v>6</ns0:v>
      </ns0:c>
      <ns0:c r="H366" s="9" t="n">
        <ns0:v>75</ns0:v>
      </ns0:c>
      <ns0:c r="I366" s="9">
        <ns0:f>G366*H366</ns0:f>
        <ns0:v>450</ns0:v>
      </ns0:c>
      <ns0:c r="J366" s="9">
        <ns0:f>INDEX(Script_List!$H$2:$H$161,MATCH(B366,Script_List!$A$2:$A$161,0))</ns0:f>
        <ns0:v>118</ns0:v>
      </ns0:c>
      <ns0:c r="K366" s="4" t="inlineStr">
        <ns0:is>
          <ns0:t>城限</ns0:t>
        </ns0:is>
      </ns0:c>
      <ns0:c r="L366" s="9">
        <ns0:f>I366-J366</ns0:f>
        <ns0:v>332</ns0:v>
      </ns0:c>
      <ns0:c r="M366" s="4" t="n">
        <ns0:v>7</ns0:v>
      </ns0:c>
      <ns0:c r="N366" s="10">
        <ns0:f>DATE(YEAR(C366),MONTH(C366),1)</ns0:f>
        <ns0:v>46235.0</ns0:v>
      </ns0:c>
      <ns0:c r="O366" s="4" t="str">
        <ns0:f>TEXT(N366,"yyyy-mm")</ns0:f>
        <ns0:v>2026-08</ns0:v>
      </ns0:c>
    </ns0:row>
    <ns0:row r="367">
      <ns0:c r="A367" s="4" t="inlineStr">
        <ns0:is>
          <ns0:t>SES-0366</ns0:t>
        </ns0:is>
      </ns0:c>
      <ns0:c r="B367" s="4" t="inlineStr">
        <ns0:is>
          <ns0:t>SYN-143</ns0:t>
        </ns0:is>
      </ns0:c>
      <ns0:c r="C367" s="10" t="n">
        <ns0:v>46255</ns0:v>
      </ns0:c>
      <ns0:c r="D367" s="4" t="inlineStr">
        <ns0:is>
          <ns0:t>Synthetic Script 143</ns0:t>
        </ns0:is>
      </ns0:c>
      <ns0:c r="E367" s="4" t="inlineStr">
        <ns0:is>
          <ns0:t>情感</ns0:t>
        </ns0:is>
      </ns0:c>
      <ns0:c r="F367" s="4" t="n">
        <ns0:v>3</ns0:v>
      </ns0:c>
      <ns0:c r="G367" s="4" t="n">
        <ns0:v>6</ns0:v>
      </ns0:c>
      <ns0:c r="H367" s="9" t="n">
        <ns0:v>118</ns0:v>
      </ns0:c>
      <ns0:c r="I367" s="9">
        <ns0:f>G367*H367</ns0:f>
        <ns0:v>708</ns0:v>
      </ns0:c>
      <ns0:c r="J367" s="9">
        <ns0:f>INDEX(Script_List!$H$2:$H$161,MATCH(B367,Script_List!$A$2:$A$161,0))</ns0:f>
        <ns0:v>270</ns0:v>
      </ns0:c>
      <ns0:c r="K367" s="4" t="inlineStr">
        <ns0:is>
          <ns0:t>盒装</ns0:t>
        </ns0:is>
      </ns0:c>
      <ns0:c r="L367" s="9">
        <ns0:f>I367-J367</ns0:f>
        <ns0:v>438</ns0:v>
      </ns0:c>
      <ns0:c r="M367" s="4" t="n">
        <ns0:v>7.7</ns0:v>
      </ns0:c>
      <ns0:c r="N367" s="10">
        <ns0:f>DATE(YEAR(C367),MONTH(C367),1)</ns0:f>
        <ns0:v>46235.0</ns0:v>
      </ns0:c>
      <ns0:c r="O367" s="4" t="str">
        <ns0:f>TEXT(N367,"yyyy-mm")</ns0:f>
        <ns0:v>2026-08</ns0:v>
      </ns0:c>
    </ns0:row>
    <ns0:row r="368">
      <ns0:c r="A368" s="4" t="inlineStr">
        <ns0:is>
          <ns0:t>SES-0367</ns0:t>
        </ns0:is>
      </ns0:c>
      <ns0:c r="B368" s="4" t="inlineStr">
        <ns0:is>
          <ns0:t>SYN-143</ns0:t>
        </ns0:is>
      </ns0:c>
      <ns0:c r="C368" s="10" t="n">
        <ns0:v>46256</ns0:v>
      </ns0:c>
      <ns0:c r="D368" s="4" t="inlineStr">
        <ns0:is>
          <ns0:t>Synthetic Script 143</ns0:t>
        </ns0:is>
      </ns0:c>
      <ns0:c r="E368" s="4" t="inlineStr">
        <ns0:is>
          <ns0:t>情感</ns0:t>
        </ns0:is>
      </ns0:c>
      <ns0:c r="F368" s="4" t="n">
        <ns0:v>3</ns0:v>
      </ns0:c>
      <ns0:c r="G368" s="4" t="n">
        <ns0:v>6</ns0:v>
      </ns0:c>
      <ns0:c r="H368" s="9" t="n">
        <ns0:v>118</ns0:v>
      </ns0:c>
      <ns0:c r="I368" s="9">
        <ns0:f>G368*H368</ns0:f>
        <ns0:v>708</ns0:v>
      </ns0:c>
      <ns0:c r="J368" s="9">
        <ns0:f>INDEX(Script_List!$H$2:$H$161,MATCH(B368,Script_List!$A$2:$A$161,0))</ns0:f>
        <ns0:v>270</ns0:v>
      </ns0:c>
      <ns0:c r="K368" s="4" t="inlineStr">
        <ns0:is>
          <ns0:t>盒装</ns0:t>
        </ns0:is>
      </ns0:c>
      <ns0:c r="L368" s="9">
        <ns0:f>I368-J368</ns0:f>
        <ns0:v>438</ns0:v>
      </ns0:c>
      <ns0:c r="M368" s="4" t="n">
        <ns0:v>7.7</ns0:v>
      </ns0:c>
      <ns0:c r="N368" s="10">
        <ns0:f>DATE(YEAR(C368),MONTH(C368),1)</ns0:f>
        <ns0:v>46235.0</ns0:v>
      </ns0:c>
      <ns0:c r="O368" s="4" t="str">
        <ns0:f>TEXT(N368,"yyyy-mm")</ns0:f>
        <ns0:v>2026-08</ns0:v>
      </ns0:c>
    </ns0:row>
    <ns0:row r="369">
      <ns0:c r="A369" s="4" t="inlineStr">
        <ns0:is>
          <ns0:t>SES-0368</ns0:t>
        </ns0:is>
      </ns0:c>
      <ns0:c r="B369" s="4" t="inlineStr">
        <ns0:is>
          <ns0:t>SYN-143</ns0:t>
        </ns0:is>
      </ns0:c>
      <ns0:c r="C369" s="10" t="n">
        <ns0:v>46257</ns0:v>
      </ns0:c>
      <ns0:c r="D369" s="4" t="inlineStr">
        <ns0:is>
          <ns0:t>Synthetic Script 143</ns0:t>
        </ns0:is>
      </ns0:c>
      <ns0:c r="E369" s="4" t="inlineStr">
        <ns0:is>
          <ns0:t>情感</ns0:t>
        </ns0:is>
      </ns0:c>
      <ns0:c r="F369" s="4" t="n">
        <ns0:v>3</ns0:v>
      </ns0:c>
      <ns0:c r="G369" s="4" t="n">
        <ns0:v>6</ns0:v>
      </ns0:c>
      <ns0:c r="H369" s="9" t="n">
        <ns0:v>118</ns0:v>
      </ns0:c>
      <ns0:c r="I369" s="9">
        <ns0:f>G369*H369</ns0:f>
        <ns0:v>708</ns0:v>
      </ns0:c>
      <ns0:c r="J369" s="9">
        <ns0:f>INDEX(Script_List!$H$2:$H$161,MATCH(B369,Script_List!$A$2:$A$161,0))</ns0:f>
        <ns0:v>270</ns0:v>
      </ns0:c>
      <ns0:c r="K369" s="4" t="inlineStr">
        <ns0:is>
          <ns0:t>盒装</ns0:t>
        </ns0:is>
      </ns0:c>
      <ns0:c r="L369" s="9">
        <ns0:f>I369-J369</ns0:f>
        <ns0:v>438</ns0:v>
      </ns0:c>
      <ns0:c r="M369" s="4" t="n">
        <ns0:v>7.7</ns0:v>
      </ns0:c>
      <ns0:c r="N369" s="10">
        <ns0:f>DATE(YEAR(C369),MONTH(C369),1)</ns0:f>
        <ns0:v>46235.0</ns0:v>
      </ns0:c>
      <ns0:c r="O369" s="4" t="str">
        <ns0:f>TEXT(N369,"yyyy-mm")</ns0:f>
        <ns0:v>2026-08</ns0:v>
      </ns0:c>
    </ns0:row>
    <ns0:row r="370">
      <ns0:c r="A370" s="4" t="inlineStr">
        <ns0:is>
          <ns0:t>SES-0369</ns0:t>
        </ns0:is>
      </ns0:c>
      <ns0:c r="B370" s="4" t="inlineStr">
        <ns0:is>
          <ns0:t>SYN-145</ns0:t>
        </ns0:is>
      </ns0:c>
      <ns0:c r="C370" s="10" t="n">
        <ns0:v>46257</ns0:v>
      </ns0:c>
      <ns0:c r="D370" s="4" t="inlineStr">
        <ns0:is>
          <ns0:t>Synthetic Script 145</ns0:t>
        </ns0:is>
      </ns0:c>
      <ns0:c r="E370" s="4" t="inlineStr">
        <ns0:is>
          <ns0:t>推理</ns0:t>
        </ns0:is>
      </ns0:c>
      <ns0:c r="F370" s="4" t="n">
        <ns0:v>2</ns0:v>
      </ns0:c>
      <ns0:c r="G370" s="4" t="n">
        <ns0:v>8</ns0:v>
      </ns0:c>
      <ns0:c r="H370" s="9" t="n">
        <ns0:v>65</ns0:v>
      </ns0:c>
      <ns0:c r="I370" s="9">
        <ns0:f>G370*H370</ns0:f>
        <ns0:v>520</ns0:v>
      </ns0:c>
      <ns0:c r="J370" s="9">
        <ns0:f>INDEX(Script_List!$H$2:$H$161,MATCH(B370,Script_List!$A$2:$A$161,0))</ns0:f>
        <ns0:v>137</ns0:v>
      </ns0:c>
      <ns0:c r="K370" s="4" t="inlineStr">
        <ns0:is>
          <ns0:t>城限</ns0:t>
        </ns0:is>
      </ns0:c>
      <ns0:c r="L370" s="9">
        <ns0:f>I370-J370</ns0:f>
        <ns0:v>383</ns0:v>
      </ns0:c>
      <ns0:c r="M370" s="4" t="n">
        <ns0:v>7</ns0:v>
      </ns0:c>
      <ns0:c r="N370" s="10">
        <ns0:f>DATE(YEAR(C370),MONTH(C370),1)</ns0:f>
        <ns0:v>46235.0</ns0:v>
      </ns0:c>
      <ns0:c r="O370" s="4" t="str">
        <ns0:f>TEXT(N370,"yyyy-mm")</ns0:f>
        <ns0:v>2026-08</ns0:v>
      </ns0:c>
    </ns0:row>
    <ns0:row r="371">
      <ns0:c r="A371" s="4" t="inlineStr">
        <ns0:is>
          <ns0:t>SES-0370</ns0:t>
        </ns0:is>
      </ns0:c>
      <ns0:c r="B371" s="4" t="inlineStr">
        <ns0:is>
          <ns0:t>SYN-145</ns0:t>
        </ns0:is>
      </ns0:c>
      <ns0:c r="C371" s="10" t="n">
        <ns0:v>46258</ns0:v>
      </ns0:c>
      <ns0:c r="D371" s="4" t="inlineStr">
        <ns0:is>
          <ns0:t>Synthetic Script 145</ns0:t>
        </ns0:is>
      </ns0:c>
      <ns0:c r="E371" s="4" t="inlineStr">
        <ns0:is>
          <ns0:t>推理</ns0:t>
        </ns0:is>
      </ns0:c>
      <ns0:c r="F371" s="4" t="n">
        <ns0:v>2</ns0:v>
      </ns0:c>
      <ns0:c r="G371" s="4" t="n">
        <ns0:v>8</ns0:v>
      </ns0:c>
      <ns0:c r="H371" s="9" t="n">
        <ns0:v>65</ns0:v>
      </ns0:c>
      <ns0:c r="I371" s="9">
        <ns0:f>G371*H371</ns0:f>
        <ns0:v>520</ns0:v>
      </ns0:c>
      <ns0:c r="J371" s="9">
        <ns0:f>INDEX(Script_List!$H$2:$H$161,MATCH(B371,Script_List!$A$2:$A$161,0))</ns0:f>
        <ns0:v>137</ns0:v>
      </ns0:c>
      <ns0:c r="K371" s="4" t="inlineStr">
        <ns0:is>
          <ns0:t>城限</ns0:t>
        </ns0:is>
      </ns0:c>
      <ns0:c r="L371" s="9">
        <ns0:f>I371-J371</ns0:f>
        <ns0:v>383</ns0:v>
      </ns0:c>
      <ns0:c r="M371" s="4" t="n">
        <ns0:v>7</ns0:v>
      </ns0:c>
      <ns0:c r="N371" s="10">
        <ns0:f>DATE(YEAR(C371),MONTH(C371),1)</ns0:f>
        <ns0:v>46235.0</ns0:v>
      </ns0:c>
      <ns0:c r="O371" s="4" t="str">
        <ns0:f>TEXT(N371,"yyyy-mm")</ns0:f>
        <ns0:v>2026-08</ns0:v>
      </ns0:c>
    </ns0:row>
    <ns0:row r="372">
      <ns0:c r="A372" s="4" t="inlineStr">
        <ns0:is>
          <ns0:t>SES-0371</ns0:t>
        </ns0:is>
      </ns0:c>
      <ns0:c r="B372" s="4" t="inlineStr">
        <ns0:is>
          <ns0:t>SYN-146</ns0:t>
        </ns0:is>
      </ns0:c>
      <ns0:c r="C372" s="10" t="n">
        <ns0:v>46259</ns0:v>
      </ns0:c>
      <ns0:c r="D372" s="4" t="inlineStr">
        <ns0:is>
          <ns0:t>Synthetic Script 146</ns0:t>
        </ns0:is>
      </ns0:c>
      <ns0:c r="E372" s="4" t="inlineStr">
        <ns0:is>
          <ns0:t>情感</ns0:t>
        </ns0:is>
      </ns0:c>
      <ns0:c r="F372" s="4" t="n">
        <ns0:v>2</ns0:v>
      </ns0:c>
      <ns0:c r="G372" s="4" t="n">
        <ns0:v>6</ns0:v>
      </ns0:c>
      <ns0:c r="H372" s="9" t="n">
        <ns0:v>109</ns0:v>
      </ns0:c>
      <ns0:c r="I372" s="9">
        <ns0:f>G372*H372</ns0:f>
        <ns0:v>654</ns0:v>
      </ns0:c>
      <ns0:c r="J372" s="9">
        <ns0:f>INDEX(Script_List!$H$2:$H$161,MATCH(B372,Script_List!$A$2:$A$161,0))</ns0:f>
        <ns0:v>180</ns0:v>
      </ns0:c>
      <ns0:c r="K372" s="4" t="inlineStr">
        <ns0:is>
          <ns0:t>盒装</ns0:t>
        </ns0:is>
      </ns0:c>
      <ns0:c r="L372" s="9">
        <ns0:f>I372-J372</ns0:f>
        <ns0:v>474</ns0:v>
      </ns0:c>
      <ns0:c r="M372" s="4" t="n">
        <ns0:v>7.7</ns0:v>
      </ns0:c>
      <ns0:c r="N372" s="10">
        <ns0:f>DATE(YEAR(C372),MONTH(C372),1)</ns0:f>
        <ns0:v>46235.0</ns0:v>
      </ns0:c>
      <ns0:c r="O372" s="4" t="str">
        <ns0:f>TEXT(N372,"yyyy-mm")</ns0:f>
        <ns0:v>2026-08</ns0:v>
      </ns0:c>
    </ns0:row>
    <ns0:row r="373">
      <ns0:c r="A373" s="4" t="inlineStr">
        <ns0:is>
          <ns0:t>SES-0372</ns0:t>
        </ns0:is>
      </ns0:c>
      <ns0:c r="B373" s="4" t="inlineStr">
        <ns0:is>
          <ns0:t>SYN-146</ns0:t>
        </ns0:is>
      </ns0:c>
      <ns0:c r="C373" s="10" t="n">
        <ns0:v>46260</ns0:v>
      </ns0:c>
      <ns0:c r="D373" s="4" t="inlineStr">
        <ns0:is>
          <ns0:t>Synthetic Script 146</ns0:t>
        </ns0:is>
      </ns0:c>
      <ns0:c r="E373" s="4" t="inlineStr">
        <ns0:is>
          <ns0:t>情感</ns0:t>
        </ns0:is>
      </ns0:c>
      <ns0:c r="F373" s="4" t="n">
        <ns0:v>2</ns0:v>
      </ns0:c>
      <ns0:c r="G373" s="4" t="n">
        <ns0:v>6</ns0:v>
      </ns0:c>
      <ns0:c r="H373" s="9" t="n">
        <ns0:v>109</ns0:v>
      </ns0:c>
      <ns0:c r="I373" s="9">
        <ns0:f>G373*H373</ns0:f>
        <ns0:v>654</ns0:v>
      </ns0:c>
      <ns0:c r="J373" s="9">
        <ns0:f>INDEX(Script_List!$H$2:$H$161,MATCH(B373,Script_List!$A$2:$A$161,0))</ns0:f>
        <ns0:v>180</ns0:v>
      </ns0:c>
      <ns0:c r="K373" s="4" t="inlineStr">
        <ns0:is>
          <ns0:t>盒装</ns0:t>
        </ns0:is>
      </ns0:c>
      <ns0:c r="L373" s="9">
        <ns0:f>I373-J373</ns0:f>
        <ns0:v>474</ns0:v>
      </ns0:c>
      <ns0:c r="M373" s="4" t="n">
        <ns0:v>7.7</ns0:v>
      </ns0:c>
      <ns0:c r="N373" s="10">
        <ns0:f>DATE(YEAR(C373),MONTH(C373),1)</ns0:f>
        <ns0:v>46235.0</ns0:v>
      </ns0:c>
      <ns0:c r="O373" s="4" t="str">
        <ns0:f>TEXT(N373,"yyyy-mm")</ns0:f>
        <ns0:v>2026-08</ns0:v>
      </ns0:c>
    </ns0:row>
    <ns0:row r="374">
      <ns0:c r="A374" s="4" t="inlineStr">
        <ns0:is>
          <ns0:t>SES-0373</ns0:t>
        </ns0:is>
      </ns0:c>
      <ns0:c r="B374" s="4" t="inlineStr">
        <ns0:is>
          <ns0:t>SYN-146</ns0:t>
        </ns0:is>
      </ns0:c>
      <ns0:c r="C374" s="10" t="n">
        <ns0:v>46261</ns0:v>
      </ns0:c>
      <ns0:c r="D374" s="4" t="inlineStr">
        <ns0:is>
          <ns0:t>Synthetic Script 146</ns0:t>
        </ns0:is>
      </ns0:c>
      <ns0:c r="E374" s="4" t="inlineStr">
        <ns0:is>
          <ns0:t>情感</ns0:t>
        </ns0:is>
      </ns0:c>
      <ns0:c r="F374" s="4" t="n">
        <ns0:v>2</ns0:v>
      </ns0:c>
      <ns0:c r="G374" s="4" t="n">
        <ns0:v>6</ns0:v>
      </ns0:c>
      <ns0:c r="H374" s="9" t="n">
        <ns0:v>109</ns0:v>
      </ns0:c>
      <ns0:c r="I374" s="9">
        <ns0:f>G374*H374</ns0:f>
        <ns0:v>654</ns0:v>
      </ns0:c>
      <ns0:c r="J374" s="9">
        <ns0:f>INDEX(Script_List!$H$2:$H$161,MATCH(B374,Script_List!$A$2:$A$161,0))</ns0:f>
        <ns0:v>180</ns0:v>
      </ns0:c>
      <ns0:c r="K374" s="4" t="inlineStr">
        <ns0:is>
          <ns0:t>盒装</ns0:t>
        </ns0:is>
      </ns0:c>
      <ns0:c r="L374" s="9">
        <ns0:f>I374-J374</ns0:f>
        <ns0:v>474</ns0:v>
      </ns0:c>
      <ns0:c r="M374" s="4" t="n">
        <ns0:v>7.7</ns0:v>
      </ns0:c>
      <ns0:c r="N374" s="10">
        <ns0:f>DATE(YEAR(C374),MONTH(C374),1)</ns0:f>
        <ns0:v>46235.0</ns0:v>
      </ns0:c>
      <ns0:c r="O374" s="4" t="str">
        <ns0:f>TEXT(N374,"yyyy-mm")</ns0:f>
        <ns0:v>2026-08</ns0:v>
      </ns0:c>
    </ns0:row>
    <ns0:row r="375">
      <ns0:c r="A375" s="4" t="inlineStr">
        <ns0:is>
          <ns0:t>SES-0374</ns0:t>
        </ns0:is>
      </ns0:c>
      <ns0:c r="B375" s="4" t="inlineStr">
        <ns0:is>
          <ns0:t>SYN-146</ns0:t>
        </ns0:is>
      </ns0:c>
      <ns0:c r="C375" s="10" t="n">
        <ns0:v>46262</ns0:v>
      </ns0:c>
      <ns0:c r="D375" s="4" t="inlineStr">
        <ns0:is>
          <ns0:t>Synthetic Script 146</ns0:t>
        </ns0:is>
      </ns0:c>
      <ns0:c r="E375" s="4" t="inlineStr">
        <ns0:is>
          <ns0:t>情感</ns0:t>
        </ns0:is>
      </ns0:c>
      <ns0:c r="F375" s="4" t="n">
        <ns0:v>2</ns0:v>
      </ns0:c>
      <ns0:c r="G375" s="4" t="n">
        <ns0:v>6</ns0:v>
      </ns0:c>
      <ns0:c r="H375" s="9" t="n">
        <ns0:v>109</ns0:v>
      </ns0:c>
      <ns0:c r="I375" s="9">
        <ns0:f>G375*H375</ns0:f>
        <ns0:v>654</ns0:v>
      </ns0:c>
      <ns0:c r="J375" s="9">
        <ns0:f>INDEX(Script_List!$H$2:$H$161,MATCH(B375,Script_List!$A$2:$A$161,0))</ns0:f>
        <ns0:v>180</ns0:v>
      </ns0:c>
      <ns0:c r="K375" s="4" t="inlineStr">
        <ns0:is>
          <ns0:t>盒装</ns0:t>
        </ns0:is>
      </ns0:c>
      <ns0:c r="L375" s="9">
        <ns0:f>I375-J375</ns0:f>
        <ns0:v>474</ns0:v>
      </ns0:c>
      <ns0:c r="M375" s="4" t="n">
        <ns0:v>7.7</ns0:v>
      </ns0:c>
      <ns0:c r="N375" s="10">
        <ns0:f>DATE(YEAR(C375),MONTH(C375),1)</ns0:f>
        <ns0:v>46235.0</ns0:v>
      </ns0:c>
      <ns0:c r="O375" s="4" t="str">
        <ns0:f>TEXT(N375,"yyyy-mm")</ns0:f>
        <ns0:v>2026-08</ns0:v>
      </ns0:c>
    </ns0:row>
    <ns0:row r="376">
      <ns0:c r="A376" s="4" t="inlineStr">
        <ns0:is>
          <ns0:t>SES-0375</ns0:t>
        </ns0:is>
      </ns0:c>
      <ns0:c r="B376" s="4" t="inlineStr">
        <ns0:is>
          <ns0:t>SYN-148</ns0:t>
        </ns0:is>
      </ns0:c>
      <ns0:c r="C376" s="10" t="n">
        <ns0:v>46263</ns0:v>
      </ns0:c>
      <ns0:c r="D376" s="4" t="inlineStr">
        <ns0:is>
          <ns0:t>Synthetic Script 148</ns0:t>
        </ns0:is>
      </ns0:c>
      <ns0:c r="E376" s="4" t="inlineStr">
        <ns0:is>
          <ns0:t>推理</ns0:t>
        </ns0:is>
      </ns0:c>
      <ns0:c r="F376" s="4" t="n">
        <ns0:v>1</ns0:v>
      </ns0:c>
      <ns0:c r="G376" s="4" t="n">
        <ns0:v>6</ns0:v>
      </ns0:c>
      <ns0:c r="H376" s="9" t="n">
        <ns0:v>119</ns0:v>
      </ns0:c>
      <ns0:c r="I376" s="9">
        <ns0:f>G376*H376</ns0:f>
        <ns0:v>714</ns0:v>
      </ns0:c>
      <ns0:c r="J376" s="9">
        <ns0:f>INDEX(Script_List!$H$2:$H$161,MATCH(B376,Script_List!$A$2:$A$161,0))</ns0:f>
        <ns0:v>187</ns0:v>
      </ns0:c>
      <ns0:c r="K376" s="4" t="inlineStr">
        <ns0:is>
          <ns0:t>盒装</ns0:t>
        </ns0:is>
      </ns0:c>
      <ns0:c r="L376" s="9">
        <ns0:f>I376-J376</ns0:f>
        <ns0:v>527</ns0:v>
      </ns0:c>
      <ns0:c r="M376" s="4" t="n">
        <ns0:v>7</ns0:v>
      </ns0:c>
      <ns0:c r="N376" s="10">
        <ns0:f>DATE(YEAR(C376),MONTH(C376),1)</ns0:f>
        <ns0:v>46235.0</ns0:v>
      </ns0:c>
      <ns0:c r="O376" s="4" t="str">
        <ns0:f>TEXT(N376,"yyyy-mm")</ns0:f>
        <ns0:v>2026-08</ns0:v>
      </ns0:c>
    </ns0:row>
    <ns0:row r="377">
      <ns0:c r="A377" s="4" t="inlineStr">
        <ns0:is>
          <ns0:t>SES-0376</ns0:t>
        </ns0:is>
      </ns0:c>
      <ns0:c r="B377" s="4" t="inlineStr">
        <ns0:is>
          <ns0:t>SYN-148</ns0:t>
        </ns0:is>
      </ns0:c>
      <ns0:c r="C377" s="10" t="n">
        <ns0:v>46264</ns0:v>
      </ns0:c>
      <ns0:c r="D377" s="4" t="inlineStr">
        <ns0:is>
          <ns0:t>Synthetic Script 148</ns0:t>
        </ns0:is>
      </ns0:c>
      <ns0:c r="E377" s="4" t="inlineStr">
        <ns0:is>
          <ns0:t>推理</ns0:t>
        </ns0:is>
      </ns0:c>
      <ns0:c r="F377" s="4" t="n">
        <ns0:v>1</ns0:v>
      </ns0:c>
      <ns0:c r="G377" s="4" t="n">
        <ns0:v>6</ns0:v>
      </ns0:c>
      <ns0:c r="H377" s="9" t="n">
        <ns0:v>119</ns0:v>
      </ns0:c>
      <ns0:c r="I377" s="9">
        <ns0:f>G377*H377</ns0:f>
        <ns0:v>714</ns0:v>
      </ns0:c>
      <ns0:c r="J377" s="9">
        <ns0:f>INDEX(Script_List!$H$2:$H$161,MATCH(B377,Script_List!$A$2:$A$161,0))</ns0:f>
        <ns0:v>187</ns0:v>
      </ns0:c>
      <ns0:c r="K377" s="4" t="inlineStr">
        <ns0:is>
          <ns0:t>盒装</ns0:t>
        </ns0:is>
      </ns0:c>
      <ns0:c r="L377" s="9">
        <ns0:f>I377-J377</ns0:f>
        <ns0:v>527</ns0:v>
      </ns0:c>
      <ns0:c r="M377" s="4" t="n">
        <ns0:v>7</ns0:v>
      </ns0:c>
      <ns0:c r="N377" s="10">
        <ns0:f>DATE(YEAR(C377),MONTH(C377),1)</ns0:f>
        <ns0:v>46235.0</ns0:v>
      </ns0:c>
      <ns0:c r="O377" s="4" t="str">
        <ns0:f>TEXT(N377,"yyyy-mm")</ns0:f>
        <ns0:v>2026-08</ns0:v>
      </ns0:c>
    </ns0:row>
    <ns0:row r="378">
      <ns0:c r="A378" s="4" t="inlineStr">
        <ns0:is>
          <ns0:t>SES-0377</ns0:t>
        </ns0:is>
      </ns0:c>
      <ns0:c r="B378" s="4" t="inlineStr">
        <ns0:is>
          <ns0:t>SYN-149</ns0:t>
        </ns0:is>
      </ns0:c>
      <ns0:c r="C378" s="10" t="n">
        <ns0:v>46265</ns0:v>
      </ns0:c>
      <ns0:c r="D378" s="4" t="inlineStr">
        <ns0:is>
          <ns0:t>Synthetic Script 149</ns0:t>
        </ns0:is>
      </ns0:c>
      <ns0:c r="E378" s="4" t="inlineStr">
        <ns0:is>
          <ns0:t>欢乐</ns0:t>
        </ns0:is>
      </ns0:c>
      <ns0:c r="F378" s="4" t="n">
        <ns0:v>3</ns0:v>
      </ns0:c>
      <ns0:c r="G378" s="4" t="n">
        <ns0:v>7</ns0:v>
      </ns0:c>
      <ns0:c r="H378" s="9" t="n">
        <ns0:v>95</ns0:v>
      </ns0:c>
      <ns0:c r="I378" s="9">
        <ns0:f>G378*H378</ns0:f>
        <ns0:v>665</ns0:v>
      </ns0:c>
      <ns0:c r="J378" s="9">
        <ns0:f>INDEX(Script_List!$H$2:$H$161,MATCH(B378,Script_List!$A$2:$A$161,0))</ns0:f>
        <ns0:v>175</ns0:v>
      </ns0:c>
      <ns0:c r="K378" s="4" t="inlineStr">
        <ns0:is>
          <ns0:t>独家</ns0:t>
        </ns0:is>
      </ns0:c>
      <ns0:c r="L378" s="9">
        <ns0:f>I378-J378</ns0:f>
        <ns0:v>490</ns0:v>
      </ns0:c>
      <ns0:c r="M378" s="4" t="n">
        <ns0:v>7.7</ns0:v>
      </ns0:c>
      <ns0:c r="N378" s="10">
        <ns0:f>DATE(YEAR(C378),MONTH(C378),1)</ns0:f>
        <ns0:v>46235.0</ns0:v>
      </ns0:c>
      <ns0:c r="O378" s="4" t="str">
        <ns0:f>TEXT(N378,"yyyy-mm")</ns0:f>
        <ns0:v>2026-08</ns0:v>
      </ns0:c>
    </ns0:row>
    <ns0:row r="379">
      <ns0:c r="A379" s="4" t="inlineStr">
        <ns0:is>
          <ns0:t>SES-0378</ns0:t>
        </ns0:is>
      </ns0:c>
      <ns0:c r="B379" s="4" t="inlineStr">
        <ns0:is>
          <ns0:t>SYN-149</ns0:t>
        </ns0:is>
      </ns0:c>
      <ns0:c r="C379" s="10" t="n">
        <ns0:v>46266</ns0:v>
      </ns0:c>
      <ns0:c r="D379" s="4" t="inlineStr">
        <ns0:is>
          <ns0:t>Synthetic Script 149</ns0:t>
        </ns0:is>
      </ns0:c>
      <ns0:c r="E379" s="4" t="inlineStr">
        <ns0:is>
          <ns0:t>欢乐</ns0:t>
        </ns0:is>
      </ns0:c>
      <ns0:c r="F379" s="4" t="n">
        <ns0:v>3</ns0:v>
      </ns0:c>
      <ns0:c r="G379" s="4" t="n">
        <ns0:v>7</ns0:v>
      </ns0:c>
      <ns0:c r="H379" s="9" t="n">
        <ns0:v>95</ns0:v>
      </ns0:c>
      <ns0:c r="I379" s="9">
        <ns0:f>G379*H379</ns0:f>
        <ns0:v>665</ns0:v>
      </ns0:c>
      <ns0:c r="J379" s="9">
        <ns0:f>INDEX(Script_List!$H$2:$H$161,MATCH(B379,Script_List!$A$2:$A$161,0))</ns0:f>
        <ns0:v>175</ns0:v>
      </ns0:c>
      <ns0:c r="K379" s="4" t="inlineStr">
        <ns0:is>
          <ns0:t>独家</ns0:t>
        </ns0:is>
      </ns0:c>
      <ns0:c r="L379" s="9">
        <ns0:f>I379-J379</ns0:f>
        <ns0:v>490</ns0:v>
      </ns0:c>
      <ns0:c r="M379" s="4" t="n">
        <ns0:v>7.7</ns0:v>
      </ns0:c>
      <ns0:c r="N379" s="10">
        <ns0:f>DATE(YEAR(C379),MONTH(C379),1)</ns0:f>
        <ns0:v>46266.0</ns0:v>
      </ns0:c>
      <ns0:c r="O379" s="4" t="str">
        <ns0:f>TEXT(N379,"yyyy-mm")</ns0:f>
        <ns0:v>2026-09</ns0:v>
      </ns0:c>
    </ns0:row>
    <ns0:row r="380">
      <ns0:c r="A380" s="4" t="inlineStr">
        <ns0:is>
          <ns0:t>SES-0379</ns0:t>
        </ns0:is>
      </ns0:c>
      <ns0:c r="B380" s="4" t="inlineStr">
        <ns0:is>
          <ns0:t>SYN-149</ns0:t>
        </ns0:is>
      </ns0:c>
      <ns0:c r="C380" s="10" t="n">
        <ns0:v>46267</ns0:v>
      </ns0:c>
      <ns0:c r="D380" s="4" t="inlineStr">
        <ns0:is>
          <ns0:t>Synthetic Script 149</ns0:t>
        </ns0:is>
      </ns0:c>
      <ns0:c r="E380" s="4" t="inlineStr">
        <ns0:is>
          <ns0:t>欢乐</ns0:t>
        </ns0:is>
      </ns0:c>
      <ns0:c r="F380" s="4" t="n">
        <ns0:v>3</ns0:v>
      </ns0:c>
      <ns0:c r="G380" s="4" t="n">
        <ns0:v>7</ns0:v>
      </ns0:c>
      <ns0:c r="H380" s="9" t="n">
        <ns0:v>95</ns0:v>
      </ns0:c>
      <ns0:c r="I380" s="9">
        <ns0:f>G380*H380</ns0:f>
        <ns0:v>665</ns0:v>
      </ns0:c>
      <ns0:c r="J380" s="9">
        <ns0:f>INDEX(Script_List!$H$2:$H$161,MATCH(B380,Script_List!$A$2:$A$161,0))</ns0:f>
        <ns0:v>175</ns0:v>
      </ns0:c>
      <ns0:c r="K380" s="4" t="inlineStr">
        <ns0:is>
          <ns0:t>独家</ns0:t>
        </ns0:is>
      </ns0:c>
      <ns0:c r="L380" s="9">
        <ns0:f>I380-J380</ns0:f>
        <ns0:v>490</ns0:v>
      </ns0:c>
      <ns0:c r="M380" s="4" t="n">
        <ns0:v>7.7</ns0:v>
      </ns0:c>
      <ns0:c r="N380" s="10">
        <ns0:f>DATE(YEAR(C380),MONTH(C380),1)</ns0:f>
        <ns0:v>46266.0</ns0:v>
      </ns0:c>
      <ns0:c r="O380" s="4" t="str">
        <ns0:f>TEXT(N380,"yyyy-mm")</ns0:f>
        <ns0:v>2026-09</ns0:v>
      </ns0:c>
    </ns0:row>
    <ns0:row r="381">
      <ns0:c r="A381" s="4" t="inlineStr">
        <ns0:is>
          <ns0:t>SES-0380</ns0:t>
        </ns0:is>
      </ns0:c>
      <ns0:c r="B381" s="4" t="inlineStr">
        <ns0:is>
          <ns0:t>SYN-149</ns0:t>
        </ns0:is>
      </ns0:c>
      <ns0:c r="C381" s="10" t="n">
        <ns0:v>46268</ns0:v>
      </ns0:c>
      <ns0:c r="D381" s="4" t="inlineStr">
        <ns0:is>
          <ns0:t>Synthetic Script 149</ns0:t>
        </ns0:is>
      </ns0:c>
      <ns0:c r="E381" s="4" t="inlineStr">
        <ns0:is>
          <ns0:t>欢乐</ns0:t>
        </ns0:is>
      </ns0:c>
      <ns0:c r="F381" s="4" t="n">
        <ns0:v>3</ns0:v>
      </ns0:c>
      <ns0:c r="G381" s="4" t="n">
        <ns0:v>7</ns0:v>
      </ns0:c>
      <ns0:c r="H381" s="9" t="n">
        <ns0:v>95</ns0:v>
      </ns0:c>
      <ns0:c r="I381" s="9">
        <ns0:f>G381*H381</ns0:f>
        <ns0:v>665</ns0:v>
      </ns0:c>
      <ns0:c r="J381" s="9">
        <ns0:f>INDEX(Script_List!$H$2:$H$161,MATCH(B381,Script_List!$A$2:$A$161,0))</ns0:f>
        <ns0:v>175</ns0:v>
      </ns0:c>
      <ns0:c r="K381" s="4" t="inlineStr">
        <ns0:is>
          <ns0:t>独家</ns0:t>
        </ns0:is>
      </ns0:c>
      <ns0:c r="L381" s="9">
        <ns0:f>I381-J381</ns0:f>
        <ns0:v>490</ns0:v>
      </ns0:c>
      <ns0:c r="M381" s="4" t="n">
        <ns0:v>7.7</ns0:v>
      </ns0:c>
      <ns0:c r="N381" s="10">
        <ns0:f>DATE(YEAR(C381),MONTH(C381),1)</ns0:f>
        <ns0:v>46266.0</ns0:v>
      </ns0:c>
      <ns0:c r="O381" s="4" t="str">
        <ns0:f>TEXT(N381,"yyyy-mm")</ns0:f>
        <ns0:v>2026-09</ns0:v>
      </ns0:c>
    </ns0:row>
    <ns0:row r="382">
      <ns0:c r="A382" s="4" t="inlineStr">
        <ns0:is>
          <ns0:t>SES-0381</ns0:t>
        </ns0:is>
      </ns0:c>
      <ns0:c r="B382" s="4" t="inlineStr">
        <ns0:is>
          <ns0:t>SYN-150</ns0:t>
        </ns0:is>
      </ns0:c>
      <ns0:c r="C382" s="10" t="n">
        <ns0:v>46269</ns0:v>
      </ns0:c>
      <ns0:c r="D382" s="4" t="inlineStr">
        <ns0:is>
          <ns0:t>Synthetic Script 150</ns0:t>
        </ns0:is>
      </ns0:c>
      <ns0:c r="E382" s="4" t="inlineStr">
        <ns0:is>
          <ns0:t>情感</ns0:t>
        </ns0:is>
      </ns0:c>
      <ns0:c r="F382" s="4" t="n">
        <ns0:v>6</ns0:v>
      </ns0:c>
      <ns0:c r="G382" s="4" t="n">
        <ns0:v>8</ns0:v>
      </ns0:c>
      <ns0:c r="H382" s="9" t="n">
        <ns0:v>109</ns0:v>
      </ns0:c>
      <ns0:c r="I382" s="9">
        <ns0:f>G382*H382</ns0:f>
        <ns0:v>872</ns0:v>
      </ns0:c>
      <ns0:c r="J382" s="9">
        <ns0:f>INDEX(Script_List!$H$2:$H$161,MATCH(B382,Script_List!$A$2:$A$161,0))</ns0:f>
        <ns0:v>540</ns0:v>
      </ns0:c>
      <ns0:c r="K382" s="4" t="inlineStr">
        <ns0:is>
          <ns0:t>盒装</ns0:t>
        </ns0:is>
      </ns0:c>
      <ns0:c r="L382" s="9">
        <ns0:f>I382-J382</ns0:f>
        <ns0:v>332</ns0:v>
      </ns0:c>
      <ns0:c r="M382" s="4" t="n">
        <ns0:v>8.4</ns0:v>
      </ns0:c>
      <ns0:c r="N382" s="10">
        <ns0:f>DATE(YEAR(C382),MONTH(C382),1)</ns0:f>
        <ns0:v>46266.0</ns0:v>
      </ns0:c>
      <ns0:c r="O382" s="4" t="str">
        <ns0:f>TEXT(N382,"yyyy-mm")</ns0:f>
        <ns0:v>2026-09</ns0:v>
      </ns0:c>
    </ns0:row>
    <ns0:row r="383">
      <ns0:c r="A383" s="4" t="inlineStr">
        <ns0:is>
          <ns0:t>SES-0382</ns0:t>
        </ns0:is>
      </ns0:c>
      <ns0:c r="B383" s="4" t="inlineStr">
        <ns0:is>
          <ns0:t>SYN-151</ns0:t>
        </ns0:is>
      </ns0:c>
      <ns0:c r="C383" s="10" t="n">
        <ns0:v>46270</ns0:v>
      </ns0:c>
      <ns0:c r="D383" s="4" t="inlineStr">
        <ns0:is>
          <ns0:t>Synthetic Script 151</ns0:t>
        </ns0:is>
      </ns0:c>
      <ns0:c r="E383" s="4" t="inlineStr">
        <ns0:is>
          <ns0:t>情感</ns0:t>
        </ns0:is>
      </ns0:c>
      <ns0:c r="F383" s="4" t="n">
        <ns0:v>2</ns0:v>
      </ns0:c>
      <ns0:c r="G383" s="4" t="n">
        <ns0:v>6</ns0:v>
      </ns0:c>
      <ns0:c r="H383" s="9" t="n">
        <ns0:v>118</ns0:v>
      </ns0:c>
      <ns0:c r="I383" s="9">
        <ns0:f>G383*H383</ns0:f>
        <ns0:v>708</ns0:v>
      </ns0:c>
      <ns0:c r="J383" s="9">
        <ns0:f>INDEX(Script_List!$H$2:$H$161,MATCH(B383,Script_List!$A$2:$A$161,0))</ns0:f>
        <ns0:v>180</ns0:v>
      </ns0:c>
      <ns0:c r="K383" s="4" t="inlineStr">
        <ns0:is>
          <ns0:t>盒装</ns0:t>
        </ns0:is>
      </ns0:c>
      <ns0:c r="L383" s="9">
        <ns0:f>I383-J383</ns0:f>
        <ns0:v>528</ns0:v>
      </ns0:c>
      <ns0:c r="M383" s="4" t="n">
        <ns0:v>7</ns0:v>
      </ns0:c>
      <ns0:c r="N383" s="10">
        <ns0:f>DATE(YEAR(C383),MONTH(C383),1)</ns0:f>
        <ns0:v>46266.0</ns0:v>
      </ns0:c>
      <ns0:c r="O383" s="4" t="str">
        <ns0:f>TEXT(N383,"yyyy-mm")</ns0:f>
        <ns0:v>2026-09</ns0:v>
      </ns0:c>
    </ns0:row>
    <ns0:row r="384">
      <ns0:c r="A384" s="4" t="inlineStr">
        <ns0:is>
          <ns0:t>SES-0383</ns0:t>
        </ns0:is>
      </ns0:c>
      <ns0:c r="B384" s="4" t="inlineStr">
        <ns0:is>
          <ns0:t>SYN-151</ns0:t>
        </ns0:is>
      </ns0:c>
      <ns0:c r="C384" s="10" t="n">
        <ns0:v>46271</ns0:v>
      </ns0:c>
      <ns0:c r="D384" s="4" t="inlineStr">
        <ns0:is>
          <ns0:t>Synthetic Script 151</ns0:t>
        </ns0:is>
      </ns0:c>
      <ns0:c r="E384" s="4" t="inlineStr">
        <ns0:is>
          <ns0:t>情感</ns0:t>
        </ns0:is>
      </ns0:c>
      <ns0:c r="F384" s="4" t="n">
        <ns0:v>2</ns0:v>
      </ns0:c>
      <ns0:c r="G384" s="4" t="n">
        <ns0:v>6</ns0:v>
      </ns0:c>
      <ns0:c r="H384" s="9" t="n">
        <ns0:v>118</ns0:v>
      </ns0:c>
      <ns0:c r="I384" s="9">
        <ns0:f>G384*H384</ns0:f>
        <ns0:v>708</ns0:v>
      </ns0:c>
      <ns0:c r="J384" s="9">
        <ns0:f>INDEX(Script_List!$H$2:$H$161,MATCH(B384,Script_List!$A$2:$A$161,0))</ns0:f>
        <ns0:v>180</ns0:v>
      </ns0:c>
      <ns0:c r="K384" s="4" t="inlineStr">
        <ns0:is>
          <ns0:t>盒装</ns0:t>
        </ns0:is>
      </ns0:c>
      <ns0:c r="L384" s="9">
        <ns0:f>I384-J384</ns0:f>
        <ns0:v>528</ns0:v>
      </ns0:c>
      <ns0:c r="M384" s="4" t="n">
        <ns0:v>7</ns0:v>
      </ns0:c>
      <ns0:c r="N384" s="10">
        <ns0:f>DATE(YEAR(C384),MONTH(C384),1)</ns0:f>
        <ns0:v>46266.0</ns0:v>
      </ns0:c>
      <ns0:c r="O384" s="4" t="str">
        <ns0:f>TEXT(N384,"yyyy-mm")</ns0:f>
        <ns0:v>2026-09</ns0:v>
      </ns0:c>
    </ns0:row>
    <ns0:row r="385">
      <ns0:c r="A385" s="4" t="inlineStr">
        <ns0:is>
          <ns0:t>SES-0384</ns0:t>
        </ns0:is>
      </ns0:c>
      <ns0:c r="B385" s="4" t="inlineStr">
        <ns0:is>
          <ns0:t>SYN-152</ns0:t>
        </ns0:is>
      </ns0:c>
      <ns0:c r="C385" s="10" t="n">
        <ns0:v>46272</ns0:v>
      </ns0:c>
      <ns0:c r="D385" s="4" t="inlineStr">
        <ns0:is>
          <ns0:t>Synthetic Script 152</ns0:t>
        </ns0:is>
      </ns0:c>
      <ns0:c r="E385" s="4" t="inlineStr">
        <ns0:is>
          <ns0:t>推理</ns0:t>
        </ns0:is>
      </ns0:c>
      <ns0:c r="F385" s="4" t="n">
        <ns0:v>1</ns0:v>
      </ns0:c>
      <ns0:c r="G385" s="4" t="n">
        <ns0:v>6</ns0:v>
      </ns0:c>
      <ns0:c r="H385" s="9" t="n">
        <ns0:v>119</ns0:v>
      </ns0:c>
      <ns0:c r="I385" s="9">
        <ns0:f>G385*H385</ns0:f>
        <ns0:v>714</ns0:v>
      </ns0:c>
      <ns0:c r="J385" s="9">
        <ns0:f>INDEX(Script_List!$H$2:$H$161,MATCH(B385,Script_List!$A$2:$A$161,0))</ns0:f>
        <ns0:v>187</ns0:v>
      </ns0:c>
      <ns0:c r="K385" s="4" t="inlineStr">
        <ns0:is>
          <ns0:t>城限</ns0:t>
        </ns0:is>
      </ns0:c>
      <ns0:c r="L385" s="9">
        <ns0:f>I385-J385</ns0:f>
        <ns0:v>527</ns0:v>
      </ns0:c>
      <ns0:c r="M385" s="4" t="n">
        <ns0:v>7.7</ns0:v>
      </ns0:c>
      <ns0:c r="N385" s="10">
        <ns0:f>DATE(YEAR(C385),MONTH(C385),1)</ns0:f>
        <ns0:v>46266.0</ns0:v>
      </ns0:c>
      <ns0:c r="O385" s="4" t="str">
        <ns0:f>TEXT(N385,"yyyy-mm")</ns0:f>
        <ns0:v>2026-09</ns0:v>
      </ns0:c>
    </ns0:row>
    <ns0:row r="386">
      <ns0:c r="A386" s="4" t="inlineStr">
        <ns0:is>
          <ns0:t>SES-0385</ns0:t>
        </ns0:is>
      </ns0:c>
      <ns0:c r="B386" s="4" t="inlineStr">
        <ns0:is>
          <ns0:t>SYN-152</ns0:t>
        </ns0:is>
      </ns0:c>
      <ns0:c r="C386" s="10" t="n">
        <ns0:v>46273</ns0:v>
      </ns0:c>
      <ns0:c r="D386" s="4" t="inlineStr">
        <ns0:is>
          <ns0:t>Synthetic Script 152</ns0:t>
        </ns0:is>
      </ns0:c>
      <ns0:c r="E386" s="4" t="inlineStr">
        <ns0:is>
          <ns0:t>推理</ns0:t>
        </ns0:is>
      </ns0:c>
      <ns0:c r="F386" s="4" t="n">
        <ns0:v>1</ns0:v>
      </ns0:c>
      <ns0:c r="G386" s="4" t="n">
        <ns0:v>6</ns0:v>
      </ns0:c>
      <ns0:c r="H386" s="9" t="n">
        <ns0:v>119</ns0:v>
      </ns0:c>
      <ns0:c r="I386" s="9">
        <ns0:f>G386*H386</ns0:f>
        <ns0:v>714</ns0:v>
      </ns0:c>
      <ns0:c r="J386" s="9">
        <ns0:f>INDEX(Script_List!$H$2:$H$161,MATCH(B386,Script_List!$A$2:$A$161,0))</ns0:f>
        <ns0:v>187</ns0:v>
      </ns0:c>
      <ns0:c r="K386" s="4" t="inlineStr">
        <ns0:is>
          <ns0:t>城限</ns0:t>
        </ns0:is>
      </ns0:c>
      <ns0:c r="L386" s="9">
        <ns0:f>I386-J386</ns0:f>
        <ns0:v>527</ns0:v>
      </ns0:c>
      <ns0:c r="M386" s="4" t="n">
        <ns0:v>7.7</ns0:v>
      </ns0:c>
      <ns0:c r="N386" s="10">
        <ns0:f>DATE(YEAR(C386),MONTH(C386),1)</ns0:f>
        <ns0:v>46266.0</ns0:v>
      </ns0:c>
      <ns0:c r="O386" s="4" t="str">
        <ns0:f>TEXT(N386,"yyyy-mm")</ns0:f>
        <ns0:v>2026-09</ns0:v>
      </ns0:c>
    </ns0:row>
    <ns0:row r="387">
      <ns0:c r="A387" s="4" t="inlineStr">
        <ns0:is>
          <ns0:t>SES-0386</ns0:t>
        </ns0:is>
      </ns0:c>
      <ns0:c r="B387" s="4" t="inlineStr">
        <ns0:is>
          <ns0:t>SYN-152</ns0:t>
        </ns0:is>
      </ns0:c>
      <ns0:c r="C387" s="10" t="n">
        <ns0:v>46274</ns0:v>
      </ns0:c>
      <ns0:c r="D387" s="4" t="inlineStr">
        <ns0:is>
          <ns0:t>Synthetic Script 152</ns0:t>
        </ns0:is>
      </ns0:c>
      <ns0:c r="E387" s="4" t="inlineStr">
        <ns0:is>
          <ns0:t>推理</ns0:t>
        </ns0:is>
      </ns0:c>
      <ns0:c r="F387" s="4" t="n">
        <ns0:v>1</ns0:v>
      </ns0:c>
      <ns0:c r="G387" s="4" t="n">
        <ns0:v>6</ns0:v>
      </ns0:c>
      <ns0:c r="H387" s="9" t="n">
        <ns0:v>119</ns0:v>
      </ns0:c>
      <ns0:c r="I387" s="9">
        <ns0:f>G387*H387</ns0:f>
        <ns0:v>714</ns0:v>
      </ns0:c>
      <ns0:c r="J387" s="9">
        <ns0:f>INDEX(Script_List!$H$2:$H$161,MATCH(B387,Script_List!$A$2:$A$161,0))</ns0:f>
        <ns0:v>187</ns0:v>
      </ns0:c>
      <ns0:c r="K387" s="4" t="inlineStr">
        <ns0:is>
          <ns0:t>城限</ns0:t>
        </ns0:is>
      </ns0:c>
      <ns0:c r="L387" s="9">
        <ns0:f>I387-J387</ns0:f>
        <ns0:v>527</ns0:v>
      </ns0:c>
      <ns0:c r="M387" s="4" t="n">
        <ns0:v>7.7</ns0:v>
      </ns0:c>
      <ns0:c r="N387" s="10">
        <ns0:f>DATE(YEAR(C387),MONTH(C387),1)</ns0:f>
        <ns0:v>46266.0</ns0:v>
      </ns0:c>
      <ns0:c r="O387" s="4" t="str">
        <ns0:f>TEXT(N387,"yyyy-mm")</ns0:f>
        <ns0:v>2026-09</ns0:v>
      </ns0:c>
    </ns0:row>
    <ns0:row r="388">
      <ns0:c r="A388" s="4" t="inlineStr">
        <ns0:is>
          <ns0:t>SES-0387</ns0:t>
        </ns0:is>
      </ns0:c>
      <ns0:c r="B388" s="4" t="inlineStr">
        <ns0:is>
          <ns0:t>SYN-152</ns0:t>
        </ns0:is>
      </ns0:c>
      <ns0:c r="C388" s="10" t="n">
        <ns0:v>46275</ns0:v>
      </ns0:c>
      <ns0:c r="D388" s="4" t="inlineStr">
        <ns0:is>
          <ns0:t>Synthetic Script 152</ns0:t>
        </ns0:is>
      </ns0:c>
      <ns0:c r="E388" s="4" t="inlineStr">
        <ns0:is>
          <ns0:t>推理</ns0:t>
        </ns0:is>
      </ns0:c>
      <ns0:c r="F388" s="4" t="n">
        <ns0:v>1</ns0:v>
      </ns0:c>
      <ns0:c r="G388" s="4" t="n">
        <ns0:v>6</ns0:v>
      </ns0:c>
      <ns0:c r="H388" s="9" t="n">
        <ns0:v>119</ns0:v>
      </ns0:c>
      <ns0:c r="I388" s="9">
        <ns0:f>G388*H388</ns0:f>
        <ns0:v>714</ns0:v>
      </ns0:c>
      <ns0:c r="J388" s="9">
        <ns0:f>INDEX(Script_List!$H$2:$H$161,MATCH(B388,Script_List!$A$2:$A$161,0))</ns0:f>
        <ns0:v>187</ns0:v>
      </ns0:c>
      <ns0:c r="K388" s="4" t="inlineStr">
        <ns0:is>
          <ns0:t>城限</ns0:t>
        </ns0:is>
      </ns0:c>
      <ns0:c r="L388" s="9">
        <ns0:f>I388-J388</ns0:f>
        <ns0:v>527</ns0:v>
      </ns0:c>
      <ns0:c r="M388" s="4" t="n">
        <ns0:v>7.7</ns0:v>
      </ns0:c>
      <ns0:c r="N388" s="10">
        <ns0:f>DATE(YEAR(C388),MONTH(C388),1)</ns0:f>
        <ns0:v>46266.0</ns0:v>
      </ns0:c>
      <ns0:c r="O388" s="4" t="str">
        <ns0:f>TEXT(N388,"yyyy-mm")</ns0:f>
        <ns0:v>2026-09</ns0:v>
      </ns0:c>
    </ns0:row>
    <ns0:row r="389">
      <ns0:c r="A389" s="4" t="inlineStr">
        <ns0:is>
          <ns0:t>SES-0388</ns0:t>
        </ns0:is>
      </ns0:c>
      <ns0:c r="B389" s="4" t="inlineStr">
        <ns0:is>
          <ns0:t>SYN-152</ns0:t>
        </ns0:is>
      </ns0:c>
      <ns0:c r="C389" s="10" t="n">
        <ns0:v>46276</ns0:v>
      </ns0:c>
      <ns0:c r="D389" s="4" t="inlineStr">
        <ns0:is>
          <ns0:t>Synthetic Script 152</ns0:t>
        </ns0:is>
      </ns0:c>
      <ns0:c r="E389" s="4" t="inlineStr">
        <ns0:is>
          <ns0:t>推理</ns0:t>
        </ns0:is>
      </ns0:c>
      <ns0:c r="F389" s="4" t="n">
        <ns0:v>1</ns0:v>
      </ns0:c>
      <ns0:c r="G389" s="4" t="n">
        <ns0:v>6</ns0:v>
      </ns0:c>
      <ns0:c r="H389" s="9" t="n">
        <ns0:v>119</ns0:v>
      </ns0:c>
      <ns0:c r="I389" s="9">
        <ns0:f>G389*H389</ns0:f>
        <ns0:v>714</ns0:v>
      </ns0:c>
      <ns0:c r="J389" s="9">
        <ns0:f>INDEX(Script_List!$H$2:$H$161,MATCH(B389,Script_List!$A$2:$A$161,0))</ns0:f>
        <ns0:v>187</ns0:v>
      </ns0:c>
      <ns0:c r="K389" s="4" t="inlineStr">
        <ns0:is>
          <ns0:t>城限</ns0:t>
        </ns0:is>
      </ns0:c>
      <ns0:c r="L389" s="9">
        <ns0:f>I389-J389</ns0:f>
        <ns0:v>527</ns0:v>
      </ns0:c>
      <ns0:c r="M389" s="4" t="n">
        <ns0:v>7.7</ns0:v>
      </ns0:c>
      <ns0:c r="N389" s="10">
        <ns0:f>DATE(YEAR(C389),MONTH(C389),1)</ns0:f>
        <ns0:v>46266.0</ns0:v>
      </ns0:c>
      <ns0:c r="O389" s="4" t="str">
        <ns0:f>TEXT(N389,"yyyy-mm")</ns0:f>
        <ns0:v>2026-09</ns0:v>
      </ns0:c>
    </ns0:row>
    <ns0:row r="390">
      <ns0:c r="A390" s="4" t="inlineStr">
        <ns0:is>
          <ns0:t>SES-0389</ns0:t>
        </ns0:is>
      </ns0:c>
      <ns0:c r="B390" s="4" t="inlineStr">
        <ns0:is>
          <ns0:t>SYN-153</ns0:t>
        </ns0:is>
      </ns0:c>
      <ns0:c r="C390" s="10" t="n">
        <ns0:v>46277</ns0:v>
      </ns0:c>
      <ns0:c r="D390" s="4" t="inlineStr">
        <ns0:is>
          <ns0:t>Synthetic Script 153</ns0:t>
        </ns0:is>
      </ns0:c>
      <ns0:c r="E390" s="4" t="inlineStr">
        <ns0:is>
          <ns0:t>情感</ns0:t>
        </ns0:is>
      </ns0:c>
      <ns0:c r="F390" s="4" t="n">
        <ns0:v>3</ns0:v>
      </ns0:c>
      <ns0:c r="G390" s="4" t="n">
        <ns0:v>6</ns0:v>
      </ns0:c>
      <ns0:c r="H390" s="9" t="n">
        <ns0:v>99</ns0:v>
      </ns0:c>
      <ns0:c r="I390" s="9">
        <ns0:f>G390*H390</ns0:f>
        <ns0:v>594</ns0:v>
      </ns0:c>
      <ns0:c r="J390" s="9">
        <ns0:f>INDEX(Script_List!$H$2:$H$161,MATCH(B390,Script_List!$A$2:$A$161,0))</ns0:f>
        <ns0:v>270</ns0:v>
      </ns0:c>
      <ns0:c r="K390" s="4" t="inlineStr">
        <ns0:is>
          <ns0:t>盒装</ns0:t>
        </ns0:is>
      </ns0:c>
      <ns0:c r="L390" s="9">
        <ns0:f>I390-J390</ns0:f>
        <ns0:v>324</ns0:v>
      </ns0:c>
      <ns0:c r="M390" s="4" t="n">
        <ns0:v>8.4</ns0:v>
      </ns0:c>
      <ns0:c r="N390" s="10">
        <ns0:f>DATE(YEAR(C390),MONTH(C390),1)</ns0:f>
        <ns0:v>46266.0</ns0:v>
      </ns0:c>
      <ns0:c r="O390" s="4" t="str">
        <ns0:f>TEXT(N390,"yyyy-mm")</ns0:f>
        <ns0:v>2026-09</ns0:v>
      </ns0:c>
    </ns0:row>
    <ns0:row r="391">
      <ns0:c r="A391" s="4" t="inlineStr">
        <ns0:is>
          <ns0:t>SES-0390</ns0:t>
        </ns0:is>
      </ns0:c>
      <ns0:c r="B391" s="4" t="inlineStr">
        <ns0:is>
          <ns0:t>SYN-154</ns0:t>
        </ns0:is>
      </ns0:c>
      <ns0:c r="C391" s="10" t="n">
        <ns0:v>46278</ns0:v>
      </ns0:c>
      <ns0:c r="D391" s="4" t="inlineStr">
        <ns0:is>
          <ns0:t>Synthetic Script 154</ns0:t>
        </ns0:is>
      </ns0:c>
      <ns0:c r="E391" s="4" t="inlineStr">
        <ns0:is>
          <ns0:t>欢乐</ns0:t>
        </ns0:is>
      </ns0:c>
      <ns0:c r="F391" s="4" t="n">
        <ns0:v>3</ns0:v>
      </ns0:c>
      <ns0:c r="G391" s="4" t="n">
        <ns0:v>7</ns0:v>
      </ns0:c>
      <ns0:c r="H391" s="9" t="n">
        <ns0:v>109</ns0:v>
      </ns0:c>
      <ns0:c r="I391" s="9">
        <ns0:f>G391*H391</ns0:f>
        <ns0:v>763</ns0:v>
      </ns0:c>
      <ns0:c r="J391" s="9">
        <ns0:f>INDEX(Script_List!$H$2:$H$161,MATCH(B391,Script_List!$A$2:$A$161,0))</ns0:f>
        <ns0:v>200</ns0:v>
      </ns0:c>
      <ns0:c r="K391" s="4" t="inlineStr">
        <ns0:is>
          <ns0:t>独家</ns0:t>
        </ns0:is>
      </ns0:c>
      <ns0:c r="L391" s="9">
        <ns0:f>I391-J391</ns0:f>
        <ns0:v>563</ns0:v>
      </ns0:c>
      <ns0:c r="M391" s="4" t="n">
        <ns0:v>7</ns0:v>
      </ns0:c>
      <ns0:c r="N391" s="10">
        <ns0:f>DATE(YEAR(C391),MONTH(C391),1)</ns0:f>
        <ns0:v>46266.0</ns0:v>
      </ns0:c>
      <ns0:c r="O391" s="4" t="str">
        <ns0:f>TEXT(N391,"yyyy-mm")</ns0:f>
        <ns0:v>2026-09</ns0:v>
      </ns0:c>
    </ns0:row>
    <ns0:row r="392">
      <ns0:c r="A392" s="4" t="inlineStr">
        <ns0:is>
          <ns0:t>SES-0391</ns0:t>
        </ns0:is>
      </ns0:c>
      <ns0:c r="B392" s="4" t="inlineStr">
        <ns0:is>
          <ns0:t>SYN-154</ns0:t>
        </ns0:is>
      </ns0:c>
      <ns0:c r="C392" s="10" t="n">
        <ns0:v>46279</ns0:v>
      </ns0:c>
      <ns0:c r="D392" s="4" t="inlineStr">
        <ns0:is>
          <ns0:t>Synthetic Script 154</ns0:t>
        </ns0:is>
      </ns0:c>
      <ns0:c r="E392" s="4" t="inlineStr">
        <ns0:is>
          <ns0:t>欢乐</ns0:t>
        </ns0:is>
      </ns0:c>
      <ns0:c r="F392" s="4" t="n">
        <ns0:v>3</ns0:v>
      </ns0:c>
      <ns0:c r="G392" s="4" t="n">
        <ns0:v>7</ns0:v>
      </ns0:c>
      <ns0:c r="H392" s="9" t="n">
        <ns0:v>109</ns0:v>
      </ns0:c>
      <ns0:c r="I392" s="9">
        <ns0:f>G392*H392</ns0:f>
        <ns0:v>763</ns0:v>
      </ns0:c>
      <ns0:c r="J392" s="9">
        <ns0:f>INDEX(Script_List!$H$2:$H$161,MATCH(B392,Script_List!$A$2:$A$161,0))</ns0:f>
        <ns0:v>200</ns0:v>
      </ns0:c>
      <ns0:c r="K392" s="4" t="inlineStr">
        <ns0:is>
          <ns0:t>独家</ns0:t>
        </ns0:is>
      </ns0:c>
      <ns0:c r="L392" s="9">
        <ns0:f>I392-J392</ns0:f>
        <ns0:v>563</ns0:v>
      </ns0:c>
      <ns0:c r="M392" s="4" t="n">
        <ns0:v>7</ns0:v>
      </ns0:c>
      <ns0:c r="N392" s="10">
        <ns0:f>DATE(YEAR(C392),MONTH(C392),1)</ns0:f>
        <ns0:v>46266.0</ns0:v>
      </ns0:c>
      <ns0:c r="O392" s="4" t="str">
        <ns0:f>TEXT(N392,"yyyy-mm")</ns0:f>
        <ns0:v>2026-09</ns0:v>
      </ns0:c>
    </ns0:row>
    <ns0:row r="393">
      <ns0:c r="A393" s="4" t="inlineStr">
        <ns0:is>
          <ns0:t>SES-0392</ns0:t>
        </ns0:is>
      </ns0:c>
      <ns0:c r="B393" s="4" t="inlineStr">
        <ns0:is>
          <ns0:t>SYN-155</ns0:t>
        </ns0:is>
      </ns0:c>
      <ns0:c r="C393" s="10" t="n">
        <ns0:v>46280</ns0:v>
      </ns0:c>
      <ns0:c r="D393" s="4" t="inlineStr">
        <ns0:is>
          <ns0:t>Synthetic Script 155</ns0:t>
        </ns0:is>
      </ns0:c>
      <ns0:c r="E393" s="4" t="inlineStr">
        <ns0:is>
          <ns0:t>推理</ns0:t>
        </ns0:is>
      </ns0:c>
      <ns0:c r="F393" s="4" t="n">
        <ns0:v>2</ns0:v>
      </ns0:c>
      <ns0:c r="G393" s="4" t="n">
        <ns0:v>8</ns0:v>
      </ns0:c>
      <ns0:c r="H393" s="9" t="n">
        <ns0:v>95</ns0:v>
      </ns0:c>
      <ns0:c r="I393" s="9">
        <ns0:f>G393*H393</ns0:f>
        <ns0:v>760</ns0:v>
      </ns0:c>
      <ns0:c r="J393" s="9">
        <ns0:f>INDEX(Script_List!$H$2:$H$161,MATCH(B393,Script_List!$A$2:$A$161,0))</ns0:f>
        <ns0:v>200</ns0:v>
      </ns0:c>
      <ns0:c r="K393" s="4" t="inlineStr">
        <ns0:is>
          <ns0:t>城限</ns0:t>
        </ns0:is>
      </ns0:c>
      <ns0:c r="L393" s="9">
        <ns0:f>I393-J393</ns0:f>
        <ns0:v>560</ns0:v>
      </ns0:c>
      <ns0:c r="M393" s="4" t="n">
        <ns0:v>7.7</ns0:v>
      </ns0:c>
      <ns0:c r="N393" s="10">
        <ns0:f>DATE(YEAR(C393),MONTH(C393),1)</ns0:f>
        <ns0:v>46266.0</ns0:v>
      </ns0:c>
      <ns0:c r="O393" s="4" t="str">
        <ns0:f>TEXT(N393,"yyyy-mm")</ns0:f>
        <ns0:v>2026-09</ns0:v>
      </ns0:c>
    </ns0:row>
    <ns0:row r="394">
      <ns0:c r="A394" s="4" t="inlineStr">
        <ns0:is>
          <ns0:t>SES-0393</ns0:t>
        </ns0:is>
      </ns0:c>
      <ns0:c r="B394" s="4" t="inlineStr">
        <ns0:is>
          <ns0:t>SYN-155</ns0:t>
        </ns0:is>
      </ns0:c>
      <ns0:c r="C394" s="10" t="n">
        <ns0:v>46281</ns0:v>
      </ns0:c>
      <ns0:c r="D394" s="4" t="inlineStr">
        <ns0:is>
          <ns0:t>Synthetic Script 155</ns0:t>
        </ns0:is>
      </ns0:c>
      <ns0:c r="E394" s="4" t="inlineStr">
        <ns0:is>
          <ns0:t>推理</ns0:t>
        </ns0:is>
      </ns0:c>
      <ns0:c r="F394" s="4" t="n">
        <ns0:v>2</ns0:v>
      </ns0:c>
      <ns0:c r="G394" s="4" t="n">
        <ns0:v>8</ns0:v>
      </ns0:c>
      <ns0:c r="H394" s="9" t="n">
        <ns0:v>95</ns0:v>
      </ns0:c>
      <ns0:c r="I394" s="9">
        <ns0:f>G394*H394</ns0:f>
        <ns0:v>760</ns0:v>
      </ns0:c>
      <ns0:c r="J394" s="9">
        <ns0:f>INDEX(Script_List!$H$2:$H$161,MATCH(B394,Script_List!$A$2:$A$161,0))</ns0:f>
        <ns0:v>200</ns0:v>
      </ns0:c>
      <ns0:c r="K394" s="4" t="inlineStr">
        <ns0:is>
          <ns0:t>城限</ns0:t>
        </ns0:is>
      </ns0:c>
      <ns0:c r="L394" s="9">
        <ns0:f>I394-J394</ns0:f>
        <ns0:v>560</ns0:v>
      </ns0:c>
      <ns0:c r="M394" s="4" t="n">
        <ns0:v>7.7</ns0:v>
      </ns0:c>
      <ns0:c r="N394" s="10">
        <ns0:f>DATE(YEAR(C394),MONTH(C394),1)</ns0:f>
        <ns0:v>46266.0</ns0:v>
      </ns0:c>
      <ns0:c r="O394" s="4" t="str">
        <ns0:f>TEXT(N394,"yyyy-mm")</ns0:f>
        <ns0:v>2026-09</ns0:v>
      </ns0:c>
    </ns0:row>
    <ns0:row r="395">
      <ns0:c r="A395" s="4" t="inlineStr">
        <ns0:is>
          <ns0:t>SES-0394</ns0:t>
        </ns0:is>
      </ns0:c>
      <ns0:c r="B395" s="4" t="inlineStr">
        <ns0:is>
          <ns0:t>SYN-155</ns0:t>
        </ns0:is>
      </ns0:c>
      <ns0:c r="C395" s="10" t="n">
        <ns0:v>46282</ns0:v>
      </ns0:c>
      <ns0:c r="D395" s="4" t="inlineStr">
        <ns0:is>
          <ns0:t>Synthetic Script 155</ns0:t>
        </ns0:is>
      </ns0:c>
      <ns0:c r="E395" s="4" t="inlineStr">
        <ns0:is>
          <ns0:t>推理</ns0:t>
        </ns0:is>
      </ns0:c>
      <ns0:c r="F395" s="4" t="n">
        <ns0:v>2</ns0:v>
      </ns0:c>
      <ns0:c r="G395" s="4" t="n">
        <ns0:v>8</ns0:v>
      </ns0:c>
      <ns0:c r="H395" s="9" t="n">
        <ns0:v>95</ns0:v>
      </ns0:c>
      <ns0:c r="I395" s="9">
        <ns0:f>G395*H395</ns0:f>
        <ns0:v>760</ns0:v>
      </ns0:c>
      <ns0:c r="J395" s="9">
        <ns0:f>INDEX(Script_List!$H$2:$H$161,MATCH(B395,Script_List!$A$2:$A$161,0))</ns0:f>
        <ns0:v>200</ns0:v>
      </ns0:c>
      <ns0:c r="K395" s="4" t="inlineStr">
        <ns0:is>
          <ns0:t>城限</ns0:t>
        </ns0:is>
      </ns0:c>
      <ns0:c r="L395" s="9">
        <ns0:f>I395-J395</ns0:f>
        <ns0:v>560</ns0:v>
      </ns0:c>
      <ns0:c r="M395" s="4" t="n">
        <ns0:v>7.7</ns0:v>
      </ns0:c>
      <ns0:c r="N395" s="10">
        <ns0:f>DATE(YEAR(C395),MONTH(C395),1)</ns0:f>
        <ns0:v>46266.0</ns0:v>
      </ns0:c>
      <ns0:c r="O395" s="4" t="str">
        <ns0:f>TEXT(N395,"yyyy-mm")</ns0:f>
        <ns0:v>2026-09</ns0:v>
      </ns0:c>
    </ns0:row>
    <ns0:row r="396">
      <ns0:c r="A396" s="4" t="inlineStr">
        <ns0:is>
          <ns0:t>SES-0395</ns0:t>
        </ns0:is>
      </ns0:c>
      <ns0:c r="B396" s="4" t="inlineStr">
        <ns0:is>
          <ns0:t>SYN-155</ns0:t>
        </ns0:is>
      </ns0:c>
      <ns0:c r="C396" s="10" t="n">
        <ns0:v>46283</ns0:v>
      </ns0:c>
      <ns0:c r="D396" s="4" t="inlineStr">
        <ns0:is>
          <ns0:t>Synthetic Script 155</ns0:t>
        </ns0:is>
      </ns0:c>
      <ns0:c r="E396" s="4" t="inlineStr">
        <ns0:is>
          <ns0:t>推理</ns0:t>
        </ns0:is>
      </ns0:c>
      <ns0:c r="F396" s="4" t="n">
        <ns0:v>2</ns0:v>
      </ns0:c>
      <ns0:c r="G396" s="4" t="n">
        <ns0:v>8</ns0:v>
      </ns0:c>
      <ns0:c r="H396" s="9" t="n">
        <ns0:v>95</ns0:v>
      </ns0:c>
      <ns0:c r="I396" s="9">
        <ns0:f>G396*H396</ns0:f>
        <ns0:v>760</ns0:v>
      </ns0:c>
      <ns0:c r="J396" s="9">
        <ns0:f>INDEX(Script_List!$H$2:$H$161,MATCH(B396,Script_List!$A$2:$A$161,0))</ns0:f>
        <ns0:v>200</ns0:v>
      </ns0:c>
      <ns0:c r="K396" s="4" t="inlineStr">
        <ns0:is>
          <ns0:t>城限</ns0:t>
        </ns0:is>
      </ns0:c>
      <ns0:c r="L396" s="9">
        <ns0:f>I396-J396</ns0:f>
        <ns0:v>560</ns0:v>
      </ns0:c>
      <ns0:c r="M396" s="4" t="n">
        <ns0:v>7.7</ns0:v>
      </ns0:c>
      <ns0:c r="N396" s="10">
        <ns0:f>DATE(YEAR(C396),MONTH(C396),1)</ns0:f>
        <ns0:v>46266.0</ns0:v>
      </ns0:c>
      <ns0:c r="O396" s="4" t="str">
        <ns0:f>TEXT(N396,"yyyy-mm")</ns0:f>
        <ns0:v>2026-09</ns0:v>
      </ns0:c>
    </ns0:row>
    <ns0:row r="397">
      <ns0:c r="A397" s="4" t="inlineStr">
        <ns0:is>
          <ns0:t>SES-0396</ns0:t>
        </ns0:is>
      </ns0:c>
      <ns0:c r="B397" s="4" t="inlineStr">
        <ns0:is>
          <ns0:t>SYN-155</ns0:t>
        </ns0:is>
      </ns0:c>
      <ns0:c r="C397" s="10" t="n">
        <ns0:v>46284</ns0:v>
      </ns0:c>
      <ns0:c r="D397" s="4" t="inlineStr">
        <ns0:is>
          <ns0:t>Synthetic Script 155</ns0:t>
        </ns0:is>
      </ns0:c>
      <ns0:c r="E397" s="4" t="inlineStr">
        <ns0:is>
          <ns0:t>推理</ns0:t>
        </ns0:is>
      </ns0:c>
      <ns0:c r="F397" s="4" t="n">
        <ns0:v>2</ns0:v>
      </ns0:c>
      <ns0:c r="G397" s="4" t="n">
        <ns0:v>8</ns0:v>
      </ns0:c>
      <ns0:c r="H397" s="9" t="n">
        <ns0:v>95</ns0:v>
      </ns0:c>
      <ns0:c r="I397" s="9">
        <ns0:f>G397*H397</ns0:f>
        <ns0:v>760</ns0:v>
      </ns0:c>
      <ns0:c r="J397" s="9">
        <ns0:f>INDEX(Script_List!$H$2:$H$161,MATCH(B397,Script_List!$A$2:$A$161,0))</ns0:f>
        <ns0:v>200</ns0:v>
      </ns0:c>
      <ns0:c r="K397" s="4" t="inlineStr">
        <ns0:is>
          <ns0:t>城限</ns0:t>
        </ns0:is>
      </ns0:c>
      <ns0:c r="L397" s="9">
        <ns0:f>I397-J397</ns0:f>
        <ns0:v>560</ns0:v>
      </ns0:c>
      <ns0:c r="M397" s="4" t="n">
        <ns0:v>7.7</ns0:v>
      </ns0:c>
      <ns0:c r="N397" s="10">
        <ns0:f>DATE(YEAR(C397),MONTH(C397),1)</ns0:f>
        <ns0:v>46266.0</ns0:v>
      </ns0:c>
      <ns0:c r="O397" s="4" t="str">
        <ns0:f>TEXT(N397,"yyyy-mm")</ns0:f>
        <ns0:v>2026-09</ns0:v>
      </ns0:c>
    </ns0:row>
    <ns0:row r="398">
      <ns0:c r="A398" s="4" t="inlineStr">
        <ns0:is>
          <ns0:t>SES-0397</ns0:t>
        </ns0:is>
      </ns0:c>
      <ns0:c r="B398" s="4" t="inlineStr">
        <ns0:is>
          <ns0:t>SYN-155</ns0:t>
        </ns0:is>
      </ns0:c>
      <ns0:c r="C398" s="10" t="n">
        <ns0:v>46285</ns0:v>
      </ns0:c>
      <ns0:c r="D398" s="4" t="inlineStr">
        <ns0:is>
          <ns0:t>Synthetic Script 155</ns0:t>
        </ns0:is>
      </ns0:c>
      <ns0:c r="E398" s="4" t="inlineStr">
        <ns0:is>
          <ns0:t>推理</ns0:t>
        </ns0:is>
      </ns0:c>
      <ns0:c r="F398" s="4" t="n">
        <ns0:v>2</ns0:v>
      </ns0:c>
      <ns0:c r="G398" s="4" t="n">
        <ns0:v>8</ns0:v>
      </ns0:c>
      <ns0:c r="H398" s="9" t="n">
        <ns0:v>95</ns0:v>
      </ns0:c>
      <ns0:c r="I398" s="9">
        <ns0:f>G398*H398</ns0:f>
        <ns0:v>760</ns0:v>
      </ns0:c>
      <ns0:c r="J398" s="9">
        <ns0:f>INDEX(Script_List!$H$2:$H$161,MATCH(B398,Script_List!$A$2:$A$161,0))</ns0:f>
        <ns0:v>200</ns0:v>
      </ns0:c>
      <ns0:c r="K398" s="4" t="inlineStr">
        <ns0:is>
          <ns0:t>城限</ns0:t>
        </ns0:is>
      </ns0:c>
      <ns0:c r="L398" s="9">
        <ns0:f>I398-J398</ns0:f>
        <ns0:v>560</ns0:v>
      </ns0:c>
      <ns0:c r="M398" s="4" t="n">
        <ns0:v>7.7</ns0:v>
      </ns0:c>
      <ns0:c r="N398" s="10">
        <ns0:f>DATE(YEAR(C398),MONTH(C398),1)</ns0:f>
        <ns0:v>46266.0</ns0:v>
      </ns0:c>
      <ns0:c r="O398" s="4" t="str">
        <ns0:f>TEXT(N398,"yyyy-mm")</ns0:f>
        <ns0:v>2026-09</ns0:v>
      </ns0:c>
    </ns0:row>
    <ns0:row r="399">
      <ns0:c r="A399" s="4" t="inlineStr">
        <ns0:is>
          <ns0:t>SES-0398</ns0:t>
        </ns0:is>
      </ns0:c>
      <ns0:c r="B399" s="4" t="inlineStr">
        <ns0:is>
          <ns0:t>SYN-155</ns0:t>
        </ns0:is>
      </ns0:c>
      <ns0:c r="C399" s="10" t="n">
        <ns0:v>46286</ns0:v>
      </ns0:c>
      <ns0:c r="D399" s="4" t="inlineStr">
        <ns0:is>
          <ns0:t>Synthetic Script 155</ns0:t>
        </ns0:is>
      </ns0:c>
      <ns0:c r="E399" s="4" t="inlineStr">
        <ns0:is>
          <ns0:t>推理</ns0:t>
        </ns0:is>
      </ns0:c>
      <ns0:c r="F399" s="4" t="n">
        <ns0:v>2</ns0:v>
      </ns0:c>
      <ns0:c r="G399" s="4" t="n">
        <ns0:v>8</ns0:v>
      </ns0:c>
      <ns0:c r="H399" s="9" t="n">
        <ns0:v>95</ns0:v>
      </ns0:c>
      <ns0:c r="I399" s="9">
        <ns0:f>G399*H399</ns0:f>
        <ns0:v>760</ns0:v>
      </ns0:c>
      <ns0:c r="J399" s="9">
        <ns0:f>INDEX(Script_List!$H$2:$H$161,MATCH(B399,Script_List!$A$2:$A$161,0))</ns0:f>
        <ns0:v>200</ns0:v>
      </ns0:c>
      <ns0:c r="K399" s="4" t="inlineStr">
        <ns0:is>
          <ns0:t>城限</ns0:t>
        </ns0:is>
      </ns0:c>
      <ns0:c r="L399" s="9">
        <ns0:f>I399-J399</ns0:f>
        <ns0:v>560</ns0:v>
      </ns0:c>
      <ns0:c r="M399" s="4" t="n">
        <ns0:v>7.7</ns0:v>
      </ns0:c>
      <ns0:c r="N399" s="10">
        <ns0:f>DATE(YEAR(C399),MONTH(C399),1)</ns0:f>
        <ns0:v>46266.0</ns0:v>
      </ns0:c>
      <ns0:c r="O399" s="4" t="str">
        <ns0:f>TEXT(N399,"yyyy-mm")</ns0:f>
        <ns0:v>2026-09</ns0:v>
      </ns0:c>
    </ns0:row>
    <ns0:row r="400">
      <ns0:c r="A400" s="4" t="inlineStr">
        <ns0:is>
          <ns0:t>SES-0399</ns0:t>
        </ns0:is>
      </ns0:c>
      <ns0:c r="B400" s="4" t="inlineStr">
        <ns0:is>
          <ns0:t>SYN-156</ns0:t>
        </ns0:is>
      </ns0:c>
      <ns0:c r="C400" s="10" t="n">
        <ns0:v>46287</ns0:v>
      </ns0:c>
      <ns0:c r="D400" s="4" t="inlineStr">
        <ns0:is>
          <ns0:t>Synthetic Script 156</ns0:t>
        </ns0:is>
      </ns0:c>
      <ns0:c r="E400" s="4" t="inlineStr">
        <ns0:is>
          <ns0:t>情感</ns0:t>
        </ns0:is>
      </ns0:c>
      <ns0:c r="F400" s="4" t="n">
        <ns0:v>2</ns0:v>
      </ns0:c>
      <ns0:c r="G400" s="4" t="n">
        <ns0:v>6</ns0:v>
      </ns0:c>
      <ns0:c r="H400" s="9" t="n">
        <ns0:v>138</ns0:v>
      </ns0:c>
      <ns0:c r="I400" s="9">
        <ns0:f>G400*H400</ns0:f>
        <ns0:v>828</ns0:v>
      </ns0:c>
      <ns0:c r="J400" s="9">
        <ns0:f>INDEX(Script_List!$H$2:$H$161,MATCH(B400,Script_List!$A$2:$A$161,0))</ns0:f>
        <ns0:v>180</ns0:v>
      </ns0:c>
      <ns0:c r="K400" s="4" t="inlineStr">
        <ns0:is>
          <ns0:t>盒装</ns0:t>
        </ns0:is>
      </ns0:c>
      <ns0:c r="L400" s="9">
        <ns0:f>I400-J400</ns0:f>
        <ns0:v>648</ns0:v>
      </ns0:c>
      <ns0:c r="M400" s="4" t="n">
        <ns0:v>8.4</ns0:v>
      </ns0:c>
      <ns0:c r="N400" s="10">
        <ns0:f>DATE(YEAR(C400),MONTH(C400),1)</ns0:f>
        <ns0:v>46266.0</ns0:v>
      </ns0:c>
      <ns0:c r="O400" s="4" t="str">
        <ns0:f>TEXT(N400,"yyyy-mm")</ns0:f>
        <ns0:v>2026-09</ns0:v>
      </ns0:c>
    </ns0:row>
    <ns0:row r="401">
      <ns0:c r="A401" s="4" t="inlineStr">
        <ns0:is>
          <ns0:t>SES-0400</ns0:t>
        </ns0:is>
      </ns0:c>
      <ns0:c r="B401" s="4" t="inlineStr">
        <ns0:is>
          <ns0:t>SYN-157</ns0:t>
        </ns0:is>
      </ns0:c>
      <ns0:c r="C401" s="10" t="n">
        <ns0:v>46288</ns0:v>
      </ns0:c>
      <ns0:c r="D401" s="4" t="inlineStr">
        <ns0:is>
          <ns0:t>Synthetic Script 157</ns0:t>
        </ns0:is>
      </ns0:c>
      <ns0:c r="E401" s="4" t="inlineStr">
        <ns0:is>
          <ns0:t>机制</ns0:t>
        </ns0:is>
      </ns0:c>
      <ns0:c r="F401" s="4" t="n">
        <ns0:v>1</ns0:v>
      </ns0:c>
      <ns0:c r="G401" s="4" t="n">
        <ns0:v>6</ns0:v>
      </ns0:c>
      <ns0:c r="H401" s="9" t="n">
        <ns0:v>109</ns0:v>
      </ns0:c>
      <ns0:c r="I401" s="9">
        <ns0:f>G401*H401</ns0:f>
        <ns0:v>654</ns0:v>
      </ns0:c>
      <ns0:c r="J401" s="9">
        <ns0:f>INDEX(Script_List!$H$2:$H$161,MATCH(B401,Script_List!$A$2:$A$161,0))</ns0:f>
        <ns0:v>172</ns0:v>
      </ns0:c>
      <ns0:c r="K401" s="4" t="inlineStr">
        <ns0:is>
          <ns0:t>城限</ns0:t>
        </ns0:is>
      </ns0:c>
      <ns0:c r="L401" s="9">
        <ns0:f>I401-J401</ns0:f>
        <ns0:v>482</ns0:v>
      </ns0:c>
      <ns0:c r="M401" s="4" t="n">
        <ns0:v>7</ns0:v>
      </ns0:c>
      <ns0:c r="N401" s="10">
        <ns0:f>DATE(YEAR(C401),MONTH(C401),1)</ns0:f>
        <ns0:v>46266.0</ns0:v>
      </ns0:c>
      <ns0:c r="O401" s="4" t="str">
        <ns0:f>TEXT(N401,"yyyy-mm")</ns0:f>
        <ns0:v>2026-09</ns0:v>
      </ns0:c>
    </ns0:row>
    <ns0:row r="402">
      <ns0:c r="A402" s="4" t="inlineStr">
        <ns0:is>
          <ns0:t>SES-0401</ns0:t>
        </ns0:is>
      </ns0:c>
      <ns0:c r="B402" s="4" t="inlineStr">
        <ns0:is>
          <ns0:t>SYN-157</ns0:t>
        </ns0:is>
      </ns0:c>
      <ns0:c r="C402" s="10" t="n">
        <ns0:v>46288</ns0:v>
      </ns0:c>
      <ns0:c r="D402" s="4" t="inlineStr">
        <ns0:is>
          <ns0:t>Synthetic Script 157</ns0:t>
        </ns0:is>
      </ns0:c>
      <ns0:c r="E402" s="4" t="inlineStr">
        <ns0:is>
          <ns0:t>机制</ns0:t>
        </ns0:is>
      </ns0:c>
      <ns0:c r="F402" s="4" t="n">
        <ns0:v>1</ns0:v>
      </ns0:c>
      <ns0:c r="G402" s="4" t="n">
        <ns0:v>6</ns0:v>
      </ns0:c>
      <ns0:c r="H402" s="9" t="n">
        <ns0:v>109</ns0:v>
      </ns0:c>
      <ns0:c r="I402" s="9">
        <ns0:f>G402*H402</ns0:f>
        <ns0:v>654</ns0:v>
      </ns0:c>
      <ns0:c r="J402" s="9">
        <ns0:f>INDEX(Script_List!$H$2:$H$161,MATCH(B402,Script_List!$A$2:$A$161,0))</ns0:f>
        <ns0:v>172</ns0:v>
      </ns0:c>
      <ns0:c r="K402" s="4" t="inlineStr">
        <ns0:is>
          <ns0:t>城限</ns0:t>
        </ns0:is>
      </ns0:c>
      <ns0:c r="L402" s="9">
        <ns0:f>I402-J402</ns0:f>
        <ns0:v>482</ns0:v>
      </ns0:c>
      <ns0:c r="M402" s="4" t="n">
        <ns0:v>7</ns0:v>
      </ns0:c>
      <ns0:c r="N402" s="10">
        <ns0:f>DATE(YEAR(C402),MONTH(C402),1)</ns0:f>
        <ns0:v>46266.0</ns0:v>
      </ns0:c>
      <ns0:c r="O402" s="4" t="str">
        <ns0:f>TEXT(N402,"yyyy-mm")</ns0:f>
        <ns0:v>2026-09</ns0:v>
      </ns0:c>
    </ns0:row>
    <ns0:row r="403">
      <ns0:c r="A403" s="4" t="inlineStr">
        <ns0:is>
          <ns0:t>SES-0402</ns0:t>
        </ns0:is>
      </ns0:c>
      <ns0:c r="B403" s="4" t="inlineStr">
        <ns0:is>
          <ns0:t>SYN-157</ns0:t>
        </ns0:is>
      </ns0:c>
      <ns0:c r="C403" s="10" t="n">
        <ns0:v>46289</ns0:v>
      </ns0:c>
      <ns0:c r="D403" s="4" t="inlineStr">
        <ns0:is>
          <ns0:t>Synthetic Script 157</ns0:t>
        </ns0:is>
      </ns0:c>
      <ns0:c r="E403" s="4" t="inlineStr">
        <ns0:is>
          <ns0:t>机制</ns0:t>
        </ns0:is>
      </ns0:c>
      <ns0:c r="F403" s="4" t="n">
        <ns0:v>1</ns0:v>
      </ns0:c>
      <ns0:c r="G403" s="4" t="n">
        <ns0:v>6</ns0:v>
      </ns0:c>
      <ns0:c r="H403" s="9" t="n">
        <ns0:v>109</ns0:v>
      </ns0:c>
      <ns0:c r="I403" s="9">
        <ns0:f>G403*H403</ns0:f>
        <ns0:v>654</ns0:v>
      </ns0:c>
      <ns0:c r="J403" s="9">
        <ns0:f>INDEX(Script_List!$H$2:$H$161,MATCH(B403,Script_List!$A$2:$A$161,0))</ns0:f>
        <ns0:v>172</ns0:v>
      </ns0:c>
      <ns0:c r="K403" s="4" t="inlineStr">
        <ns0:is>
          <ns0:t>城限</ns0:t>
        </ns0:is>
      </ns0:c>
      <ns0:c r="L403" s="9">
        <ns0:f>I403-J403</ns0:f>
        <ns0:v>482</ns0:v>
      </ns0:c>
      <ns0:c r="M403" s="4" t="n">
        <ns0:v>7</ns0:v>
      </ns0:c>
      <ns0:c r="N403" s="10">
        <ns0:f>DATE(YEAR(C403),MONTH(C403),1)</ns0:f>
        <ns0:v>46266.0</ns0:v>
      </ns0:c>
      <ns0:c r="O403" s="4" t="str">
        <ns0:f>TEXT(N403,"yyyy-mm")</ns0:f>
        <ns0:v>2026-09</ns0:v>
      </ns0:c>
    </ns0:row>
    <ns0:row r="404">
      <ns0:c r="A404" s="4" t="inlineStr">
        <ns0:is>
          <ns0:t>SES-0403</ns0:t>
        </ns0:is>
      </ns0:c>
      <ns0:c r="B404" s="4" t="inlineStr">
        <ns0:is>
          <ns0:t>SYN-158</ns0:t>
        </ns0:is>
      </ns0:c>
      <ns0:c r="C404" s="10" t="n">
        <ns0:v>46290</ns0:v>
      </ns0:c>
      <ns0:c r="D404" s="4" t="inlineStr">
        <ns0:is>
          <ns0:t>Synthetic Script 158</ns0:t>
        </ns0:is>
      </ns0:c>
      <ns0:c r="E404" s="4" t="inlineStr">
        <ns0:is>
          <ns0:t>推理</ns0:t>
        </ns0:is>
      </ns0:c>
      <ns0:c r="F404" s="4" t="n">
        <ns0:v>1</ns0:v>
      </ns0:c>
      <ns0:c r="G404" s="4" t="n">
        <ns0:v>6</ns0:v>
      </ns0:c>
      <ns0:c r="H404" s="9" t="n">
        <ns0:v>75</ns0:v>
      </ns0:c>
      <ns0:c r="I404" s="9">
        <ns0:f>G404*H404</ns0:f>
        <ns0:v>450</ns0:v>
      </ns0:c>
      <ns0:c r="J404" s="9">
        <ns0:f>INDEX(Script_List!$H$2:$H$161,MATCH(B404,Script_List!$A$2:$A$161,0))</ns0:f>
        <ns0:v>118</ns0:v>
      </ns0:c>
      <ns0:c r="K404" s="4" t="inlineStr">
        <ns0:is>
          <ns0:t>盒装</ns0:t>
        </ns0:is>
      </ns0:c>
      <ns0:c r="L404" s="9">
        <ns0:f>I404-J404</ns0:f>
        <ns0:v>332</ns0:v>
      </ns0:c>
      <ns0:c r="M404" s="4" t="n">
        <ns0:v>7.7</ns0:v>
      </ns0:c>
      <ns0:c r="N404" s="10">
        <ns0:f>DATE(YEAR(C404),MONTH(C404),1)</ns0:f>
        <ns0:v>46266.0</ns0:v>
      </ns0:c>
      <ns0:c r="O404" s="4" t="str">
        <ns0:f>TEXT(N404,"yyyy-mm")</ns0:f>
        <ns0:v>2026-09</ns0:v>
      </ns0:c>
    </ns0:row>
    <ns0:row r="405">
      <ns0:c r="A405" s="4" t="inlineStr">
        <ns0:is>
          <ns0:t>SES-0404</ns0:t>
        </ns0:is>
      </ns0:c>
      <ns0:c r="B405" s="4" t="inlineStr">
        <ns0:is>
          <ns0:t>SYN-158</ns0:t>
        </ns0:is>
      </ns0:c>
      <ns0:c r="C405" s="10" t="n">
        <ns0:v>46291</ns0:v>
      </ns0:c>
      <ns0:c r="D405" s="4" t="inlineStr">
        <ns0:is>
          <ns0:t>Synthetic Script 158</ns0:t>
        </ns0:is>
      </ns0:c>
      <ns0:c r="E405" s="4" t="inlineStr">
        <ns0:is>
          <ns0:t>推理</ns0:t>
        </ns0:is>
      </ns0:c>
      <ns0:c r="F405" s="4" t="n">
        <ns0:v>1</ns0:v>
      </ns0:c>
      <ns0:c r="G405" s="4" t="n">
        <ns0:v>6</ns0:v>
      </ns0:c>
      <ns0:c r="H405" s="9" t="n">
        <ns0:v>75</ns0:v>
      </ns0:c>
      <ns0:c r="I405" s="9">
        <ns0:f>G405*H405</ns0:f>
        <ns0:v>450</ns0:v>
      </ns0:c>
      <ns0:c r="J405" s="9">
        <ns0:f>INDEX(Script_List!$H$2:$H$161,MATCH(B405,Script_List!$A$2:$A$161,0))</ns0:f>
        <ns0:v>118</ns0:v>
      </ns0:c>
      <ns0:c r="K405" s="4" t="inlineStr">
        <ns0:is>
          <ns0:t>盒装</ns0:t>
        </ns0:is>
      </ns0:c>
      <ns0:c r="L405" s="9">
        <ns0:f>I405-J405</ns0:f>
        <ns0:v>332</ns0:v>
      </ns0:c>
      <ns0:c r="M405" s="4" t="n">
        <ns0:v>7.7</ns0:v>
      </ns0:c>
      <ns0:c r="N405" s="10">
        <ns0:f>DATE(YEAR(C405),MONTH(C405),1)</ns0:f>
        <ns0:v>46266.0</ns0:v>
      </ns0:c>
      <ns0:c r="O405" s="4" t="str">
        <ns0:f>TEXT(N405,"yyyy-mm")</ns0:f>
        <ns0:v>2026-09</ns0:v>
      </ns0:c>
    </ns0:row>
    <ns0:row r="406">
      <ns0:c r="A406" s="4" t="inlineStr">
        <ns0:is>
          <ns0:t>SES-0405</ns0:t>
        </ns0:is>
      </ns0:c>
      <ns0:c r="B406" s="4" t="inlineStr">
        <ns0:is>
          <ns0:t>SYN-158</ns0:t>
        </ns0:is>
      </ns0:c>
      <ns0:c r="C406" s="10" t="n">
        <ns0:v>46292</ns0:v>
      </ns0:c>
      <ns0:c r="D406" s="4" t="inlineStr">
        <ns0:is>
          <ns0:t>Synthetic Script 158</ns0:t>
        </ns0:is>
      </ns0:c>
      <ns0:c r="E406" s="4" t="inlineStr">
        <ns0:is>
          <ns0:t>推理</ns0:t>
        </ns0:is>
      </ns0:c>
      <ns0:c r="F406" s="4" t="n">
        <ns0:v>1</ns0:v>
      </ns0:c>
      <ns0:c r="G406" s="4" t="n">
        <ns0:v>6</ns0:v>
      </ns0:c>
      <ns0:c r="H406" s="9" t="n">
        <ns0:v>75</ns0:v>
      </ns0:c>
      <ns0:c r="I406" s="9">
        <ns0:f>G406*H406</ns0:f>
        <ns0:v>450</ns0:v>
      </ns0:c>
      <ns0:c r="J406" s="9">
        <ns0:f>INDEX(Script_List!$H$2:$H$161,MATCH(B406,Script_List!$A$2:$A$161,0))</ns0:f>
        <ns0:v>118</ns0:v>
      </ns0:c>
      <ns0:c r="K406" s="4" t="inlineStr">
        <ns0:is>
          <ns0:t>盒装</ns0:t>
        </ns0:is>
      </ns0:c>
      <ns0:c r="L406" s="9">
        <ns0:f>I406-J406</ns0:f>
        <ns0:v>332</ns0:v>
      </ns0:c>
      <ns0:c r="M406" s="4" t="n">
        <ns0:v>7.7</ns0:v>
      </ns0:c>
      <ns0:c r="N406" s="10">
        <ns0:f>DATE(YEAR(C406),MONTH(C406),1)</ns0:f>
        <ns0:v>46266.0</ns0:v>
      </ns0:c>
      <ns0:c r="O406" s="4" t="str">
        <ns0:f>TEXT(N406,"yyyy-mm")</ns0:f>
        <ns0:v>2026-09</ns0:v>
      </ns0:c>
    </ns0:row>
    <ns0:row r="407">
      <ns0:c r="A407" s="4" t="inlineStr">
        <ns0:is>
          <ns0:t>SES-0406</ns0:t>
        </ns0:is>
      </ns0:c>
      <ns0:c r="B407" s="4" t="inlineStr">
        <ns0:is>
          <ns0:t>SYN-158</ns0:t>
        </ns0:is>
      </ns0:c>
      <ns0:c r="C407" s="10" t="n">
        <ns0:v>46293</ns0:v>
      </ns0:c>
      <ns0:c r="D407" s="4" t="inlineStr">
        <ns0:is>
          <ns0:t>Synthetic Script 158</ns0:t>
        </ns0:is>
      </ns0:c>
      <ns0:c r="E407" s="4" t="inlineStr">
        <ns0:is>
          <ns0:t>推理</ns0:t>
        </ns0:is>
      </ns0:c>
      <ns0:c r="F407" s="4" t="n">
        <ns0:v>1</ns0:v>
      </ns0:c>
      <ns0:c r="G407" s="4" t="n">
        <ns0:v>6</ns0:v>
      </ns0:c>
      <ns0:c r="H407" s="9" t="n">
        <ns0:v>75</ns0:v>
      </ns0:c>
      <ns0:c r="I407" s="9">
        <ns0:f>G407*H407</ns0:f>
        <ns0:v>450</ns0:v>
      </ns0:c>
      <ns0:c r="J407" s="9">
        <ns0:f>INDEX(Script_List!$H$2:$H$161,MATCH(B407,Script_List!$A$2:$A$161,0))</ns0:f>
        <ns0:v>118</ns0:v>
      </ns0:c>
      <ns0:c r="K407" s="4" t="inlineStr">
        <ns0:is>
          <ns0:t>盒装</ns0:t>
        </ns0:is>
      </ns0:c>
      <ns0:c r="L407" s="9">
        <ns0:f>I407-J407</ns0:f>
        <ns0:v>332</ns0:v>
      </ns0:c>
      <ns0:c r="M407" s="4" t="n">
        <ns0:v>7.7</ns0:v>
      </ns0:c>
      <ns0:c r="N407" s="10">
        <ns0:f>DATE(YEAR(C407),MONTH(C407),1)</ns0:f>
        <ns0:v>46266.0</ns0:v>
      </ns0:c>
      <ns0:c r="O407" s="4" t="str">
        <ns0:f>TEXT(N407,"yyyy-mm")</ns0:f>
        <ns0:v>2026-09</ns0:v>
      </ns0:c>
    </ns0:row>
    <ns0:row r="408">
      <ns0:c r="A408" s="4" t="inlineStr">
        <ns0:is>
          <ns0:t>SES-0407</ns0:t>
        </ns0:is>
      </ns0:c>
      <ns0:c r="B408" s="4" t="inlineStr">
        <ns0:is>
          <ns0:t>SYN-158</ns0:t>
        </ns0:is>
      </ns0:c>
      <ns0:c r="C408" s="10" t="n">
        <ns0:v>46294</ns0:v>
      </ns0:c>
      <ns0:c r="D408" s="4" t="inlineStr">
        <ns0:is>
          <ns0:t>Synthetic Script 158</ns0:t>
        </ns0:is>
      </ns0:c>
      <ns0:c r="E408" s="4" t="inlineStr">
        <ns0:is>
          <ns0:t>推理</ns0:t>
        </ns0:is>
      </ns0:c>
      <ns0:c r="F408" s="4" t="n">
        <ns0:v>1</ns0:v>
      </ns0:c>
      <ns0:c r="G408" s="4" t="n">
        <ns0:v>6</ns0:v>
      </ns0:c>
      <ns0:c r="H408" s="9" t="n">
        <ns0:v>75</ns0:v>
      </ns0:c>
      <ns0:c r="I408" s="9">
        <ns0:f>G408*H408</ns0:f>
        <ns0:v>450</ns0:v>
      </ns0:c>
      <ns0:c r="J408" s="9">
        <ns0:f>INDEX(Script_List!$H$2:$H$161,MATCH(B408,Script_List!$A$2:$A$161,0))</ns0:f>
        <ns0:v>118</ns0:v>
      </ns0:c>
      <ns0:c r="K408" s="4" t="inlineStr">
        <ns0:is>
          <ns0:t>盒装</ns0:t>
        </ns0:is>
      </ns0:c>
      <ns0:c r="L408" s="9">
        <ns0:f>I408-J408</ns0:f>
        <ns0:v>332</ns0:v>
      </ns0:c>
      <ns0:c r="M408" s="4" t="n">
        <ns0:v>7.7</ns0:v>
      </ns0:c>
      <ns0:c r="N408" s="10">
        <ns0:f>DATE(YEAR(C408),MONTH(C408),1)</ns0:f>
        <ns0:v>46266.0</ns0:v>
      </ns0:c>
      <ns0:c r="O408" s="4" t="str">
        <ns0:f>TEXT(N408,"yyyy-mm")</ns0:f>
        <ns0:v>2026-09</ns0:v>
      </ns0:c>
    </ns0:row>
    <ns0:row r="409">
      <ns0:c r="A409" s="4" t="inlineStr">
        <ns0:is>
          <ns0:t>SES-0408</ns0:t>
        </ns0:is>
      </ns0:c>
      <ns0:c r="B409" s="4" t="inlineStr">
        <ns0:is>
          <ns0:t>SYN-158</ns0:t>
        </ns0:is>
      </ns0:c>
      <ns0:c r="C409" s="10" t="n">
        <ns0:v>46295</ns0:v>
      </ns0:c>
      <ns0:c r="D409" s="4" t="inlineStr">
        <ns0:is>
          <ns0:t>Synthetic Script 158</ns0:t>
        </ns0:is>
      </ns0:c>
      <ns0:c r="E409" s="4" t="inlineStr">
        <ns0:is>
          <ns0:t>推理</ns0:t>
        </ns0:is>
      </ns0:c>
      <ns0:c r="F409" s="4" t="n">
        <ns0:v>1</ns0:v>
      </ns0:c>
      <ns0:c r="G409" s="4" t="n">
        <ns0:v>6</ns0:v>
      </ns0:c>
      <ns0:c r="H409" s="9" t="n">
        <ns0:v>75</ns0:v>
      </ns0:c>
      <ns0:c r="I409" s="9">
        <ns0:f>G409*H409</ns0:f>
        <ns0:v>450</ns0:v>
      </ns0:c>
      <ns0:c r="J409" s="9">
        <ns0:f>INDEX(Script_List!$H$2:$H$161,MATCH(B409,Script_List!$A$2:$A$161,0))</ns0:f>
        <ns0:v>118</ns0:v>
      </ns0:c>
      <ns0:c r="K409" s="4" t="inlineStr">
        <ns0:is>
          <ns0:t>盒装</ns0:t>
        </ns0:is>
      </ns0:c>
      <ns0:c r="L409" s="9">
        <ns0:f>I409-J409</ns0:f>
        <ns0:v>332</ns0:v>
      </ns0:c>
      <ns0:c r="M409" s="4" t="n">
        <ns0:v>7.7</ns0:v>
      </ns0:c>
      <ns0:c r="N409" s="10">
        <ns0:f>DATE(YEAR(C409),MONTH(C409),1)</ns0:f>
        <ns0:v>46266.0</ns0:v>
      </ns0:c>
      <ns0:c r="O409" s="4" t="str">
        <ns0:f>TEXT(N409,"yyyy-mm")</ns0:f>
        <ns0:v>2026-09</ns0:v>
      </ns0:c>
    </ns0:row>
    <ns0:row r="410">
      <ns0:c r="A410" s="4" t="inlineStr">
        <ns0:is>
          <ns0:t>SES-0409</ns0:t>
        </ns0:is>
      </ns0:c>
      <ns0:c r="B410" s="4" t="inlineStr">
        <ns0:is>
          <ns0:t>SYN-158</ns0:t>
        </ns0:is>
      </ns0:c>
      <ns0:c r="C410" s="10" t="n">
        <ns0:v>46296</ns0:v>
      </ns0:c>
      <ns0:c r="D410" s="4" t="inlineStr">
        <ns0:is>
          <ns0:t>Synthetic Script 158</ns0:t>
        </ns0:is>
      </ns0:c>
      <ns0:c r="E410" s="4" t="inlineStr">
        <ns0:is>
          <ns0:t>推理</ns0:t>
        </ns0:is>
      </ns0:c>
      <ns0:c r="F410" s="4" t="n">
        <ns0:v>1</ns0:v>
      </ns0:c>
      <ns0:c r="G410" s="4" t="n">
        <ns0:v>6</ns0:v>
      </ns0:c>
      <ns0:c r="H410" s="9" t="n">
        <ns0:v>75</ns0:v>
      </ns0:c>
      <ns0:c r="I410" s="9">
        <ns0:f>G410*H410</ns0:f>
        <ns0:v>450</ns0:v>
      </ns0:c>
      <ns0:c r="J410" s="9">
        <ns0:f>INDEX(Script_List!$H$2:$H$161,MATCH(B410,Script_List!$A$2:$A$161,0))</ns0:f>
        <ns0:v>118</ns0:v>
      </ns0:c>
      <ns0:c r="K410" s="4" t="inlineStr">
        <ns0:is>
          <ns0:t>盒装</ns0:t>
        </ns0:is>
      </ns0:c>
      <ns0:c r="L410" s="9">
        <ns0:f>I410-J410</ns0:f>
        <ns0:v>332</ns0:v>
      </ns0:c>
      <ns0:c r="M410" s="4" t="n">
        <ns0:v>7.7</ns0:v>
      </ns0:c>
      <ns0:c r="N410" s="10">
        <ns0:f>DATE(YEAR(C410),MONTH(C410),1)</ns0:f>
        <ns0:v>46296.0</ns0:v>
      </ns0:c>
      <ns0:c r="O410" s="4" t="str">
        <ns0:f>TEXT(N410,"yyyy-mm")</ns0:f>
        <ns0:v>2026-10</ns0:v>
      </ns0:c>
    </ns0:row>
    <ns0:row r="411">
      <ns0:c r="A411" s="4" t="inlineStr">
        <ns0:is>
          <ns0:t>SES-0410</ns0:t>
        </ns0:is>
      </ns0:c>
      <ns0:c r="B411" s="4" t="inlineStr">
        <ns0:is>
          <ns0:t>SYN-158</ns0:t>
        </ns0:is>
      </ns0:c>
      <ns0:c r="C411" s="10" t="n">
        <ns0:v>46297</ns0:v>
      </ns0:c>
      <ns0:c r="D411" s="4" t="inlineStr">
        <ns0:is>
          <ns0:t>Synthetic Script 158</ns0:t>
        </ns0:is>
      </ns0:c>
      <ns0:c r="E411" s="4" t="inlineStr">
        <ns0:is>
          <ns0:t>推理</ns0:t>
        </ns0:is>
      </ns0:c>
      <ns0:c r="F411" s="4" t="n">
        <ns0:v>1</ns0:v>
      </ns0:c>
      <ns0:c r="G411" s="4" t="n">
        <ns0:v>6</ns0:v>
      </ns0:c>
      <ns0:c r="H411" s="9" t="n">
        <ns0:v>75</ns0:v>
      </ns0:c>
      <ns0:c r="I411" s="9">
        <ns0:f>G411*H411</ns0:f>
        <ns0:v>450</ns0:v>
      </ns0:c>
      <ns0:c r="J411" s="9">
        <ns0:f>INDEX(Script_List!$H$2:$H$161,MATCH(B411,Script_List!$A$2:$A$161,0))</ns0:f>
        <ns0:v>118</ns0:v>
      </ns0:c>
      <ns0:c r="K411" s="4" t="inlineStr">
        <ns0:is>
          <ns0:t>盒装</ns0:t>
        </ns0:is>
      </ns0:c>
      <ns0:c r="L411" s="9">
        <ns0:f>I411-J411</ns0:f>
        <ns0:v>332</ns0:v>
      </ns0:c>
      <ns0:c r="M411" s="4" t="n">
        <ns0:v>7.7</ns0:v>
      </ns0:c>
      <ns0:c r="N411" s="10">
        <ns0:f>DATE(YEAR(C411),MONTH(C411),1)</ns0:f>
        <ns0:v>46296.0</ns0:v>
      </ns0:c>
      <ns0:c r="O411" s="4" t="str">
        <ns0:f>TEXT(N411,"yyyy-mm")</ns0:f>
        <ns0:v>2026-10</ns0:v>
      </ns0:c>
    </ns0:row>
    <ns0:row r="412">
      <ns0:c r="A412" s="4" t="inlineStr">
        <ns0:is>
          <ns0:t>SES-0411</ns0:t>
        </ns0:is>
      </ns0:c>
      <ns0:c r="B412" s="4" t="inlineStr">
        <ns0:is>
          <ns0:t>SYN-158</ns0:t>
        </ns0:is>
      </ns0:c>
      <ns0:c r="C412" s="10" t="n">
        <ns0:v>46298</ns0:v>
      </ns0:c>
      <ns0:c r="D412" s="4" t="inlineStr">
        <ns0:is>
          <ns0:t>Synthetic Script 158</ns0:t>
        </ns0:is>
      </ns0:c>
      <ns0:c r="E412" s="4" t="inlineStr">
        <ns0:is>
          <ns0:t>推理</ns0:t>
        </ns0:is>
      </ns0:c>
      <ns0:c r="F412" s="4" t="n">
        <ns0:v>1</ns0:v>
      </ns0:c>
      <ns0:c r="G412" s="4" t="n">
        <ns0:v>6</ns0:v>
      </ns0:c>
      <ns0:c r="H412" s="9" t="n">
        <ns0:v>75</ns0:v>
      </ns0:c>
      <ns0:c r="I412" s="9">
        <ns0:f>G412*H412</ns0:f>
        <ns0:v>450</ns0:v>
      </ns0:c>
      <ns0:c r="J412" s="9">
        <ns0:f>INDEX(Script_List!$H$2:$H$161,MATCH(B412,Script_List!$A$2:$A$161,0))</ns0:f>
        <ns0:v>118</ns0:v>
      </ns0:c>
      <ns0:c r="K412" s="4" t="inlineStr">
        <ns0:is>
          <ns0:t>盒装</ns0:t>
        </ns0:is>
      </ns0:c>
      <ns0:c r="L412" s="9">
        <ns0:f>I412-J412</ns0:f>
        <ns0:v>332</ns0:v>
      </ns0:c>
      <ns0:c r="M412" s="4" t="n">
        <ns0:v>7.7</ns0:v>
      </ns0:c>
      <ns0:c r="N412" s="10">
        <ns0:f>DATE(YEAR(C412),MONTH(C412),1)</ns0:f>
        <ns0:v>46296.0</ns0:v>
      </ns0:c>
      <ns0:c r="O412" s="4" t="str">
        <ns0:f>TEXT(N412,"yyyy-mm")</ns0:f>
        <ns0:v>2026-10</ns0:v>
      </ns0:c>
    </ns0:row>
    <ns0:row r="413">
      <ns0:c r="A413" s="4" t="inlineStr">
        <ns0:is>
          <ns0:t>SES-0412</ns0:t>
        </ns0:is>
      </ns0:c>
      <ns0:c r="B413" s="4" t="inlineStr">
        <ns0:is>
          <ns0:t>SYN-158</ns0:t>
        </ns0:is>
      </ns0:c>
      <ns0:c r="C413" s="10" t="n">
        <ns0:v>46299</ns0:v>
      </ns0:c>
      <ns0:c r="D413" s="4" t="inlineStr">
        <ns0:is>
          <ns0:t>Synthetic Script 158</ns0:t>
        </ns0:is>
      </ns0:c>
      <ns0:c r="E413" s="4" t="inlineStr">
        <ns0:is>
          <ns0:t>推理</ns0:t>
        </ns0:is>
      </ns0:c>
      <ns0:c r="F413" s="4" t="n">
        <ns0:v>1</ns0:v>
      </ns0:c>
      <ns0:c r="G413" s="4" t="n">
        <ns0:v>6</ns0:v>
      </ns0:c>
      <ns0:c r="H413" s="9" t="n">
        <ns0:v>75</ns0:v>
      </ns0:c>
      <ns0:c r="I413" s="9">
        <ns0:f>G413*H413</ns0:f>
        <ns0:v>450</ns0:v>
      </ns0:c>
      <ns0:c r="J413" s="9">
        <ns0:f>INDEX(Script_List!$H$2:$H$161,MATCH(B413,Script_List!$A$2:$A$161,0))</ns0:f>
        <ns0:v>118</ns0:v>
      </ns0:c>
      <ns0:c r="K413" s="4" t="inlineStr">
        <ns0:is>
          <ns0:t>盒装</ns0:t>
        </ns0:is>
      </ns0:c>
      <ns0:c r="L413" s="9">
        <ns0:f>I413-J413</ns0:f>
        <ns0:v>332</ns0:v>
      </ns0:c>
      <ns0:c r="M413" s="4" t="n">
        <ns0:v>7.7</ns0:v>
      </ns0:c>
      <ns0:c r="N413" s="10">
        <ns0:f>DATE(YEAR(C413),MONTH(C413),1)</ns0:f>
        <ns0:v>46296.0</ns0:v>
      </ns0:c>
      <ns0:c r="O413" s="4" t="str">
        <ns0:f>TEXT(N413,"yyyy-mm")</ns0:f>
        <ns0:v>2026-10</ns0:v>
      </ns0:c>
    </ns0:row>
    <ns0:row r="414">
      <ns0:c r="A414" s="4" t="inlineStr">
        <ns0:is>
          <ns0:t>SES-0413</ns0:t>
        </ns0:is>
      </ns0:c>
      <ns0:c r="B414" s="4" t="inlineStr">
        <ns0:is>
          <ns0:t>SYN-159</ns0:t>
        </ns0:is>
      </ns0:c>
      <ns0:c r="C414" s="10" t="n">
        <ns0:v>46300</ns0:v>
      </ns0:c>
      <ns0:c r="D414" s="4" t="inlineStr">
        <ns0:is>
          <ns0:t>Synthetic Script 159</ns0:t>
        </ns0:is>
      </ns0:c>
      <ns0:c r="E414" s="4" t="inlineStr">
        <ns0:is>
          <ns0:t>欢乐</ns0:t>
        </ns0:is>
      </ns0:c>
      <ns0:c r="F414" s="4" t="n">
        <ns0:v>3</ns0:v>
      </ns0:c>
      <ns0:c r="G414" s="4" t="n">
        <ns0:v>7</ns0:v>
      </ns0:c>
      <ns0:c r="H414" s="9" t="n">
        <ns0:v>118</ns0:v>
      </ns0:c>
      <ns0:c r="I414" s="9">
        <ns0:f>G414*H414</ns0:f>
        <ns0:v>826</ns0:v>
      </ns0:c>
      <ns0:c r="J414" s="9">
        <ns0:f>INDEX(Script_List!$H$2:$H$161,MATCH(B414,Script_List!$A$2:$A$161,0))</ns0:f>
        <ns0:v>217</ns0:v>
      </ns0:c>
      <ns0:c r="K414" s="4" t="inlineStr">
        <ns0:is>
          <ns0:t>独家</ns0:t>
        </ns0:is>
      </ns0:c>
      <ns0:c r="L414" s="9">
        <ns0:f>I414-J414</ns0:f>
        <ns0:v>609</ns0:v>
      </ns0:c>
      <ns0:c r="M414" s="4" t="n">
        <ns0:v>8.4</ns0:v>
      </ns0:c>
      <ns0:c r="N414" s="10">
        <ns0:f>DATE(YEAR(C414),MONTH(C414),1)</ns0:f>
        <ns0:v>46296.0</ns0:v>
      </ns0:c>
      <ns0:c r="O414" s="4" t="str">
        <ns0:f>TEXT(N414,"yyyy-mm")</ns0:f>
        <ns0:v>2026-10</ns0:v>
      </ns0:c>
    </ns0:row>
    <ns0:row r="415">
      <ns0:c r="A415" s="4" t="inlineStr">
        <ns0:is>
          <ns0:t>SES-0414</ns0:t>
        </ns0:is>
      </ns0:c>
      <ns0:c r="B415" s="4" t="inlineStr">
        <ns0:is>
          <ns0:t>SYN-160</ns0:t>
        </ns0:is>
      </ns0:c>
      <ns0:c r="C415" s="10" t="n">
        <ns0:v>46301</ns0:v>
      </ns0:c>
      <ns0:c r="D415" s="4" t="inlineStr">
        <ns0:is>
          <ns0:t>Synthetic Script 160</ns0:t>
        </ns0:is>
      </ns0:c>
      <ns0:c r="E415" s="4" t="inlineStr">
        <ns0:is>
          <ns0:t>情感</ns0:t>
        </ns0:is>
      </ns0:c>
      <ns0:c r="F415" s="4" t="n">
        <ns0:v>6</ns0:v>
      </ns0:c>
      <ns0:c r="G415" s="4" t="n">
        <ns0:v>8</ns0:v>
      </ns0:c>
      <ns0:c r="H415" s="9" t="n">
        <ns0:v>138</ns0:v>
      </ns0:c>
      <ns0:c r="I415" s="9">
        <ns0:f>G415*H415</ns0:f>
        <ns0:v>1104</ns0:v>
      </ns0:c>
      <ns0:c r="J415" s="9">
        <ns0:f>INDEX(Script_List!$H$2:$H$161,MATCH(B415,Script_List!$A$2:$A$161,0))</ns0:f>
        <ns0:v>540</ns0:v>
      </ns0:c>
      <ns0:c r="K415" s="4" t="inlineStr">
        <ns0:is>
          <ns0:t>盒装</ns0:t>
        </ns0:is>
      </ns0:c>
      <ns0:c r="L415" s="9">
        <ns0:f>I415-J415</ns0:f>
        <ns0:v>564</ns0:v>
      </ns0:c>
      <ns0:c r="M415" s="4" t="n">
        <ns0:v>7</ns0:v>
      </ns0:c>
      <ns0:c r="N415" s="10">
        <ns0:f>DATE(YEAR(C415),MONTH(C415),1)</ns0:f>
        <ns0:v>46296.0</ns0:v>
      </ns0:c>
      <ns0:c r="O415" s="4" t="str">
        <ns0:f>TEXT(N415,"yyyy-mm")</ns0:f>
        <ns0:v>2026-10</ns0:v>
      </ns0:c>
    </ns0:row>
    <ns0:row r="416">
      <ns0:c r="A416" s="4" t="inlineStr">
        <ns0:is>
          <ns0:t>SES-0415</ns0:t>
        </ns0:is>
      </ns0:c>
      <ns0:c r="B416" s="4" t="inlineStr">
        <ns0:is>
          <ns0:t>SYN-160</ns0:t>
        </ns0:is>
      </ns0:c>
      <ns0:c r="C416" s="10" t="n">
        <ns0:v>46302</ns0:v>
      </ns0:c>
      <ns0:c r="D416" s="4" t="inlineStr">
        <ns0:is>
          <ns0:t>Synthetic Script 160</ns0:t>
        </ns0:is>
      </ns0:c>
      <ns0:c r="E416" s="4" t="inlineStr">
        <ns0:is>
          <ns0:t>情感</ns0:t>
        </ns0:is>
      </ns0:c>
      <ns0:c r="F416" s="4" t="n">
        <ns0:v>6</ns0:v>
      </ns0:c>
      <ns0:c r="G416" s="4" t="n">
        <ns0:v>8</ns0:v>
      </ns0:c>
      <ns0:c r="H416" s="9" t="n">
        <ns0:v>138</ns0:v>
      </ns0:c>
      <ns0:c r="I416" s="9">
        <ns0:f>G416*H416</ns0:f>
        <ns0:v>1104</ns0:v>
      </ns0:c>
      <ns0:c r="J416" s="9">
        <ns0:f>INDEX(Script_List!$H$2:$H$161,MATCH(B416,Script_List!$A$2:$A$161,0))</ns0:f>
        <ns0:v>540</ns0:v>
      </ns0:c>
      <ns0:c r="K416" s="4" t="inlineStr">
        <ns0:is>
          <ns0:t>盒装</ns0:t>
        </ns0:is>
      </ns0:c>
      <ns0:c r="L416" s="9">
        <ns0:f>I416-J416</ns0:f>
        <ns0:v>564</ns0:v>
      </ns0:c>
      <ns0:c r="M416" s="4" t="n">
        <ns0:v>7</ns0:v>
      </ns0:c>
      <ns0:c r="N416" s="10">
        <ns0:f>DATE(YEAR(C416),MONTH(C416),1)</ns0:f>
        <ns0:v>46296.0</ns0:v>
      </ns0:c>
      <ns0:c r="O416" s="4" t="str">
        <ns0:f>TEXT(N416,"yyyy-mm")</ns0:f>
        <ns0:v>2026-10</ns0:v>
      </ns0:c>
    </ns0:row>
    <ns0:row r="417">
      <ns0:c r="A417" s="4" t="inlineStr">
        <ns0:is>
          <ns0:t>SES-0416</ns0:t>
        </ns0:is>
      </ns0:c>
      <ns0:c r="B417" s="4" t="inlineStr">
        <ns0:is>
          <ns0:t>SYN-160</ns0:t>
        </ns0:is>
      </ns0:c>
      <ns0:c r="C417" s="10" t="n">
        <ns0:v>46303</ns0:v>
      </ns0:c>
      <ns0:c r="D417" s="4" t="inlineStr">
        <ns0:is>
          <ns0:t>Synthetic Script 160</ns0:t>
        </ns0:is>
      </ns0:c>
      <ns0:c r="E417" s="4" t="inlineStr">
        <ns0:is>
          <ns0:t>情感</ns0:t>
        </ns0:is>
      </ns0:c>
      <ns0:c r="F417" s="4" t="n">
        <ns0:v>6</ns0:v>
      </ns0:c>
      <ns0:c r="G417" s="4" t="n">
        <ns0:v>8</ns0:v>
      </ns0:c>
      <ns0:c r="H417" s="9" t="n">
        <ns0:v>138</ns0:v>
      </ns0:c>
      <ns0:c r="I417" s="9">
        <ns0:f>G417*H417</ns0:f>
        <ns0:v>1104</ns0:v>
      </ns0:c>
      <ns0:c r="J417" s="9">
        <ns0:f>INDEX(Script_List!$H$2:$H$161,MATCH(B417,Script_List!$A$2:$A$161,0))</ns0:f>
        <ns0:v>540</ns0:v>
      </ns0:c>
      <ns0:c r="K417" s="4" t="inlineStr">
        <ns0:is>
          <ns0:t>盒装</ns0:t>
        </ns0:is>
      </ns0:c>
      <ns0:c r="L417" s="9">
        <ns0:f>I417-J417</ns0:f>
        <ns0:v>564</ns0:v>
      </ns0:c>
      <ns0:c r="M417" s="4" t="n">
        <ns0:v>7</ns0:v>
      </ns0:c>
      <ns0:c r="N417" s="10">
        <ns0:f>DATE(YEAR(C417),MONTH(C417),1)</ns0:f>
        <ns0:v>46296.0</ns0:v>
      </ns0:c>
      <ns0:c r="O417" s="4" t="str">
        <ns0:f>TEXT(N417,"yyyy-mm")</ns0:f>
        <ns0:v>2026-10</ns0:v>
      </ns0:c>
    </ns0:row>
  </ns0:sheetData>
  <ns0:pageMargins left="0.75" right="0.75" top="1" bottom="1" header="0.5" footer="0.5"/>
  <ns0:tableParts count="1">
    <ns0:tablePart ns1:id="rId1"/>
  </ns0:tableParts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O137"/>
  <ns0:sheetViews>
    <ns0:sheetView showGridLines="0" workbookViewId="0">
      <ns0:selection activeCell="A1" sqref="A1"/>
    </ns0:sheetView>
  </ns0:sheetViews>
  <ns0:sheetFormatPr baseColWidth="8" defaultRowHeight="15"/>
  <ns0:cols>
    <ns0:col width="20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  <ns0:col width="20" customWidth="1" min="9" max="9"/>
    <ns0:col width="20" customWidth="1" min="10" max="10"/>
    <ns0:col width="20" customWidth="1" min="11" max="11"/>
    <ns0:col width="20" customWidth="1" min="12" max="12"/>
    <ns0:col width="20" customWidth="1" min="13" max="13"/>
    <ns0:col width="20" customWidth="1" min="14" max="14"/>
    <ns0:col width="20" customWidth="1" min="15" max="15"/>
  </ns0:cols>
  <ns0:sheetData>
    <ns0:row r="1" ht="44" customHeight="1">
      <ns0:c r="A1" s="1" t="inlineStr">
        <ns0:is>
          <ns0:t>Synthetic analysis summaries; Refresh All after changing inputs</ns0:t>
        </ns0:is>
      </ns0:c>
      <ns0:c r="B1" s="1" t="n"/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inlineStr">
        <ns0:is>
          <ns0:t>Opened Script ID</ns0:t>
        </ns0:is>
      </ns0:c>
      <ns0:c r="N1" s="1" t="inlineStr">
        <ns0:is>
          <ns0:t>Observed Sessions</ns0:t>
        </ns0:is>
      </ns0:c>
      <ns0:c r="O1" s="1" t="inlineStr">
        <ns0:is>
          <ns0:t>Average Contribution</ns0:t>
        </ns0:is>
      </ns0:c>
    </ns0:row>
    <ns0:row r="2">
      <ns0:c r="M2" s="4" t="inlineStr">
        <ns0:is>
          <ns0:t>SYN-002</ns0:t>
        </ns0:is>
      </ns0:c>
      <ns0:c r="N2" s="4">
        <ns0:f>INDEX(Script_List!$R$2:$R$161,MATCH(M2,Script_List!$A$2:$A$161,0))</ns0:f>
        <ns0:v>1</ns0:v>
      </ns0:c>
      <ns0:c r="O2" s="4">
        <ns0:f>INDEX(Script_List!$X$2:$X$161,MATCH(M2,Script_List!$A$2:$A$161,0))</ns0:f>
        <ns0:v>332.0</ns0:v>
      </ns0:c>
    </ns0:row>
    <ns0:row r="3">
      <ns0:c r="A3" s="4" t="inlineStr">
        <ns0:is>
          <ns0:t>Script</ns0:t>
        </ns0:is>
      </ns0:c>
      <ns0:c r="B3" s="4" t="inlineStr">
        <ns0:is>
          <ns0:t>Observed Sessions</ns0:t>
        </ns0:is>
      </ns0:c>
      <ns0:c r="E3" s="4" t="inlineStr">
        <ns0:is>
          <ns0:t>Script Type</ns0:t>
        </ns0:is>
      </ns0:c>
      <ns0:c r="F3" s="4" t="inlineStr">
        <ns0:is>
          <ns0:t>Session Count</ns0:t>
        </ns0:is>
      </ns0:c>
      <ns0:c r="G3" s="4" t="inlineStr">
        <ns0:is>
          <ns0:t>Estimated Revenue</ns0:t>
        </ns0:is>
      </ns0:c>
      <ns0:c r="H3" s="4" t="inlineStr">
        <ns0:is>
          <ns0:t>Estimated Contribution</ns0:t>
        </ns0:is>
      </ns0:c>
      <ns0:c r="I3" s="4" t="inlineStr">
        <ns0:is>
          <ns0:t>Contribution / Session</ns0:t>
        </ns0:is>
      </ns0:c>
      <ns0:c r="M3" s="4" t="inlineStr">
        <ns0:is>
          <ns0:t>SYN-003</ns0:t>
        </ns0:is>
      </ns0:c>
      <ns0:c r="N3" s="4">
        <ns0:f>INDEX(Script_List!$R$2:$R$161,MATCH(M3,Script_List!$A$2:$A$161,0))</ns0:f>
        <ns0:v>3</ns0:v>
      </ns0:c>
      <ns0:c r="O3" s="4">
        <ns0:f>INDEX(Script_List!$X$2:$X$161,MATCH(M3,Script_List!$A$2:$A$161,0))</ns0:f>
        <ns0:v>438.0</ns0:v>
      </ns0:c>
    </ns0:row>
    <ns0:row r="4">
      <ns0:c r="A4" s="4" t="inlineStr">
        <ns0:is>
          <ns0:t>Synthetic Script 018</ns0:t>
        </ns0:is>
      </ns0:c>
      <ns0:c r="B4" s="4" t="n">
        <ns0:v>10</ns0:v>
      </ns0:c>
      <ns0:c r="E4" s="4" t="inlineStr">
        <ns0:is>
          <ns0:t>情感</ns0:t>
        </ns0:is>
      </ns0:c>
      <ns0:c r="F4" s="4" t="n">
        <ns0:v>120</ns0:v>
      </ns0:c>
      <ns0:c r="G4" s="4" t="n">
        <ns0:v>94096</ns0:v>
      </ns0:c>
      <ns0:c r="H4" s="4" t="n">
        <ns0:v>58096</ns0:v>
      </ns0:c>
      <ns0:c r="I4" s="4" t="n">
        <ns0:v>484.1333333333333</ns0:v>
      </ns0:c>
      <ns0:c r="M4" s="4" t="inlineStr">
        <ns0:is>
          <ns0:t>SYN-005</ns0:t>
        </ns0:is>
      </ns0:c>
      <ns0:c r="N4" s="4">
        <ns0:f>INDEX(Script_List!$R$2:$R$161,MATCH(M4,Script_List!$A$2:$A$161,0))</ns0:f>
        <ns0:v>2</ns0:v>
      </ns0:c>
      <ns0:c r="O4" s="4">
        <ns0:f>INDEX(Script_List!$X$2:$X$161,MATCH(M4,Script_List!$A$2:$A$161,0))</ns0:f>
        <ns0:v>383.0</ns0:v>
      </ns0:c>
    </ns0:row>
    <ns0:row r="5">
      <ns0:c r="A5" s="4" t="inlineStr">
        <ns0:is>
          <ns0:t>Synthetic Script 038</ns0:t>
        </ns0:is>
      </ns0:c>
      <ns0:c r="B5" s="4" t="n">
        <ns0:v>10</ns0:v>
      </ns0:c>
      <ns0:c r="E5" s="4" t="inlineStr">
        <ns0:is>
          <ns0:t>推理</ns0:t>
        </ns0:is>
      </ns0:c>
      <ns0:c r="F5" s="4" t="n">
        <ns0:v>216</ns0:v>
      </ns0:c>
      <ns0:c r="G5" s="4" t="n">
        <ns0:v>130464</ns0:v>
      </ns0:c>
      <ns0:c r="H5" s="4" t="n">
        <ns0:v>96216</ns0:v>
      </ns0:c>
      <ns0:c r="I5" s="4" t="n">
        <ns0:v>445.4444444444445</ns0:v>
      </ns0:c>
      <ns0:c r="M5" s="4" t="inlineStr">
        <ns0:is>
          <ns0:t>SYN-006</ns0:t>
        </ns0:is>
      </ns0:c>
      <ns0:c r="N5" s="4">
        <ns0:f>INDEX(Script_List!$R$2:$R$161,MATCH(M5,Script_List!$A$2:$A$161,0))</ns0:f>
        <ns0:v>4</ns0:v>
      </ns0:c>
      <ns0:c r="O5" s="4">
        <ns0:f>INDEX(Script_List!$X$2:$X$161,MATCH(M5,Script_List!$A$2:$A$161,0))</ns0:f>
        <ns0:v>474.0</ns0:v>
      </ns0:c>
    </ns0:row>
    <ns0:row r="6">
      <ns0:c r="A6" s="4" t="inlineStr">
        <ns0:is>
          <ns0:t>Synthetic Script 058</ns0:t>
        </ns0:is>
      </ns0:c>
      <ns0:c r="B6" s="4" t="n">
        <ns0:v>10</ns0:v>
      </ns0:c>
      <ns0:c r="E6" s="4" t="inlineStr">
        <ns0:is>
          <ns0:t>机制</ns0:t>
        </ns0:is>
      </ns0:c>
      <ns0:c r="F6" s="4" t="n">
        <ns0:v>24</ns0:v>
      </ns0:c>
      <ns0:c r="G6" s="4" t="n">
        <ns0:v>15696</ns0:v>
      </ns0:c>
      <ns0:c r="H6" s="4" t="n">
        <ns0:v>11568</ns0:v>
      </ns0:c>
      <ns0:c r="I6" s="4" t="n">
        <ns0:v>482</ns0:v>
      </ns0:c>
      <ns0:c r="M6" s="4" t="inlineStr">
        <ns0:is>
          <ns0:t>SYN-008</ns0:t>
        </ns0:is>
      </ns0:c>
      <ns0:c r="N6" s="4">
        <ns0:f>INDEX(Script_List!$R$2:$R$161,MATCH(M6,Script_List!$A$2:$A$161,0))</ns0:f>
        <ns0:v>2</ns0:v>
      </ns0:c>
      <ns0:c r="O6" s="4">
        <ns0:f>INDEX(Script_List!$X$2:$X$161,MATCH(M6,Script_List!$A$2:$A$161,0))</ns0:f>
        <ns0:v>527.0</ns0:v>
      </ns0:c>
    </ns0:row>
    <ns0:row r="7">
      <ns0:c r="A7" s="4" t="inlineStr">
        <ns0:is>
          <ns0:t>Synthetic Script 078</ns0:t>
        </ns0:is>
      </ns0:c>
      <ns0:c r="B7" s="4" t="n">
        <ns0:v>10</ns0:v>
      </ns0:c>
      <ns0:c r="E7" s="4" t="inlineStr">
        <ns0:is>
          <ns0:t>欢乐</ns0:t>
        </ns0:is>
      </ns0:c>
      <ns0:c r="F7" s="4" t="n">
        <ns0:v>56</ns0:v>
      </ns0:c>
      <ns0:c r="G7" s="4" t="n">
        <ns0:v>40096</ns0:v>
      </ns0:c>
      <ns0:c r="H7" s="4" t="n">
        <ns0:v>29560</ns0:v>
      </ns0:c>
      <ns0:c r="I7" s="4" t="n">
        <ns0:v>527.8571428571429</ns0:v>
      </ns0:c>
      <ns0:c r="M7" s="4" t="inlineStr">
        <ns0:is>
          <ns0:t>SYN-009</ns0:t>
        </ns0:is>
      </ns0:c>
      <ns0:c r="N7" s="4">
        <ns0:f>INDEX(Script_List!$R$2:$R$161,MATCH(M7,Script_List!$A$2:$A$161,0))</ns0:f>
        <ns0:v>4</ns0:v>
      </ns0:c>
      <ns0:c r="O7" s="4">
        <ns0:f>INDEX(Script_List!$X$2:$X$161,MATCH(M7,Script_List!$A$2:$A$161,0))</ns0:f>
        <ns0:v>490.0</ns0:v>
      </ns0:c>
    </ns0:row>
    <ns0:row r="8">
      <ns0:c r="A8" s="4" t="inlineStr">
        <ns0:is>
          <ns0:t>Synthetic Script 098</ns0:t>
        </ns0:is>
      </ns0:c>
      <ns0:c r="B8" s="4" t="n">
        <ns0:v>10</ns0:v>
      </ns0:c>
      <ns0:c r="E8" s="4" t="inlineStr">
        <ns0:is>
          <ns0:t>Grand Total</ns0:t>
        </ns0:is>
      </ns0:c>
      <ns0:c r="F8" s="4" t="n">
        <ns0:v>416</ns0:v>
      </ns0:c>
      <ns0:c r="G8" s="4" t="n">
        <ns0:v>280352</ns0:v>
      </ns0:c>
      <ns0:c r="H8" s="4" t="n">
        <ns0:v>195440</ns0:v>
      </ns0:c>
      <ns0:c r="I8" s="4" t="n">
        <ns0:v>469.8076923076923</ns0:v>
      </ns0:c>
      <ns0:c r="M8" s="4" t="inlineStr">
        <ns0:is>
          <ns0:t>SYN-010</ns0:t>
        </ns0:is>
      </ns0:c>
      <ns0:c r="N8" s="4">
        <ns0:f>INDEX(Script_List!$R$2:$R$161,MATCH(M8,Script_List!$A$2:$A$161,0))</ns0:f>
        <ns0:v>1</ns0:v>
      </ns0:c>
      <ns0:c r="O8" s="4">
        <ns0:f>INDEX(Script_List!$X$2:$X$161,MATCH(M8,Script_List!$A$2:$A$161,0))</ns0:f>
        <ns0:v>332.0</ns0:v>
      </ns0:c>
    </ns0:row>
    <ns0:row r="9">
      <ns0:c r="A9" s="4" t="inlineStr">
        <ns0:is>
          <ns0:t>Synthetic Script 118</ns0:t>
        </ns0:is>
      </ns0:c>
      <ns0:c r="B9" s="4" t="n">
        <ns0:v>10</ns0:v>
      </ns0:c>
      <ns0:c r="M9" s="4" t="inlineStr">
        <ns0:is>
          <ns0:t>SYN-011</ns0:t>
        </ns0:is>
      </ns0:c>
      <ns0:c r="N9" s="4">
        <ns0:f>INDEX(Script_List!$R$2:$R$161,MATCH(M9,Script_List!$A$2:$A$161,0))</ns0:f>
        <ns0:v>2</ns0:v>
      </ns0:c>
      <ns0:c r="O9" s="4">
        <ns0:f>INDEX(Script_List!$X$2:$X$161,MATCH(M9,Script_List!$A$2:$A$161,0))</ns0:f>
        <ns0:v>528.0</ns0:v>
      </ns0:c>
    </ns0:row>
    <ns0:row r="10">
      <ns0:c r="A10" s="4" t="inlineStr">
        <ns0:is>
          <ns0:t>Synthetic Script 138</ns0:t>
        </ns0:is>
      </ns0:c>
      <ns0:c r="B10" s="4" t="n">
        <ns0:v>10</ns0:v>
      </ns0:c>
      <ns0:c r="M10" s="4" t="inlineStr">
        <ns0:is>
          <ns0:t>SYN-012</ns0:t>
        </ns0:is>
      </ns0:c>
      <ns0:c r="N10" s="4">
        <ns0:f>INDEX(Script_List!$R$2:$R$161,MATCH(M10,Script_List!$A$2:$A$161,0))</ns0:f>
        <ns0:v>5</ns0:v>
      </ns0:c>
      <ns0:c r="O10" s="4">
        <ns0:f>INDEX(Script_List!$X$2:$X$161,MATCH(M10,Script_List!$A$2:$A$161,0))</ns0:f>
        <ns0:v>527.0</ns0:v>
      </ns0:c>
    </ns0:row>
    <ns0:row r="11">
      <ns0:c r="A11" s="4" t="inlineStr">
        <ns0:is>
          <ns0:t>Synthetic Script 158</ns0:t>
        </ns0:is>
      </ns0:c>
      <ns0:c r="B11" s="4" t="n">
        <ns0:v>10</ns0:v>
      </ns0:c>
      <ns0:c r="M11" s="4" t="inlineStr">
        <ns0:is>
          <ns0:t>SYN-013</ns0:t>
        </ns0:is>
      </ns0:c>
      <ns0:c r="N11" s="4">
        <ns0:f>INDEX(Script_List!$R$2:$R$161,MATCH(M11,Script_List!$A$2:$A$161,0))</ns0:f>
        <ns0:v>1</ns0:v>
      </ns0:c>
      <ns0:c r="O11" s="4">
        <ns0:f>INDEX(Script_List!$X$2:$X$161,MATCH(M11,Script_List!$A$2:$A$161,0))</ns0:f>
        <ns0:v>324.0</ns0:v>
      </ns0:c>
    </ns0:row>
    <ns0:row r="12">
      <ns0:c r="A12" s="4" t="inlineStr">
        <ns0:is>
          <ns0:t>Synthetic Script 015</ns0:t>
        </ns0:is>
      </ns0:c>
      <ns0:c r="B12" s="4" t="n">
        <ns0:v>7</ns0:v>
      </ns0:c>
      <ns0:c r="M12" s="4" t="inlineStr">
        <ns0:is>
          <ns0:t>SYN-014</ns0:t>
        </ns0:is>
      </ns0:c>
      <ns0:c r="N12" s="4">
        <ns0:f>INDEX(Script_List!$R$2:$R$161,MATCH(M12,Script_List!$A$2:$A$161,0))</ns0:f>
        <ns0:v>2</ns0:v>
      </ns0:c>
      <ns0:c r="O12" s="4">
        <ns0:f>INDEX(Script_List!$X$2:$X$161,MATCH(M12,Script_List!$A$2:$A$161,0))</ns0:f>
        <ns0:v>563.0</ns0:v>
      </ns0:c>
    </ns0:row>
    <ns0:row r="13">
      <ns0:c r="A13" s="4" t="inlineStr">
        <ns0:is>
          <ns0:t>Synthetic Script 035</ns0:t>
        </ns0:is>
      </ns0:c>
      <ns0:c r="B13" s="4" t="n">
        <ns0:v>7</ns0:v>
      </ns0:c>
      <ns0:c r="M13" s="4" t="inlineStr">
        <ns0:is>
          <ns0:t>SYN-015</ns0:t>
        </ns0:is>
      </ns0:c>
      <ns0:c r="N13" s="4">
        <ns0:f>INDEX(Script_List!$R$2:$R$161,MATCH(M13,Script_List!$A$2:$A$161,0))</ns0:f>
        <ns0:v>7</ns0:v>
      </ns0:c>
      <ns0:c r="O13" s="4">
        <ns0:f>INDEX(Script_List!$X$2:$X$161,MATCH(M13,Script_List!$A$2:$A$161,0))</ns0:f>
        <ns0:v>560.0</ns0:v>
      </ns0:c>
    </ns0:row>
    <ns0:row r="14">
      <ns0:c r="A14" s="4" t="inlineStr">
        <ns0:is>
          <ns0:t>Synthetic Script 055</ns0:t>
        </ns0:is>
      </ns0:c>
      <ns0:c r="B14" s="4" t="n">
        <ns0:v>7</ns0:v>
      </ns0:c>
      <ns0:c r="M14" s="4" t="inlineStr">
        <ns0:is>
          <ns0:t>SYN-016</ns0:t>
        </ns0:is>
      </ns0:c>
      <ns0:c r="N14" s="4">
        <ns0:f>INDEX(Script_List!$R$2:$R$161,MATCH(M14,Script_List!$A$2:$A$161,0))</ns0:f>
        <ns0:v>1</ns0:v>
      </ns0:c>
      <ns0:c r="O14" s="4">
        <ns0:f>INDEX(Script_List!$X$2:$X$161,MATCH(M14,Script_List!$A$2:$A$161,0))</ns0:f>
        <ns0:v>648.0</ns0:v>
      </ns0:c>
    </ns0:row>
    <ns0:row r="15">
      <ns0:c r="A15" s="4" t="inlineStr">
        <ns0:is>
          <ns0:t>Synthetic Script 075</ns0:t>
        </ns0:is>
      </ns0:c>
      <ns0:c r="B15" s="4" t="n">
        <ns0:v>7</ns0:v>
      </ns0:c>
      <ns0:c r="M15" s="4" t="inlineStr">
        <ns0:is>
          <ns0:t>SYN-017</ns0:t>
        </ns0:is>
      </ns0:c>
      <ns0:c r="N15" s="4">
        <ns0:f>INDEX(Script_List!$R$2:$R$161,MATCH(M15,Script_List!$A$2:$A$161,0))</ns0:f>
        <ns0:v>3</ns0:v>
      </ns0:c>
      <ns0:c r="O15" s="4">
        <ns0:f>INDEX(Script_List!$X$2:$X$161,MATCH(M15,Script_List!$A$2:$A$161,0))</ns0:f>
        <ns0:v>482.0</ns0:v>
      </ns0:c>
    </ns0:row>
    <ns0:row r="16">
      <ns0:c r="A16" s="4" t="inlineStr">
        <ns0:is>
          <ns0:t>Synthetic Script 095</ns0:t>
        </ns0:is>
      </ns0:c>
      <ns0:c r="B16" s="4" t="n">
        <ns0:v>7</ns0:v>
      </ns0:c>
      <ns0:c r="M16" s="4" t="inlineStr">
        <ns0:is>
          <ns0:t>SYN-018</ns0:t>
        </ns0:is>
      </ns0:c>
      <ns0:c r="N16" s="4">
        <ns0:f>INDEX(Script_List!$R$2:$R$161,MATCH(M16,Script_List!$A$2:$A$161,0))</ns0:f>
        <ns0:v>10</ns0:v>
      </ns0:c>
      <ns0:c r="O16" s="4">
        <ns0:f>INDEX(Script_List!$X$2:$X$161,MATCH(M16,Script_List!$A$2:$A$161,0))</ns0:f>
        <ns0:v>332.0</ns0:v>
      </ns0:c>
    </ns0:row>
    <ns0:row r="17">
      <ns0:c r="A17" s="4" t="inlineStr">
        <ns0:is>
          <ns0:t>Synthetic Script 115</ns0:t>
        </ns0:is>
      </ns0:c>
      <ns0:c r="B17" s="4" t="n">
        <ns0:v>7</ns0:v>
      </ns0:c>
      <ns0:c r="M17" s="4" t="inlineStr">
        <ns0:is>
          <ns0:t>SYN-019</ns0:t>
        </ns0:is>
      </ns0:c>
      <ns0:c r="N17" s="4">
        <ns0:f>INDEX(Script_List!$R$2:$R$161,MATCH(M17,Script_List!$A$2:$A$161,0))</ns0:f>
        <ns0:v>1</ns0:v>
      </ns0:c>
      <ns0:c r="O17" s="4">
        <ns0:f>INDEX(Script_List!$X$2:$X$161,MATCH(M17,Script_List!$A$2:$A$161,0))</ns0:f>
        <ns0:v>609.0</ns0:v>
      </ns0:c>
    </ns0:row>
    <ns0:row r="18">
      <ns0:c r="A18" s="4" t="inlineStr">
        <ns0:is>
          <ns0:t>Synthetic Script 135</ns0:t>
        </ns0:is>
      </ns0:c>
      <ns0:c r="B18" s="4" t="n">
        <ns0:v>7</ns0:v>
      </ns0:c>
      <ns0:c r="M18" s="4" t="inlineStr">
        <ns0:is>
          <ns0:t>SYN-020</ns0:t>
        </ns0:is>
      </ns0:c>
      <ns0:c r="N18" s="4">
        <ns0:f>INDEX(Script_List!$R$2:$R$161,MATCH(M18,Script_List!$A$2:$A$161,0))</ns0:f>
        <ns0:v>3</ns0:v>
      </ns0:c>
      <ns0:c r="O18" s="4">
        <ns0:f>INDEX(Script_List!$X$2:$X$161,MATCH(M18,Script_List!$A$2:$A$161,0))</ns0:f>
        <ns0:v>564.0</ns0:v>
      </ns0:c>
    </ns0:row>
    <ns0:row r="19">
      <ns0:c r="A19" s="4" t="inlineStr">
        <ns0:is>
          <ns0:t>Synthetic Script 155</ns0:t>
        </ns0:is>
      </ns0:c>
      <ns0:c r="B19" s="4" t="n">
        <ns0:v>7</ns0:v>
      </ns0:c>
      <ns0:c r="M19" s="4" t="inlineStr">
        <ns0:is>
          <ns0:t>SYN-022</ns0:t>
        </ns0:is>
      </ns0:c>
      <ns0:c r="N19" s="4">
        <ns0:f>INDEX(Script_List!$R$2:$R$161,MATCH(M19,Script_List!$A$2:$A$161,0))</ns0:f>
        <ns0:v>1</ns0:v>
      </ns0:c>
      <ns0:c r="O19" s="4">
        <ns0:f>INDEX(Script_List!$X$2:$X$161,MATCH(M19,Script_List!$A$2:$A$161,0))</ns0:f>
        <ns0:v>332.0</ns0:v>
      </ns0:c>
    </ns0:row>
    <ns0:row r="20">
      <ns0:c r="A20" s="4" t="inlineStr">
        <ns0:is>
          <ns0:t>Synthetic Script 012</ns0:t>
        </ns0:is>
      </ns0:c>
      <ns0:c r="B20" s="4" t="n">
        <ns0:v>5</ns0:v>
      </ns0:c>
      <ns0:c r="M20" s="4" t="inlineStr">
        <ns0:is>
          <ns0:t>SYN-023</ns0:t>
        </ns0:is>
      </ns0:c>
      <ns0:c r="N20" s="4">
        <ns0:f>INDEX(Script_List!$R$2:$R$161,MATCH(M20,Script_List!$A$2:$A$161,0))</ns0:f>
        <ns0:v>3</ns0:v>
      </ns0:c>
      <ns0:c r="O20" s="4">
        <ns0:f>INDEX(Script_List!$X$2:$X$161,MATCH(M20,Script_List!$A$2:$A$161,0))</ns0:f>
        <ns0:v>438.0</ns0:v>
      </ns0:c>
    </ns0:row>
    <ns0:row r="21">
      <ns0:c r="A21" s="4" t="inlineStr">
        <ns0:is>
          <ns0:t>Synthetic Script 032</ns0:t>
        </ns0:is>
      </ns0:c>
      <ns0:c r="B21" s="4" t="n">
        <ns0:v>5</ns0:v>
      </ns0:c>
      <ns0:c r="M21" s="4" t="inlineStr">
        <ns0:is>
          <ns0:t>SYN-025</ns0:t>
        </ns0:is>
      </ns0:c>
      <ns0:c r="N21" s="4">
        <ns0:f>INDEX(Script_List!$R$2:$R$161,MATCH(M21,Script_List!$A$2:$A$161,0))</ns0:f>
        <ns0:v>2</ns0:v>
      </ns0:c>
      <ns0:c r="O21" s="4">
        <ns0:f>INDEX(Script_List!$X$2:$X$161,MATCH(M21,Script_List!$A$2:$A$161,0))</ns0:f>
        <ns0:v>383.0</ns0:v>
      </ns0:c>
    </ns0:row>
    <ns0:row r="22">
      <ns0:c r="A22" s="4" t="inlineStr">
        <ns0:is>
          <ns0:t>Synthetic Script 052</ns0:t>
        </ns0:is>
      </ns0:c>
      <ns0:c r="B22" s="4" t="n">
        <ns0:v>5</ns0:v>
      </ns0:c>
      <ns0:c r="M22" s="4" t="inlineStr">
        <ns0:is>
          <ns0:t>SYN-026</ns0:t>
        </ns0:is>
      </ns0:c>
      <ns0:c r="N22" s="4">
        <ns0:f>INDEX(Script_List!$R$2:$R$161,MATCH(M22,Script_List!$A$2:$A$161,0))</ns0:f>
        <ns0:v>4</ns0:v>
      </ns0:c>
      <ns0:c r="O22" s="4">
        <ns0:f>INDEX(Script_List!$X$2:$X$161,MATCH(M22,Script_List!$A$2:$A$161,0))</ns0:f>
        <ns0:v>474.0</ns0:v>
      </ns0:c>
    </ns0:row>
    <ns0:row r="23">
      <ns0:c r="A23" s="4" t="inlineStr">
        <ns0:is>
          <ns0:t>Synthetic Script 072</ns0:t>
        </ns0:is>
      </ns0:c>
      <ns0:c r="B23" s="4" t="n">
        <ns0:v>5</ns0:v>
      </ns0:c>
      <ns0:c r="M23" s="4" t="inlineStr">
        <ns0:is>
          <ns0:t>SYN-028</ns0:t>
        </ns0:is>
      </ns0:c>
      <ns0:c r="N23" s="4">
        <ns0:f>INDEX(Script_List!$R$2:$R$161,MATCH(M23,Script_List!$A$2:$A$161,0))</ns0:f>
        <ns0:v>2</ns0:v>
      </ns0:c>
      <ns0:c r="O23" s="4">
        <ns0:f>INDEX(Script_List!$X$2:$X$161,MATCH(M23,Script_List!$A$2:$A$161,0))</ns0:f>
        <ns0:v>527.0</ns0:v>
      </ns0:c>
    </ns0:row>
    <ns0:row r="24">
      <ns0:c r="M24" s="4" t="inlineStr">
        <ns0:is>
          <ns0:t>SYN-029</ns0:t>
        </ns0:is>
      </ns0:c>
      <ns0:c r="N24" s="4">
        <ns0:f>INDEX(Script_List!$R$2:$R$161,MATCH(M24,Script_List!$A$2:$A$161,0))</ns0:f>
        <ns0:v>4</ns0:v>
      </ns0:c>
      <ns0:c r="O24" s="4">
        <ns0:f>INDEX(Script_List!$X$2:$X$161,MATCH(M24,Script_List!$A$2:$A$161,0))</ns0:f>
        <ns0:v>490.0</ns0:v>
      </ns0:c>
    </ns0:row>
    <ns0:row r="25">
      <ns0:c r="M25" s="4" t="inlineStr">
        <ns0:is>
          <ns0:t>SYN-030</ns0:t>
        </ns0:is>
      </ns0:c>
      <ns0:c r="N25" s="4">
        <ns0:f>INDEX(Script_List!$R$2:$R$161,MATCH(M25,Script_List!$A$2:$A$161,0))</ns0:f>
        <ns0:v>1</ns0:v>
      </ns0:c>
      <ns0:c r="O25" s="4">
        <ns0:f>INDEX(Script_List!$X$2:$X$161,MATCH(M25,Script_List!$A$2:$A$161,0))</ns0:f>
        <ns0:v>332.0</ns0:v>
      </ns0:c>
    </ns0:row>
    <ns0:row r="26">
      <ns0:c r="M26" s="4" t="inlineStr">
        <ns0:is>
          <ns0:t>SYN-031</ns0:t>
        </ns0:is>
      </ns0:c>
      <ns0:c r="N26" s="4">
        <ns0:f>INDEX(Script_List!$R$2:$R$161,MATCH(M26,Script_List!$A$2:$A$161,0))</ns0:f>
        <ns0:v>2</ns0:v>
      </ns0:c>
      <ns0:c r="O26" s="4">
        <ns0:f>INDEX(Script_List!$X$2:$X$161,MATCH(M26,Script_List!$A$2:$A$161,0))</ns0:f>
        <ns0:v>528.0</ns0:v>
      </ns0:c>
    </ns0:row>
    <ns0:row r="27">
      <ns0:c r="M27" s="4" t="inlineStr">
        <ns0:is>
          <ns0:t>SYN-032</ns0:t>
        </ns0:is>
      </ns0:c>
      <ns0:c r="N27" s="4">
        <ns0:f>INDEX(Script_List!$R$2:$R$161,MATCH(M27,Script_List!$A$2:$A$161,0))</ns0:f>
        <ns0:v>5</ns0:v>
      </ns0:c>
      <ns0:c r="O27" s="4">
        <ns0:f>INDEX(Script_List!$X$2:$X$161,MATCH(M27,Script_List!$A$2:$A$161,0))</ns0:f>
        <ns0:v>527.0</ns0:v>
      </ns0:c>
    </ns0:row>
    <ns0:row r="28">
      <ns0:c r="M28" s="4" t="inlineStr">
        <ns0:is>
          <ns0:t>SYN-033</ns0:t>
        </ns0:is>
      </ns0:c>
      <ns0:c r="N28" s="4">
        <ns0:f>INDEX(Script_List!$R$2:$R$161,MATCH(M28,Script_List!$A$2:$A$161,0))</ns0:f>
        <ns0:v>1</ns0:v>
      </ns0:c>
      <ns0:c r="O28" s="4">
        <ns0:f>INDEX(Script_List!$X$2:$X$161,MATCH(M28,Script_List!$A$2:$A$161,0))</ns0:f>
        <ns0:v>324.0</ns0:v>
      </ns0:c>
    </ns0:row>
    <ns0:row r="29">
      <ns0:c r="M29" s="4" t="inlineStr">
        <ns0:is>
          <ns0:t>SYN-034</ns0:t>
        </ns0:is>
      </ns0:c>
      <ns0:c r="N29" s="4">
        <ns0:f>INDEX(Script_List!$R$2:$R$161,MATCH(M29,Script_List!$A$2:$A$161,0))</ns0:f>
        <ns0:v>2</ns0:v>
      </ns0:c>
      <ns0:c r="O29" s="4">
        <ns0:f>INDEX(Script_List!$X$2:$X$161,MATCH(M29,Script_List!$A$2:$A$161,0))</ns0:f>
        <ns0:v>563.0</ns0:v>
      </ns0:c>
    </ns0:row>
    <ns0:row r="30">
      <ns0:c r="M30" s="4" t="inlineStr">
        <ns0:is>
          <ns0:t>SYN-035</ns0:t>
        </ns0:is>
      </ns0:c>
      <ns0:c r="N30" s="4">
        <ns0:f>INDEX(Script_List!$R$2:$R$161,MATCH(M30,Script_List!$A$2:$A$161,0))</ns0:f>
        <ns0:v>7</ns0:v>
      </ns0:c>
      <ns0:c r="O30" s="4">
        <ns0:f>INDEX(Script_List!$X$2:$X$161,MATCH(M30,Script_List!$A$2:$A$161,0))</ns0:f>
        <ns0:v>560.0</ns0:v>
      </ns0:c>
    </ns0:row>
    <ns0:row r="31">
      <ns0:c r="M31" s="4" t="inlineStr">
        <ns0:is>
          <ns0:t>SYN-036</ns0:t>
        </ns0:is>
      </ns0:c>
      <ns0:c r="N31" s="4">
        <ns0:f>INDEX(Script_List!$R$2:$R$161,MATCH(M31,Script_List!$A$2:$A$161,0))</ns0:f>
        <ns0:v>1</ns0:v>
      </ns0:c>
      <ns0:c r="O31" s="4">
        <ns0:f>INDEX(Script_List!$X$2:$X$161,MATCH(M31,Script_List!$A$2:$A$161,0))</ns0:f>
        <ns0:v>648.0</ns0:v>
      </ns0:c>
    </ns0:row>
    <ns0:row r="32">
      <ns0:c r="M32" s="4" t="inlineStr">
        <ns0:is>
          <ns0:t>SYN-037</ns0:t>
        </ns0:is>
      </ns0:c>
      <ns0:c r="N32" s="4">
        <ns0:f>INDEX(Script_List!$R$2:$R$161,MATCH(M32,Script_List!$A$2:$A$161,0))</ns0:f>
        <ns0:v>3</ns0:v>
      </ns0:c>
      <ns0:c r="O32" s="4">
        <ns0:f>INDEX(Script_List!$X$2:$X$161,MATCH(M32,Script_List!$A$2:$A$161,0))</ns0:f>
        <ns0:v>482.0</ns0:v>
      </ns0:c>
    </ns0:row>
    <ns0:row r="33">
      <ns0:c r="M33" s="4" t="inlineStr">
        <ns0:is>
          <ns0:t>SYN-038</ns0:t>
        </ns0:is>
      </ns0:c>
      <ns0:c r="N33" s="4">
        <ns0:f>INDEX(Script_List!$R$2:$R$161,MATCH(M33,Script_List!$A$2:$A$161,0))</ns0:f>
        <ns0:v>10</ns0:v>
      </ns0:c>
      <ns0:c r="O33" s="4">
        <ns0:f>INDEX(Script_List!$X$2:$X$161,MATCH(M33,Script_List!$A$2:$A$161,0))</ns0:f>
        <ns0:v>332.0</ns0:v>
      </ns0:c>
    </ns0:row>
    <ns0:row r="34">
      <ns0:c r="M34" s="4" t="inlineStr">
        <ns0:is>
          <ns0:t>SYN-039</ns0:t>
        </ns0:is>
      </ns0:c>
      <ns0:c r="N34" s="4">
        <ns0:f>INDEX(Script_List!$R$2:$R$161,MATCH(M34,Script_List!$A$2:$A$161,0))</ns0:f>
        <ns0:v>1</ns0:v>
      </ns0:c>
      <ns0:c r="O34" s="4">
        <ns0:f>INDEX(Script_List!$X$2:$X$161,MATCH(M34,Script_List!$A$2:$A$161,0))</ns0:f>
        <ns0:v>609.0</ns0:v>
      </ns0:c>
    </ns0:row>
    <ns0:row r="35">
      <ns0:c r="A35" s="4" t="inlineStr">
        <ns0:is>
          <ns0:t>Report Month</ns0:t>
        </ns0:is>
      </ns0:c>
      <ns0:c r="B35" s="4" t="inlineStr">
        <ns0:is>
          <ns0:t>Session Count</ns0:t>
        </ns0:is>
      </ns0:c>
      <ns0:c r="F35" s="4" t="inlineStr">
        <ns0:is>
          <ns0:t>Script Edition</ns0:t>
        </ns0:is>
      </ns0:c>
      <ns0:c r="G35" s="4" t="inlineStr">
        <ns0:is>
          <ns0:t>Contribution / Session</ns0:t>
        </ns0:is>
      </ns0:c>
      <ns0:c r="H35" s="4" t="inlineStr">
        <ns0:is>
          <ns0:t>Session Count</ns0:t>
        </ns0:is>
      </ns0:c>
      <ns0:c r="M35" s="4" t="inlineStr">
        <ns0:is>
          <ns0:t>SYN-040</ns0:t>
        </ns0:is>
      </ns0:c>
      <ns0:c r="N35" s="4">
        <ns0:f>INDEX(Script_List!$R$2:$R$161,MATCH(M35,Script_List!$A$2:$A$161,0))</ns0:f>
        <ns0:v>3</ns0:v>
      </ns0:c>
      <ns0:c r="O35" s="4">
        <ns0:f>INDEX(Script_List!$X$2:$X$161,MATCH(M35,Script_List!$A$2:$A$161,0))</ns0:f>
        <ns0:v>564.0</ns0:v>
      </ns0:c>
    </ns0:row>
    <ns0:row r="36">
      <ns0:c r="A36" s="4" t="inlineStr">
        <ns0:is>
          <ns0:t>2025-09</ns0:t>
        </ns0:is>
      </ns0:c>
      <ns0:c r="B36" s="4" t="n">
        <ns0:v>31</ns0:v>
      </ns0:c>
      <ns0:c r="F36" s="4" t="inlineStr">
        <ns0:is>
          <ns0:t>城限</ns0:t>
        </ns0:is>
      </ns0:c>
      <ns0:c r="G36" s="4" t="n">
        <ns0:v>505.5</ns0:v>
      </ns0:c>
      <ns0:c r="H36" s="4" t="n">
        <ns0:v>144</ns0:v>
      </ns0:c>
      <ns0:c r="M36" s="4" t="inlineStr">
        <ns0:is>
          <ns0:t>SYN-042</ns0:t>
        </ns0:is>
      </ns0:c>
      <ns0:c r="N36" s="4">
        <ns0:f>INDEX(Script_List!$R$2:$R$161,MATCH(M36,Script_List!$A$2:$A$161,0))</ns0:f>
        <ns0:v>1</ns0:v>
      </ns0:c>
      <ns0:c r="O36" s="4">
        <ns0:f>INDEX(Script_List!$X$2:$X$161,MATCH(M36,Script_List!$A$2:$A$161,0))</ns0:f>
        <ns0:v>332.0</ns0:v>
      </ns0:c>
    </ns0:row>
    <ns0:row r="37">
      <ns0:c r="A37" s="4" t="inlineStr">
        <ns0:is>
          <ns0:t>2025-10</ns0:t>
        </ns0:is>
      </ns0:c>
      <ns0:c r="B37" s="4" t="n">
        <ns0:v>32</ns0:v>
      </ns0:c>
      <ns0:c r="F37" s="4" t="inlineStr">
        <ns0:is>
          <ns0:t>独家</ns0:t>
        </ns0:is>
      </ns0:c>
      <ns0:c r="G37" s="4" t="n">
        <ns0:v>527.8571428571429</ns0:v>
      </ns0:c>
      <ns0:c r="H37" s="4" t="n">
        <ns0:v>56</ns0:v>
      </ns0:c>
      <ns0:c r="M37" s="4" t="inlineStr">
        <ns0:is>
          <ns0:t>SYN-043</ns0:t>
        </ns0:is>
      </ns0:c>
      <ns0:c r="N37" s="4">
        <ns0:f>INDEX(Script_List!$R$2:$R$161,MATCH(M37,Script_List!$A$2:$A$161,0))</ns0:f>
        <ns0:v>3</ns0:v>
      </ns0:c>
      <ns0:c r="O37" s="4">
        <ns0:f>INDEX(Script_List!$X$2:$X$161,MATCH(M37,Script_List!$A$2:$A$161,0))</ns0:f>
        <ns0:v>438.0</ns0:v>
      </ns0:c>
    </ns0:row>
    <ns0:row r="38">
      <ns0:c r="A38" s="4" t="inlineStr">
        <ns0:is>
          <ns0:t>2025-11</ns0:t>
        </ns0:is>
      </ns0:c>
      <ns0:c r="B38" s="4" t="n">
        <ns0:v>31</ns0:v>
      </ns0:c>
      <ns0:c r="F38" s="4" t="inlineStr">
        <ns0:is>
          <ns0:t>盒装</ns0:t>
        </ns0:is>
      </ns0:c>
      <ns0:c r="G38" s="4" t="n">
        <ns0:v>430.962962962963</ns0:v>
      </ns0:c>
      <ns0:c r="H38" s="4" t="n">
        <ns0:v>216</ns0:v>
      </ns0:c>
      <ns0:c r="M38" s="4" t="inlineStr">
        <ns0:is>
          <ns0:t>SYN-045</ns0:t>
        </ns0:is>
      </ns0:c>
      <ns0:c r="N38" s="4">
        <ns0:f>INDEX(Script_List!$R$2:$R$161,MATCH(M38,Script_List!$A$2:$A$161,0))</ns0:f>
        <ns0:v>2</ns0:v>
      </ns0:c>
      <ns0:c r="O38" s="4">
        <ns0:f>INDEX(Script_List!$X$2:$X$161,MATCH(M38,Script_List!$A$2:$A$161,0))</ns0:f>
        <ns0:v>383.0</ns0:v>
      </ns0:c>
    </ns0:row>
    <ns0:row r="39">
      <ns0:c r="A39" s="4" t="inlineStr">
        <ns0:is>
          <ns0:t>2025-12</ns0:t>
        </ns0:is>
      </ns0:c>
      <ns0:c r="B39" s="4" t="n">
        <ns0:v>32</ns0:v>
      </ns0:c>
      <ns0:c r="F39" s="4" t="inlineStr">
        <ns0:is>
          <ns0:t>Grand Total</ns0:t>
        </ns0:is>
      </ns0:c>
      <ns0:c r="G39" s="4" t="n">
        <ns0:v>469.8076923076923</ns0:v>
      </ns0:c>
      <ns0:c r="H39" s="4" t="n">
        <ns0:v>416</ns0:v>
      </ns0:c>
      <ns0:c r="M39" s="4" t="inlineStr">
        <ns0:is>
          <ns0:t>SYN-046</ns0:t>
        </ns0:is>
      </ns0:c>
      <ns0:c r="N39" s="4">
        <ns0:f>INDEX(Script_List!$R$2:$R$161,MATCH(M39,Script_List!$A$2:$A$161,0))</ns0:f>
        <ns0:v>4</ns0:v>
      </ns0:c>
      <ns0:c r="O39" s="4">
        <ns0:f>INDEX(Script_List!$X$2:$X$161,MATCH(M39,Script_List!$A$2:$A$161,0))</ns0:f>
        <ns0:v>474.0</ns0:v>
      </ns0:c>
    </ns0:row>
    <ns0:row r="40">
      <ns0:c r="A40" s="4" t="inlineStr">
        <ns0:is>
          <ns0:t>2026-01</ns0:t>
        </ns0:is>
      </ns0:c>
      <ns0:c r="B40" s="4" t="n">
        <ns0:v>32</ns0:v>
      </ns0:c>
      <ns0:c r="M40" s="4" t="inlineStr">
        <ns0:is>
          <ns0:t>SYN-048</ns0:t>
        </ns0:is>
      </ns0:c>
      <ns0:c r="N40" s="4">
        <ns0:f>INDEX(Script_List!$R$2:$R$161,MATCH(M40,Script_List!$A$2:$A$161,0))</ns0:f>
        <ns0:v>2</ns0:v>
      </ns0:c>
      <ns0:c r="O40" s="4">
        <ns0:f>INDEX(Script_List!$X$2:$X$161,MATCH(M40,Script_List!$A$2:$A$161,0))</ns0:f>
        <ns0:v>527.0</ns0:v>
      </ns0:c>
    </ns0:row>
    <ns0:row r="41">
      <ns0:c r="A41" s="4" t="inlineStr">
        <ns0:is>
          <ns0:t>2026-02</ns0:t>
        </ns0:is>
      </ns0:c>
      <ns0:c r="B41" s="4" t="n">
        <ns0:v>29</ns0:v>
      </ns0:c>
      <ns0:c r="M41" s="4" t="inlineStr">
        <ns0:is>
          <ns0:t>SYN-049</ns0:t>
        </ns0:is>
      </ns0:c>
      <ns0:c r="N41" s="4">
        <ns0:f>INDEX(Script_List!$R$2:$R$161,MATCH(M41,Script_List!$A$2:$A$161,0))</ns0:f>
        <ns0:v>4</ns0:v>
      </ns0:c>
      <ns0:c r="O41" s="4">
        <ns0:f>INDEX(Script_List!$X$2:$X$161,MATCH(M41,Script_List!$A$2:$A$161,0))</ns0:f>
        <ns0:v>490.0</ns0:v>
      </ns0:c>
    </ns0:row>
    <ns0:row r="42">
      <ns0:c r="A42" s="4" t="inlineStr">
        <ns0:is>
          <ns0:t>2026-03</ns0:t>
        </ns0:is>
      </ns0:c>
      <ns0:c r="B42" s="4" t="n">
        <ns0:v>32</ns0:v>
      </ns0:c>
      <ns0:c r="M42" s="4" t="inlineStr">
        <ns0:is>
          <ns0:t>SYN-050</ns0:t>
        </ns0:is>
      </ns0:c>
      <ns0:c r="N42" s="4">
        <ns0:f>INDEX(Script_List!$R$2:$R$161,MATCH(M42,Script_List!$A$2:$A$161,0))</ns0:f>
        <ns0:v>1</ns0:v>
      </ns0:c>
      <ns0:c r="O42" s="4">
        <ns0:f>INDEX(Script_List!$X$2:$X$161,MATCH(M42,Script_List!$A$2:$A$161,0))</ns0:f>
        <ns0:v>332.0</ns0:v>
      </ns0:c>
    </ns0:row>
    <ns0:row r="43">
      <ns0:c r="A43" s="4" t="inlineStr">
        <ns0:is>
          <ns0:t>2026-04</ns0:t>
        </ns0:is>
      </ns0:c>
      <ns0:c r="B43" s="4" t="n">
        <ns0:v>31</ns0:v>
      </ns0:c>
      <ns0:c r="M43" s="4" t="inlineStr">
        <ns0:is>
          <ns0:t>SYN-051</ns0:t>
        </ns0:is>
      </ns0:c>
      <ns0:c r="N43" s="4">
        <ns0:f>INDEX(Script_List!$R$2:$R$161,MATCH(M43,Script_List!$A$2:$A$161,0))</ns0:f>
        <ns0:v>2</ns0:v>
      </ns0:c>
      <ns0:c r="O43" s="4">
        <ns0:f>INDEX(Script_List!$X$2:$X$161,MATCH(M43,Script_List!$A$2:$A$161,0))</ns0:f>
        <ns0:v>528.0</ns0:v>
      </ns0:c>
    </ns0:row>
    <ns0:row r="44">
      <ns0:c r="A44" s="4" t="inlineStr">
        <ns0:is>
          <ns0:t>2026-05</ns0:t>
        </ns0:is>
      </ns0:c>
      <ns0:c r="B44" s="4" t="n">
        <ns0:v>32</ns0:v>
      </ns0:c>
      <ns0:c r="M44" s="4" t="inlineStr">
        <ns0:is>
          <ns0:t>SYN-052</ns0:t>
        </ns0:is>
      </ns0:c>
      <ns0:c r="N44" s="4">
        <ns0:f>INDEX(Script_List!$R$2:$R$161,MATCH(M44,Script_List!$A$2:$A$161,0))</ns0:f>
        <ns0:v>5</ns0:v>
      </ns0:c>
      <ns0:c r="O44" s="4">
        <ns0:f>INDEX(Script_List!$X$2:$X$161,MATCH(M44,Script_List!$A$2:$A$161,0))</ns0:f>
        <ns0:v>527.0</ns0:v>
      </ns0:c>
    </ns0:row>
    <ns0:row r="45">
      <ns0:c r="A45" s="4" t="inlineStr">
        <ns0:is>
          <ns0:t>2026-06</ns0:t>
        </ns0:is>
      </ns0:c>
      <ns0:c r="B45" s="4" t="n">
        <ns0:v>31</ns0:v>
      </ns0:c>
      <ns0:c r="F45" s="4" t="inlineStr">
        <ns0:is>
          <ns0:t>Cost Recovery Status</ns0:t>
        </ns0:is>
      </ns0:c>
      <ns0:c r="G45" s="4" t="inlineStr">
        <ns0:is>
          <ns0:t>Script Count</ns0:t>
        </ns0:is>
      </ns0:c>
      <ns0:c r="H45" s="4" t="inlineStr">
        <ns0:is>
          <ns0:t>Sessions</ns0:t>
        </ns0:is>
      </ns0:c>
      <ns0:c r="I45" s="4" t="inlineStr">
        <ns0:is>
          <ns0:t>Base Cost</ns0:t>
        </ns0:is>
      </ns0:c>
      <ns0:c r="J45" s="4" t="inlineStr">
        <ns0:is>
          <ns0:t>Contribution</ns0:t>
        </ns0:is>
      </ns0:c>
      <ns0:c r="M45" s="4" t="inlineStr">
        <ns0:is>
          <ns0:t>SYN-053</ns0:t>
        </ns0:is>
      </ns0:c>
      <ns0:c r="N45" s="4">
        <ns0:f>INDEX(Script_List!$R$2:$R$161,MATCH(M45,Script_List!$A$2:$A$161,0))</ns0:f>
        <ns0:v>1</ns0:v>
      </ns0:c>
      <ns0:c r="O45" s="4">
        <ns0:f>INDEX(Script_List!$X$2:$X$161,MATCH(M45,Script_List!$A$2:$A$161,0))</ns0:f>
        <ns0:v>324.0</ns0:v>
      </ns0:c>
    </ns0:row>
    <ns0:row r="46">
      <ns0:c r="A46" s="4" t="inlineStr">
        <ns0:is>
          <ns0:t>2026-07</ns0:t>
        </ns0:is>
      </ns0:c>
      <ns0:c r="B46" s="4" t="n">
        <ns0:v>32</ns0:v>
      </ns0:c>
      <ns0:c r="F46" s="4" t="inlineStr">
        <ns0:is>
          <ns0:t>Not Opened</ns0:t>
        </ns0:is>
      </ns0:c>
      <ns0:c r="G46" s="4" t="n">
        <ns0:v>24</ns0:v>
      </ns0:c>
      <ns0:c r="H46" s="4" t="n">
        <ns0:v>0</ns0:v>
      </ns0:c>
      <ns0:c r="I46" s="4" t="n">
        <ns0:v>6392</ns0:v>
      </ns0:c>
      <ns0:c r="J46" s="4" t="n">
        <ns0:v>0</ns0:v>
      </ns0:c>
      <ns0:c r="M46" s="4" t="inlineStr">
        <ns0:is>
          <ns0:t>SYN-054</ns0:t>
        </ns0:is>
      </ns0:c>
      <ns0:c r="N46" s="4">
        <ns0:f>INDEX(Script_List!$R$2:$R$161,MATCH(M46,Script_List!$A$2:$A$161,0))</ns0:f>
        <ns0:v>2</ns0:v>
      </ns0:c>
      <ns0:c r="O46" s="4">
        <ns0:f>INDEX(Script_List!$X$2:$X$161,MATCH(M46,Script_List!$A$2:$A$161,0))</ns0:f>
        <ns0:v>563.0</ns0:v>
      </ns0:c>
    </ns0:row>
    <ns0:row r="47">
      <ns0:c r="A47" s="4" t="inlineStr">
        <ns0:is>
          <ns0:t>2026-08</ns0:t>
        </ns0:is>
      </ns0:c>
      <ns0:c r="B47" s="4" t="n">
        <ns0:v>32</ns0:v>
      </ns0:c>
      <ns0:c r="F47" s="4" t="inlineStr">
        <ns0:is>
          <ns0:t>Recovered - All Scenarios</ns0:t>
        </ns0:is>
      </ns0:c>
      <ns0:c r="G47" s="4" t="n">
        <ns0:v>128</ns0:v>
      </ns0:c>
      <ns0:c r="H47" s="4" t="n">
        <ns0:v>408</ns0:v>
      </ns0:c>
      <ns0:c r="I47" s="4" t="n">
        <ns0:v>26392</ns0:v>
      </ns0:c>
      <ns0:c r="J47" s="4" t="n">
        <ns0:v>192784</ns0:v>
      </ns0:c>
      <ns0:c r="M47" s="4" t="inlineStr">
        <ns0:is>
          <ns0:t>SYN-055</ns0:t>
        </ns0:is>
      </ns0:c>
      <ns0:c r="N47" s="4">
        <ns0:f>INDEX(Script_List!$R$2:$R$161,MATCH(M47,Script_List!$A$2:$A$161,0))</ns0:f>
        <ns0:v>7</ns0:v>
      </ns0:c>
      <ns0:c r="O47" s="4">
        <ns0:f>INDEX(Script_List!$X$2:$X$161,MATCH(M47,Script_List!$A$2:$A$161,0))</ns0:f>
        <ns0:v>560.0</ns0:v>
      </ns0:c>
    </ns0:row>
    <ns0:row r="48">
      <ns0:c r="A48" s="4" t="inlineStr">
        <ns0:is>
          <ns0:t>2026-09</ns0:t>
        </ns0:is>
      </ns0:c>
      <ns0:c r="B48" s="4" t="n">
        <ns0:v>31</ns0:v>
      </ns0:c>
      <ns0:c r="F48" s="4" t="inlineStr">
        <ns0:is>
          <ns0:t>Recovered - Low &amp; Base</ns0:t>
        </ns0:is>
      </ns0:c>
      <ns0:c r="G48" s="4" t="n">
        <ns0:v>8</ns0:v>
      </ns0:c>
      <ns0:c r="H48" s="4" t="n">
        <ns0:v>8</ns0:v>
      </ns0:c>
      <ns0:c r="I48" s="4" t="n">
        <ns0:v>2224</ns0:v>
      </ns0:c>
      <ns0:c r="J48" s="4" t="n">
        <ns0:v>2656</ns0:v>
      </ns0:c>
      <ns0:c r="M48" s="4" t="inlineStr">
        <ns0:is>
          <ns0:t>SYN-056</ns0:t>
        </ns0:is>
      </ns0:c>
      <ns0:c r="N48" s="4">
        <ns0:f>INDEX(Script_List!$R$2:$R$161,MATCH(M48,Script_List!$A$2:$A$161,0))</ns0:f>
        <ns0:v>1</ns0:v>
      </ns0:c>
      <ns0:c r="O48" s="4">
        <ns0:f>INDEX(Script_List!$X$2:$X$161,MATCH(M48,Script_List!$A$2:$A$161,0))</ns0:f>
        <ns0:v>648.0</ns0:v>
      </ns0:c>
    </ns0:row>
    <ns0:row r="49">
      <ns0:c r="A49" s="4" t="inlineStr">
        <ns0:is>
          <ns0:t>2026-10</ns0:t>
        </ns0:is>
      </ns0:c>
      <ns0:c r="B49" s="4" t="n">
        <ns0:v>8</ns0:v>
      </ns0:c>
      <ns0:c r="F49" s="4" t="inlineStr">
        <ns0:is>
          <ns0:t>Grand Total</ns0:t>
        </ns0:is>
      </ns0:c>
      <ns0:c r="G49" s="4" t="n">
        <ns0:v>160</ns0:v>
      </ns0:c>
      <ns0:c r="H49" s="4" t="n">
        <ns0:v>416</ns0:v>
      </ns0:c>
      <ns0:c r="I49" s="4" t="n">
        <ns0:v>35008</ns0:v>
      </ns0:c>
      <ns0:c r="J49" s="4" t="n">
        <ns0:v>195440</ns0:v>
      </ns0:c>
      <ns0:c r="M49" s="4" t="inlineStr">
        <ns0:is>
          <ns0:t>SYN-057</ns0:t>
        </ns0:is>
      </ns0:c>
      <ns0:c r="N49" s="4">
        <ns0:f>INDEX(Script_List!$R$2:$R$161,MATCH(M49,Script_List!$A$2:$A$161,0))</ns0:f>
        <ns0:v>3</ns0:v>
      </ns0:c>
      <ns0:c r="O49" s="4">
        <ns0:f>INDEX(Script_List!$X$2:$X$161,MATCH(M49,Script_List!$A$2:$A$161,0))</ns0:f>
        <ns0:v>482.0</ns0:v>
      </ns0:c>
    </ns0:row>
    <ns0:row r="50">
      <ns0:c r="A50" s="4" t="inlineStr">
        <ns0:is>
          <ns0:t>Grand Total</ns0:t>
        </ns0:is>
      </ns0:c>
      <ns0:c r="B50" s="4" t="n">
        <ns0:v>416</ns0:v>
      </ns0:c>
      <ns0:c r="M50" s="4" t="inlineStr">
        <ns0:is>
          <ns0:t>SYN-058</ns0:t>
        </ns0:is>
      </ns0:c>
      <ns0:c r="N50" s="4">
        <ns0:f>INDEX(Script_List!$R$2:$R$161,MATCH(M50,Script_List!$A$2:$A$161,0))</ns0:f>
        <ns0:v>10</ns0:v>
      </ns0:c>
      <ns0:c r="O50" s="4">
        <ns0:f>INDEX(Script_List!$X$2:$X$161,MATCH(M50,Script_List!$A$2:$A$161,0))</ns0:f>
        <ns0:v>332.0</ns0:v>
      </ns0:c>
    </ns0:row>
    <ns0:row r="51">
      <ns0:c r="M51" s="4" t="inlineStr">
        <ns0:is>
          <ns0:t>SYN-059</ns0:t>
        </ns0:is>
      </ns0:c>
      <ns0:c r="N51" s="4">
        <ns0:f>INDEX(Script_List!$R$2:$R$161,MATCH(M51,Script_List!$A$2:$A$161,0))</ns0:f>
        <ns0:v>1</ns0:v>
      </ns0:c>
      <ns0:c r="O51" s="4">
        <ns0:f>INDEX(Script_List!$X$2:$X$161,MATCH(M51,Script_List!$A$2:$A$161,0))</ns0:f>
        <ns0:v>609.0</ns0:v>
      </ns0:c>
    </ns0:row>
    <ns0:row r="52">
      <ns0:c r="M52" s="4" t="inlineStr">
        <ns0:is>
          <ns0:t>SYN-060</ns0:t>
        </ns0:is>
      </ns0:c>
      <ns0:c r="N52" s="4">
        <ns0:f>INDEX(Script_List!$R$2:$R$161,MATCH(M52,Script_List!$A$2:$A$161,0))</ns0:f>
        <ns0:v>3</ns0:v>
      </ns0:c>
      <ns0:c r="O52" s="4">
        <ns0:f>INDEX(Script_List!$X$2:$X$161,MATCH(M52,Script_List!$A$2:$A$161,0))</ns0:f>
        <ns0:v>564.0</ns0:v>
      </ns0:c>
    </ns0:row>
    <ns0:row r="53">
      <ns0:c r="M53" s="4" t="inlineStr">
        <ns0:is>
          <ns0:t>SYN-062</ns0:t>
        </ns0:is>
      </ns0:c>
      <ns0:c r="N53" s="4">
        <ns0:f>INDEX(Script_List!$R$2:$R$161,MATCH(M53,Script_List!$A$2:$A$161,0))</ns0:f>
        <ns0:v>1</ns0:v>
      </ns0:c>
      <ns0:c r="O53" s="4">
        <ns0:f>INDEX(Script_List!$X$2:$X$161,MATCH(M53,Script_List!$A$2:$A$161,0))</ns0:f>
        <ns0:v>332.0</ns0:v>
      </ns0:c>
    </ns0:row>
    <ns0:row r="54">
      <ns0:c r="M54" s="4" t="inlineStr">
        <ns0:is>
          <ns0:t>SYN-063</ns0:t>
        </ns0:is>
      </ns0:c>
      <ns0:c r="N54" s="4">
        <ns0:f>INDEX(Script_List!$R$2:$R$161,MATCH(M54,Script_List!$A$2:$A$161,0))</ns0:f>
        <ns0:v>3</ns0:v>
      </ns0:c>
      <ns0:c r="O54" s="4">
        <ns0:f>INDEX(Script_List!$X$2:$X$161,MATCH(M54,Script_List!$A$2:$A$161,0))</ns0:f>
        <ns0:v>438.0</ns0:v>
      </ns0:c>
    </ns0:row>
    <ns0:row r="55">
      <ns0:c r="M55" s="4" t="inlineStr">
        <ns0:is>
          <ns0:t>SYN-065</ns0:t>
        </ns0:is>
      </ns0:c>
      <ns0:c r="N55" s="4">
        <ns0:f>INDEX(Script_List!$R$2:$R$161,MATCH(M55,Script_List!$A$2:$A$161,0))</ns0:f>
        <ns0:v>2</ns0:v>
      </ns0:c>
      <ns0:c r="O55" s="4">
        <ns0:f>INDEX(Script_List!$X$2:$X$161,MATCH(M55,Script_List!$A$2:$A$161,0))</ns0:f>
        <ns0:v>383.0</ns0:v>
      </ns0:c>
    </ns0:row>
    <ns0:row r="56">
      <ns0:c r="M56" s="4" t="inlineStr">
        <ns0:is>
          <ns0:t>SYN-066</ns0:t>
        </ns0:is>
      </ns0:c>
      <ns0:c r="N56" s="4">
        <ns0:f>INDEX(Script_List!$R$2:$R$161,MATCH(M56,Script_List!$A$2:$A$161,0))</ns0:f>
        <ns0:v>4</ns0:v>
      </ns0:c>
      <ns0:c r="O56" s="4">
        <ns0:f>INDEX(Script_List!$X$2:$X$161,MATCH(M56,Script_List!$A$2:$A$161,0))</ns0:f>
        <ns0:v>474.0</ns0:v>
      </ns0:c>
    </ns0:row>
    <ns0:row r="57">
      <ns0:c r="M57" s="4" t="inlineStr">
        <ns0:is>
          <ns0:t>SYN-068</ns0:t>
        </ns0:is>
      </ns0:c>
      <ns0:c r="N57" s="4">
        <ns0:f>INDEX(Script_List!$R$2:$R$161,MATCH(M57,Script_List!$A$2:$A$161,0))</ns0:f>
        <ns0:v>2</ns0:v>
      </ns0:c>
      <ns0:c r="O57" s="4">
        <ns0:f>INDEX(Script_List!$X$2:$X$161,MATCH(M57,Script_List!$A$2:$A$161,0))</ns0:f>
        <ns0:v>527.0</ns0:v>
      </ns0:c>
    </ns0:row>
    <ns0:row r="58">
      <ns0:c r="A58" s="4" t="inlineStr">
        <ns0:is>
          <ns0:t>Strategy Segment</ns0:t>
        </ns0:is>
      </ns0:c>
      <ns0:c r="B58" s="4" t="inlineStr">
        <ns0:is>
          <ns0:t>Contribution</ns0:t>
        </ns0:is>
      </ns0:c>
      <ns0:c r="C58" s="4" t="inlineStr">
        <ns0:is>
          <ns0:t>Sessions</ns0:t>
        </ns0:is>
      </ns0:c>
      <ns0:c r="D58" s="4" t="inlineStr">
        <ns0:is>
          <ns0:t>Script Count</ns0:t>
        </ns0:is>
      </ns0:c>
      <ns0:c r="M58" s="4" t="inlineStr">
        <ns0:is>
          <ns0:t>SYN-069</ns0:t>
        </ns0:is>
      </ns0:c>
      <ns0:c r="N58" s="4">
        <ns0:f>INDEX(Script_List!$R$2:$R$161,MATCH(M58,Script_List!$A$2:$A$161,0))</ns0:f>
        <ns0:v>4</ns0:v>
      </ns0:c>
      <ns0:c r="O58" s="4">
        <ns0:f>INDEX(Script_List!$X$2:$X$161,MATCH(M58,Script_List!$A$2:$A$161,0))</ns0:f>
        <ns0:v>490.0</ns0:v>
      </ns0:c>
    </ns0:row>
    <ns0:row r="59">
      <ns0:c r="A59" s="4" t="inlineStr">
        <ns0:is>
          <ns0:t>High Frequency / High Contribution</ns0:t>
        </ns0:is>
      </ns0:c>
      <ns0:c r="B59" s="4" t="n">
        <ns0:v>107544</ns0:v>
      </ns0:c>
      <ns0:c r="C59" s="4" t="n">
        <ns0:v>200</ns0:v>
      </ns0:c>
      <ns0:c r="D59" s="4" t="n">
        <ns0:v>56</ns0:v>
      </ns0:c>
      <ns0:c r="M59" s="4" t="inlineStr">
        <ns0:is>
          <ns0:t>SYN-070</ns0:t>
        </ns0:is>
      </ns0:c>
      <ns0:c r="N59" s="4">
        <ns0:f>INDEX(Script_List!$R$2:$R$161,MATCH(M59,Script_List!$A$2:$A$161,0))</ns0:f>
        <ns0:v>1</ns0:v>
      </ns0:c>
      <ns0:c r="O59" s="4">
        <ns0:f>INDEX(Script_List!$X$2:$X$161,MATCH(M59,Script_List!$A$2:$A$161,0))</ns0:f>
        <ns0:v>332.0</ns0:v>
      </ns0:c>
    </ns0:row>
    <ns0:row r="60">
      <ns0:c r="A60" s="4" t="inlineStr">
        <ns0:is>
          <ns0:t>High Frequency / Low Contribution</ns0:t>
        </ns0:is>
      </ns0:c>
      <ns0:c r="B60" s="4" t="n">
        <ns0:v>69936</ns0:v>
      </ns0:c>
      <ns0:c r="C60" s="4" t="n">
        <ns0:v>176</ns0:v>
      </ns0:c>
      <ns0:c r="D60" s="4" t="n">
        <ns0:v>40</ns0:v>
      </ns0:c>
      <ns0:c r="M60" s="4" t="inlineStr">
        <ns0:is>
          <ns0:t>SYN-071</ns0:t>
        </ns0:is>
      </ns0:c>
      <ns0:c r="N60" s="4">
        <ns0:f>INDEX(Script_List!$R$2:$R$161,MATCH(M60,Script_List!$A$2:$A$161,0))</ns0:f>
        <ns0:v>2</ns0:v>
      </ns0:c>
      <ns0:c r="O60" s="4">
        <ns0:f>INDEX(Script_List!$X$2:$X$161,MATCH(M60,Script_List!$A$2:$A$161,0))</ns0:f>
        <ns0:v>528.0</ns0:v>
      </ns0:c>
    </ns0:row>
    <ns0:row r="61">
      <ns0:c r="A61" s="4" t="inlineStr">
        <ns0:is>
          <ns0:t>Low Frequency / High Contribution</ns0:t>
        </ns0:is>
      </ns0:c>
      <ns0:c r="B61" s="4" t="n">
        <ns0:v>10056</ns0:v>
      </ns0:c>
      <ns0:c r="C61" s="4" t="n">
        <ns0:v>16</ns0:v>
      </ns0:c>
      <ns0:c r="D61" s="4" t="n">
        <ns0:v>16</ns0:v>
      </ns0:c>
      <ns0:c r="M61" s="4" t="inlineStr">
        <ns0:is>
          <ns0:t>SYN-072</ns0:t>
        </ns0:is>
      </ns0:c>
      <ns0:c r="N61" s="4">
        <ns0:f>INDEX(Script_List!$R$2:$R$161,MATCH(M61,Script_List!$A$2:$A$161,0))</ns0:f>
        <ns0:v>5</ns0:v>
      </ns0:c>
      <ns0:c r="O61" s="4">
        <ns0:f>INDEX(Script_List!$X$2:$X$161,MATCH(M61,Script_List!$A$2:$A$161,0))</ns0:f>
        <ns0:v>527.0</ns0:v>
      </ns0:c>
    </ns0:row>
    <ns0:row r="62">
      <ns0:c r="A62" s="4" t="inlineStr">
        <ns0:is>
          <ns0:t>Low Frequency / Low Contribution</ns0:t>
        </ns0:is>
      </ns0:c>
      <ns0:c r="B62" s="4" t="n">
        <ns0:v>7904</ns0:v>
      </ns0:c>
      <ns0:c r="C62" s="4" t="n">
        <ns0:v>24</ns0:v>
      </ns0:c>
      <ns0:c r="D62" s="4" t="n">
        <ns0:v>24</ns0:v>
      </ns0:c>
      <ns0:c r="M62" s="4" t="inlineStr">
        <ns0:is>
          <ns0:t>SYN-073</ns0:t>
        </ns0:is>
      </ns0:c>
      <ns0:c r="N62" s="4">
        <ns0:f>INDEX(Script_List!$R$2:$R$161,MATCH(M62,Script_List!$A$2:$A$161,0))</ns0:f>
        <ns0:v>1</ns0:v>
      </ns0:c>
      <ns0:c r="O62" s="4">
        <ns0:f>INDEX(Script_List!$X$2:$X$161,MATCH(M62,Script_List!$A$2:$A$161,0))</ns0:f>
        <ns0:v>324.0</ns0:v>
      </ns0:c>
    </ns0:row>
    <ns0:row r="63">
      <ns0:c r="A63" s="4" t="inlineStr">
        <ns0:is>
          <ns0:t>Not Opened</ns0:t>
        </ns0:is>
      </ns0:c>
      <ns0:c r="B63" s="4" t="n">
        <ns0:v>0</ns0:v>
      </ns0:c>
      <ns0:c r="C63" s="4" t="n">
        <ns0:v>0</ns0:v>
      </ns0:c>
      <ns0:c r="D63" s="4" t="n">
        <ns0:v>24</ns0:v>
      </ns0:c>
      <ns0:c r="M63" s="4" t="inlineStr">
        <ns0:is>
          <ns0:t>SYN-074</ns0:t>
        </ns0:is>
      </ns0:c>
      <ns0:c r="N63" s="4">
        <ns0:f>INDEX(Script_List!$R$2:$R$161,MATCH(M63,Script_List!$A$2:$A$161,0))</ns0:f>
        <ns0:v>2</ns0:v>
      </ns0:c>
      <ns0:c r="O63" s="4">
        <ns0:f>INDEX(Script_List!$X$2:$X$161,MATCH(M63,Script_List!$A$2:$A$161,0))</ns0:f>
        <ns0:v>563.0</ns0:v>
      </ns0:c>
    </ns0:row>
    <ns0:row r="64">
      <ns0:c r="A64" s="4" t="inlineStr">
        <ns0:is>
          <ns0:t>Grand Total</ns0:t>
        </ns0:is>
      </ns0:c>
      <ns0:c r="B64" s="4" t="n">
        <ns0:v>195440</ns0:v>
      </ns0:c>
      <ns0:c r="C64" s="4" t="n">
        <ns0:v>416</ns0:v>
      </ns0:c>
      <ns0:c r="D64" s="4" t="n">
        <ns0:v>160</ns0:v>
      </ns0:c>
      <ns0:c r="M64" s="4" t="inlineStr">
        <ns0:is>
          <ns0:t>SYN-075</ns0:t>
        </ns0:is>
      </ns0:c>
      <ns0:c r="N64" s="4">
        <ns0:f>INDEX(Script_List!$R$2:$R$161,MATCH(M64,Script_List!$A$2:$A$161,0))</ns0:f>
        <ns0:v>7</ns0:v>
      </ns0:c>
      <ns0:c r="O64" s="4">
        <ns0:f>INDEX(Script_List!$X$2:$X$161,MATCH(M64,Script_List!$A$2:$A$161,0))</ns0:f>
        <ns0:v>560.0</ns0:v>
      </ns0:c>
    </ns0:row>
    <ns0:row r="65">
      <ns0:c r="M65" s="4" t="inlineStr">
        <ns0:is>
          <ns0:t>SYN-076</ns0:t>
        </ns0:is>
      </ns0:c>
      <ns0:c r="N65" s="4">
        <ns0:f>INDEX(Script_List!$R$2:$R$161,MATCH(M65,Script_List!$A$2:$A$161,0))</ns0:f>
        <ns0:v>1</ns0:v>
      </ns0:c>
      <ns0:c r="O65" s="4">
        <ns0:f>INDEX(Script_List!$X$2:$X$161,MATCH(M65,Script_List!$A$2:$A$161,0))</ns0:f>
        <ns0:v>648.0</ns0:v>
      </ns0:c>
    </ns0:row>
    <ns0:row r="66">
      <ns0:c r="M66" s="4" t="inlineStr">
        <ns0:is>
          <ns0:t>SYN-077</ns0:t>
        </ns0:is>
      </ns0:c>
      <ns0:c r="N66" s="4">
        <ns0:f>INDEX(Script_List!$R$2:$R$161,MATCH(M66,Script_List!$A$2:$A$161,0))</ns0:f>
        <ns0:v>3</ns0:v>
      </ns0:c>
      <ns0:c r="O66" s="4">
        <ns0:f>INDEX(Script_List!$X$2:$X$161,MATCH(M66,Script_List!$A$2:$A$161,0))</ns0:f>
        <ns0:v>482.0</ns0:v>
      </ns0:c>
    </ns0:row>
    <ns0:row r="67">
      <ns0:c r="M67" s="4" t="inlineStr">
        <ns0:is>
          <ns0:t>SYN-078</ns0:t>
        </ns0:is>
      </ns0:c>
      <ns0:c r="N67" s="4">
        <ns0:f>INDEX(Script_List!$R$2:$R$161,MATCH(M67,Script_List!$A$2:$A$161,0))</ns0:f>
        <ns0:v>10</ns0:v>
      </ns0:c>
      <ns0:c r="O67" s="4">
        <ns0:f>INDEX(Script_List!$X$2:$X$161,MATCH(M67,Script_List!$A$2:$A$161,0))</ns0:f>
        <ns0:v>332.0</ns0:v>
      </ns0:c>
    </ns0:row>
    <ns0:row r="68">
      <ns0:c r="M68" s="4" t="inlineStr">
        <ns0:is>
          <ns0:t>SYN-079</ns0:t>
        </ns0:is>
      </ns0:c>
      <ns0:c r="N68" s="4">
        <ns0:f>INDEX(Script_List!$R$2:$R$161,MATCH(M68,Script_List!$A$2:$A$161,0))</ns0:f>
        <ns0:v>1</ns0:v>
      </ns0:c>
      <ns0:c r="O68" s="4">
        <ns0:f>INDEX(Script_List!$X$2:$X$161,MATCH(M68,Script_List!$A$2:$A$161,0))</ns0:f>
        <ns0:v>609.0</ns0:v>
      </ns0:c>
    </ns0:row>
    <ns0:row r="69">
      <ns0:c r="M69" s="4" t="inlineStr">
        <ns0:is>
          <ns0:t>SYN-080</ns0:t>
        </ns0:is>
      </ns0:c>
      <ns0:c r="N69" s="4">
        <ns0:f>INDEX(Script_List!$R$2:$R$161,MATCH(M69,Script_List!$A$2:$A$161,0))</ns0:f>
        <ns0:v>3</ns0:v>
      </ns0:c>
      <ns0:c r="O69" s="4">
        <ns0:f>INDEX(Script_List!$X$2:$X$161,MATCH(M69,Script_List!$A$2:$A$161,0))</ns0:f>
        <ns0:v>564.0</ns0:v>
      </ns0:c>
    </ns0:row>
    <ns0:row r="70">
      <ns0:c r="M70" s="4" t="inlineStr">
        <ns0:is>
          <ns0:t>SYN-082</ns0:t>
        </ns0:is>
      </ns0:c>
      <ns0:c r="N70" s="4">
        <ns0:f>INDEX(Script_List!$R$2:$R$161,MATCH(M70,Script_List!$A$2:$A$161,0))</ns0:f>
        <ns0:v>1</ns0:v>
      </ns0:c>
      <ns0:c r="O70" s="4">
        <ns0:f>INDEX(Script_List!$X$2:$X$161,MATCH(M70,Script_List!$A$2:$A$161,0))</ns0:f>
        <ns0:v>332.0</ns0:v>
      </ns0:c>
    </ns0:row>
    <ns0:row r="71">
      <ns0:c r="M71" s="4" t="inlineStr">
        <ns0:is>
          <ns0:t>SYN-083</ns0:t>
        </ns0:is>
      </ns0:c>
      <ns0:c r="N71" s="4">
        <ns0:f>INDEX(Script_List!$R$2:$R$161,MATCH(M71,Script_List!$A$2:$A$161,0))</ns0:f>
        <ns0:v>3</ns0:v>
      </ns0:c>
      <ns0:c r="O71" s="4">
        <ns0:f>INDEX(Script_List!$X$2:$X$161,MATCH(M71,Script_List!$A$2:$A$161,0))</ns0:f>
        <ns0:v>438.0</ns0:v>
      </ns0:c>
    </ns0:row>
    <ns0:row r="72">
      <ns0:c r="M72" s="4" t="inlineStr">
        <ns0:is>
          <ns0:t>SYN-085</ns0:t>
        </ns0:is>
      </ns0:c>
      <ns0:c r="N72" s="4">
        <ns0:f>INDEX(Script_List!$R$2:$R$161,MATCH(M72,Script_List!$A$2:$A$161,0))</ns0:f>
        <ns0:v>2</ns0:v>
      </ns0:c>
      <ns0:c r="O72" s="4">
        <ns0:f>INDEX(Script_List!$X$2:$X$161,MATCH(M72,Script_List!$A$2:$A$161,0))</ns0:f>
        <ns0:v>383.0</ns0:v>
      </ns0:c>
    </ns0:row>
    <ns0:row r="73">
      <ns0:c r="M73" s="4" t="inlineStr">
        <ns0:is>
          <ns0:t>SYN-086</ns0:t>
        </ns0:is>
      </ns0:c>
      <ns0:c r="N73" s="4">
        <ns0:f>INDEX(Script_List!$R$2:$R$161,MATCH(M73,Script_List!$A$2:$A$161,0))</ns0:f>
        <ns0:v>4</ns0:v>
      </ns0:c>
      <ns0:c r="O73" s="4">
        <ns0:f>INDEX(Script_List!$X$2:$X$161,MATCH(M73,Script_List!$A$2:$A$161,0))</ns0:f>
        <ns0:v>474.0</ns0:v>
      </ns0:c>
    </ns0:row>
    <ns0:row r="74">
      <ns0:c r="M74" s="4" t="inlineStr">
        <ns0:is>
          <ns0:t>SYN-088</ns0:t>
        </ns0:is>
      </ns0:c>
      <ns0:c r="N74" s="4">
        <ns0:f>INDEX(Script_List!$R$2:$R$161,MATCH(M74,Script_List!$A$2:$A$161,0))</ns0:f>
        <ns0:v>2</ns0:v>
      </ns0:c>
      <ns0:c r="O74" s="4">
        <ns0:f>INDEX(Script_List!$X$2:$X$161,MATCH(M74,Script_List!$A$2:$A$161,0))</ns0:f>
        <ns0:v>527.0</ns0:v>
      </ns0:c>
    </ns0:row>
    <ns0:row r="75">
      <ns0:c r="M75" s="4" t="inlineStr">
        <ns0:is>
          <ns0:t>SYN-089</ns0:t>
        </ns0:is>
      </ns0:c>
      <ns0:c r="N75" s="4">
        <ns0:f>INDEX(Script_List!$R$2:$R$161,MATCH(M75,Script_List!$A$2:$A$161,0))</ns0:f>
        <ns0:v>4</ns0:v>
      </ns0:c>
      <ns0:c r="O75" s="4">
        <ns0:f>INDEX(Script_List!$X$2:$X$161,MATCH(M75,Script_List!$A$2:$A$161,0))</ns0:f>
        <ns0:v>490.0</ns0:v>
      </ns0:c>
    </ns0:row>
    <ns0:row r="76">
      <ns0:c r="M76" s="4" t="inlineStr">
        <ns0:is>
          <ns0:t>SYN-090</ns0:t>
        </ns0:is>
      </ns0:c>
      <ns0:c r="N76" s="4">
        <ns0:f>INDEX(Script_List!$R$2:$R$161,MATCH(M76,Script_List!$A$2:$A$161,0))</ns0:f>
        <ns0:v>1</ns0:v>
      </ns0:c>
      <ns0:c r="O76" s="4">
        <ns0:f>INDEX(Script_List!$X$2:$X$161,MATCH(M76,Script_List!$A$2:$A$161,0))</ns0:f>
        <ns0:v>332.0</ns0:v>
      </ns0:c>
    </ns0:row>
    <ns0:row r="77">
      <ns0:c r="M77" s="4" t="inlineStr">
        <ns0:is>
          <ns0:t>SYN-091</ns0:t>
        </ns0:is>
      </ns0:c>
      <ns0:c r="N77" s="4">
        <ns0:f>INDEX(Script_List!$R$2:$R$161,MATCH(M77,Script_List!$A$2:$A$161,0))</ns0:f>
        <ns0:v>2</ns0:v>
      </ns0:c>
      <ns0:c r="O77" s="4">
        <ns0:f>INDEX(Script_List!$X$2:$X$161,MATCH(M77,Script_List!$A$2:$A$161,0))</ns0:f>
        <ns0:v>528.0</ns0:v>
      </ns0:c>
    </ns0:row>
    <ns0:row r="78">
      <ns0:c r="M78" s="4" t="inlineStr">
        <ns0:is>
          <ns0:t>SYN-092</ns0:t>
        </ns0:is>
      </ns0:c>
      <ns0:c r="N78" s="4">
        <ns0:f>INDEX(Script_List!$R$2:$R$161,MATCH(M78,Script_List!$A$2:$A$161,0))</ns0:f>
        <ns0:v>5</ns0:v>
      </ns0:c>
      <ns0:c r="O78" s="4">
        <ns0:f>INDEX(Script_List!$X$2:$X$161,MATCH(M78,Script_List!$A$2:$A$161,0))</ns0:f>
        <ns0:v>527.0</ns0:v>
      </ns0:c>
    </ns0:row>
    <ns0:row r="79">
      <ns0:c r="M79" s="4" t="inlineStr">
        <ns0:is>
          <ns0:t>SYN-093</ns0:t>
        </ns0:is>
      </ns0:c>
      <ns0:c r="N79" s="4">
        <ns0:f>INDEX(Script_List!$R$2:$R$161,MATCH(M79,Script_List!$A$2:$A$161,0))</ns0:f>
        <ns0:v>1</ns0:v>
      </ns0:c>
      <ns0:c r="O79" s="4">
        <ns0:f>INDEX(Script_List!$X$2:$X$161,MATCH(M79,Script_List!$A$2:$A$161,0))</ns0:f>
        <ns0:v>324.0</ns0:v>
      </ns0:c>
    </ns0:row>
    <ns0:row r="80">
      <ns0:c r="M80" s="4" t="inlineStr">
        <ns0:is>
          <ns0:t>SYN-094</ns0:t>
        </ns0:is>
      </ns0:c>
      <ns0:c r="N80" s="4">
        <ns0:f>INDEX(Script_List!$R$2:$R$161,MATCH(M80,Script_List!$A$2:$A$161,0))</ns0:f>
        <ns0:v>2</ns0:v>
      </ns0:c>
      <ns0:c r="O80" s="4">
        <ns0:f>INDEX(Script_List!$X$2:$X$161,MATCH(M80,Script_List!$A$2:$A$161,0))</ns0:f>
        <ns0:v>563.0</ns0:v>
      </ns0:c>
    </ns0:row>
    <ns0:row r="81">
      <ns0:c r="M81" s="4" t="inlineStr">
        <ns0:is>
          <ns0:t>SYN-095</ns0:t>
        </ns0:is>
      </ns0:c>
      <ns0:c r="N81" s="4">
        <ns0:f>INDEX(Script_List!$R$2:$R$161,MATCH(M81,Script_List!$A$2:$A$161,0))</ns0:f>
        <ns0:v>7</ns0:v>
      </ns0:c>
      <ns0:c r="O81" s="4">
        <ns0:f>INDEX(Script_List!$X$2:$X$161,MATCH(M81,Script_List!$A$2:$A$161,0))</ns0:f>
        <ns0:v>560.0</ns0:v>
      </ns0:c>
    </ns0:row>
    <ns0:row r="82">
      <ns0:c r="M82" s="4" t="inlineStr">
        <ns0:is>
          <ns0:t>SYN-096</ns0:t>
        </ns0:is>
      </ns0:c>
      <ns0:c r="N82" s="4">
        <ns0:f>INDEX(Script_List!$R$2:$R$161,MATCH(M82,Script_List!$A$2:$A$161,0))</ns0:f>
        <ns0:v>1</ns0:v>
      </ns0:c>
      <ns0:c r="O82" s="4">
        <ns0:f>INDEX(Script_List!$X$2:$X$161,MATCH(M82,Script_List!$A$2:$A$161,0))</ns0:f>
        <ns0:v>648.0</ns0:v>
      </ns0:c>
    </ns0:row>
    <ns0:row r="83">
      <ns0:c r="M83" s="4" t="inlineStr">
        <ns0:is>
          <ns0:t>SYN-097</ns0:t>
        </ns0:is>
      </ns0:c>
      <ns0:c r="N83" s="4">
        <ns0:f>INDEX(Script_List!$R$2:$R$161,MATCH(M83,Script_List!$A$2:$A$161,0))</ns0:f>
        <ns0:v>3</ns0:v>
      </ns0:c>
      <ns0:c r="O83" s="4">
        <ns0:f>INDEX(Script_List!$X$2:$X$161,MATCH(M83,Script_List!$A$2:$A$161,0))</ns0:f>
        <ns0:v>482.0</ns0:v>
      </ns0:c>
    </ns0:row>
    <ns0:row r="84">
      <ns0:c r="M84" s="4" t="inlineStr">
        <ns0:is>
          <ns0:t>SYN-098</ns0:t>
        </ns0:is>
      </ns0:c>
      <ns0:c r="N84" s="4">
        <ns0:f>INDEX(Script_List!$R$2:$R$161,MATCH(M84,Script_List!$A$2:$A$161,0))</ns0:f>
        <ns0:v>10</ns0:v>
      </ns0:c>
      <ns0:c r="O84" s="4">
        <ns0:f>INDEX(Script_List!$X$2:$X$161,MATCH(M84,Script_List!$A$2:$A$161,0))</ns0:f>
        <ns0:v>332.0</ns0:v>
      </ns0:c>
    </ns0:row>
    <ns0:row r="85">
      <ns0:c r="M85" s="4" t="inlineStr">
        <ns0:is>
          <ns0:t>SYN-099</ns0:t>
        </ns0:is>
      </ns0:c>
      <ns0:c r="N85" s="4">
        <ns0:f>INDEX(Script_List!$R$2:$R$161,MATCH(M85,Script_List!$A$2:$A$161,0))</ns0:f>
        <ns0:v>1</ns0:v>
      </ns0:c>
      <ns0:c r="O85" s="4">
        <ns0:f>INDEX(Script_List!$X$2:$X$161,MATCH(M85,Script_List!$A$2:$A$161,0))</ns0:f>
        <ns0:v>609.0</ns0:v>
      </ns0:c>
    </ns0:row>
    <ns0:row r="86">
      <ns0:c r="M86" s="4" t="inlineStr">
        <ns0:is>
          <ns0:t>SYN-100</ns0:t>
        </ns0:is>
      </ns0:c>
      <ns0:c r="N86" s="4">
        <ns0:f>INDEX(Script_List!$R$2:$R$161,MATCH(M86,Script_List!$A$2:$A$161,0))</ns0:f>
        <ns0:v>3</ns0:v>
      </ns0:c>
      <ns0:c r="O86" s="4">
        <ns0:f>INDEX(Script_List!$X$2:$X$161,MATCH(M86,Script_List!$A$2:$A$161,0))</ns0:f>
        <ns0:v>564.0</ns0:v>
      </ns0:c>
    </ns0:row>
    <ns0:row r="87">
      <ns0:c r="M87" s="4" t="inlineStr">
        <ns0:is>
          <ns0:t>SYN-102</ns0:t>
        </ns0:is>
      </ns0:c>
      <ns0:c r="N87" s="4">
        <ns0:f>INDEX(Script_List!$R$2:$R$161,MATCH(M87,Script_List!$A$2:$A$161,0))</ns0:f>
        <ns0:v>1</ns0:v>
      </ns0:c>
      <ns0:c r="O87" s="4">
        <ns0:f>INDEX(Script_List!$X$2:$X$161,MATCH(M87,Script_List!$A$2:$A$161,0))</ns0:f>
        <ns0:v>332.0</ns0:v>
      </ns0:c>
    </ns0:row>
    <ns0:row r="88">
      <ns0:c r="M88" s="4" t="inlineStr">
        <ns0:is>
          <ns0:t>SYN-103</ns0:t>
        </ns0:is>
      </ns0:c>
      <ns0:c r="N88" s="4">
        <ns0:f>INDEX(Script_List!$R$2:$R$161,MATCH(M88,Script_List!$A$2:$A$161,0))</ns0:f>
        <ns0:v>3</ns0:v>
      </ns0:c>
      <ns0:c r="O88" s="4">
        <ns0:f>INDEX(Script_List!$X$2:$X$161,MATCH(M88,Script_List!$A$2:$A$161,0))</ns0:f>
        <ns0:v>438.0</ns0:v>
      </ns0:c>
    </ns0:row>
    <ns0:row r="89">
      <ns0:c r="M89" s="4" t="inlineStr">
        <ns0:is>
          <ns0:t>SYN-105</ns0:t>
        </ns0:is>
      </ns0:c>
      <ns0:c r="N89" s="4">
        <ns0:f>INDEX(Script_List!$R$2:$R$161,MATCH(M89,Script_List!$A$2:$A$161,0))</ns0:f>
        <ns0:v>2</ns0:v>
      </ns0:c>
      <ns0:c r="O89" s="4">
        <ns0:f>INDEX(Script_List!$X$2:$X$161,MATCH(M89,Script_List!$A$2:$A$161,0))</ns0:f>
        <ns0:v>383.0</ns0:v>
      </ns0:c>
    </ns0:row>
    <ns0:row r="90">
      <ns0:c r="M90" s="4" t="inlineStr">
        <ns0:is>
          <ns0:t>SYN-106</ns0:t>
        </ns0:is>
      </ns0:c>
      <ns0:c r="N90" s="4">
        <ns0:f>INDEX(Script_List!$R$2:$R$161,MATCH(M90,Script_List!$A$2:$A$161,0))</ns0:f>
        <ns0:v>4</ns0:v>
      </ns0:c>
      <ns0:c r="O90" s="4">
        <ns0:f>INDEX(Script_List!$X$2:$X$161,MATCH(M90,Script_List!$A$2:$A$161,0))</ns0:f>
        <ns0:v>474.0</ns0:v>
      </ns0:c>
    </ns0:row>
    <ns0:row r="91">
      <ns0:c r="M91" s="4" t="inlineStr">
        <ns0:is>
          <ns0:t>SYN-108</ns0:t>
        </ns0:is>
      </ns0:c>
      <ns0:c r="N91" s="4">
        <ns0:f>INDEX(Script_List!$R$2:$R$161,MATCH(M91,Script_List!$A$2:$A$161,0))</ns0:f>
        <ns0:v>2</ns0:v>
      </ns0:c>
      <ns0:c r="O91" s="4">
        <ns0:f>INDEX(Script_List!$X$2:$X$161,MATCH(M91,Script_List!$A$2:$A$161,0))</ns0:f>
        <ns0:v>527.0</ns0:v>
      </ns0:c>
    </ns0:row>
    <ns0:row r="92">
      <ns0:c r="M92" s="4" t="inlineStr">
        <ns0:is>
          <ns0:t>SYN-109</ns0:t>
        </ns0:is>
      </ns0:c>
      <ns0:c r="N92" s="4">
        <ns0:f>INDEX(Script_List!$R$2:$R$161,MATCH(M92,Script_List!$A$2:$A$161,0))</ns0:f>
        <ns0:v>4</ns0:v>
      </ns0:c>
      <ns0:c r="O92" s="4">
        <ns0:f>INDEX(Script_List!$X$2:$X$161,MATCH(M92,Script_List!$A$2:$A$161,0))</ns0:f>
        <ns0:v>490.0</ns0:v>
      </ns0:c>
    </ns0:row>
    <ns0:row r="93">
      <ns0:c r="M93" s="4" t="inlineStr">
        <ns0:is>
          <ns0:t>SYN-110</ns0:t>
        </ns0:is>
      </ns0:c>
      <ns0:c r="N93" s="4">
        <ns0:f>INDEX(Script_List!$R$2:$R$161,MATCH(M93,Script_List!$A$2:$A$161,0))</ns0:f>
        <ns0:v>1</ns0:v>
      </ns0:c>
      <ns0:c r="O93" s="4">
        <ns0:f>INDEX(Script_List!$X$2:$X$161,MATCH(M93,Script_List!$A$2:$A$161,0))</ns0:f>
        <ns0:v>332.0</ns0:v>
      </ns0:c>
    </ns0:row>
    <ns0:row r="94">
      <ns0:c r="M94" s="4" t="inlineStr">
        <ns0:is>
          <ns0:t>SYN-111</ns0:t>
        </ns0:is>
      </ns0:c>
      <ns0:c r="N94" s="4">
        <ns0:f>INDEX(Script_List!$R$2:$R$161,MATCH(M94,Script_List!$A$2:$A$161,0))</ns0:f>
        <ns0:v>2</ns0:v>
      </ns0:c>
      <ns0:c r="O94" s="4">
        <ns0:f>INDEX(Script_List!$X$2:$X$161,MATCH(M94,Script_List!$A$2:$A$161,0))</ns0:f>
        <ns0:v>528.0</ns0:v>
      </ns0:c>
    </ns0:row>
    <ns0:row r="95">
      <ns0:c r="M95" s="4" t="inlineStr">
        <ns0:is>
          <ns0:t>SYN-112</ns0:t>
        </ns0:is>
      </ns0:c>
      <ns0:c r="N95" s="4">
        <ns0:f>INDEX(Script_List!$R$2:$R$161,MATCH(M95,Script_List!$A$2:$A$161,0))</ns0:f>
        <ns0:v>5</ns0:v>
      </ns0:c>
      <ns0:c r="O95" s="4">
        <ns0:f>INDEX(Script_List!$X$2:$X$161,MATCH(M95,Script_List!$A$2:$A$161,0))</ns0:f>
        <ns0:v>527.0</ns0:v>
      </ns0:c>
    </ns0:row>
    <ns0:row r="96">
      <ns0:c r="M96" s="4" t="inlineStr">
        <ns0:is>
          <ns0:t>SYN-113</ns0:t>
        </ns0:is>
      </ns0:c>
      <ns0:c r="N96" s="4">
        <ns0:f>INDEX(Script_List!$R$2:$R$161,MATCH(M96,Script_List!$A$2:$A$161,0))</ns0:f>
        <ns0:v>1</ns0:v>
      </ns0:c>
      <ns0:c r="O96" s="4">
        <ns0:f>INDEX(Script_List!$X$2:$X$161,MATCH(M96,Script_List!$A$2:$A$161,0))</ns0:f>
        <ns0:v>324.0</ns0:v>
      </ns0:c>
    </ns0:row>
    <ns0:row r="97">
      <ns0:c r="M97" s="4" t="inlineStr">
        <ns0:is>
          <ns0:t>SYN-114</ns0:t>
        </ns0:is>
      </ns0:c>
      <ns0:c r="N97" s="4">
        <ns0:f>INDEX(Script_List!$R$2:$R$161,MATCH(M97,Script_List!$A$2:$A$161,0))</ns0:f>
        <ns0:v>2</ns0:v>
      </ns0:c>
      <ns0:c r="O97" s="4">
        <ns0:f>INDEX(Script_List!$X$2:$X$161,MATCH(M97,Script_List!$A$2:$A$161,0))</ns0:f>
        <ns0:v>563.0</ns0:v>
      </ns0:c>
    </ns0:row>
    <ns0:row r="98">
      <ns0:c r="M98" s="4" t="inlineStr">
        <ns0:is>
          <ns0:t>SYN-115</ns0:t>
        </ns0:is>
      </ns0:c>
      <ns0:c r="N98" s="4">
        <ns0:f>INDEX(Script_List!$R$2:$R$161,MATCH(M98,Script_List!$A$2:$A$161,0))</ns0:f>
        <ns0:v>7</ns0:v>
      </ns0:c>
      <ns0:c r="O98" s="4">
        <ns0:f>INDEX(Script_List!$X$2:$X$161,MATCH(M98,Script_List!$A$2:$A$161,0))</ns0:f>
        <ns0:v>560.0</ns0:v>
      </ns0:c>
    </ns0:row>
    <ns0:row r="99">
      <ns0:c r="M99" s="4" t="inlineStr">
        <ns0:is>
          <ns0:t>SYN-116</ns0:t>
        </ns0:is>
      </ns0:c>
      <ns0:c r="N99" s="4">
        <ns0:f>INDEX(Script_List!$R$2:$R$161,MATCH(M99,Script_List!$A$2:$A$161,0))</ns0:f>
        <ns0:v>1</ns0:v>
      </ns0:c>
      <ns0:c r="O99" s="4">
        <ns0:f>INDEX(Script_List!$X$2:$X$161,MATCH(M99,Script_List!$A$2:$A$161,0))</ns0:f>
        <ns0:v>648.0</ns0:v>
      </ns0:c>
    </ns0:row>
    <ns0:row r="100">
      <ns0:c r="M100" s="4" t="inlineStr">
        <ns0:is>
          <ns0:t>SYN-117</ns0:t>
        </ns0:is>
      </ns0:c>
      <ns0:c r="N100" s="4">
        <ns0:f>INDEX(Script_List!$R$2:$R$161,MATCH(M100,Script_List!$A$2:$A$161,0))</ns0:f>
        <ns0:v>3</ns0:v>
      </ns0:c>
      <ns0:c r="O100" s="4">
        <ns0:f>INDEX(Script_List!$X$2:$X$161,MATCH(M100,Script_List!$A$2:$A$161,0))</ns0:f>
        <ns0:v>482.0</ns0:v>
      </ns0:c>
    </ns0:row>
    <ns0:row r="101">
      <ns0:c r="M101" s="4" t="inlineStr">
        <ns0:is>
          <ns0:t>SYN-118</ns0:t>
        </ns0:is>
      </ns0:c>
      <ns0:c r="N101" s="4">
        <ns0:f>INDEX(Script_List!$R$2:$R$161,MATCH(M101,Script_List!$A$2:$A$161,0))</ns0:f>
        <ns0:v>10</ns0:v>
      </ns0:c>
      <ns0:c r="O101" s="4">
        <ns0:f>INDEX(Script_List!$X$2:$X$161,MATCH(M101,Script_List!$A$2:$A$161,0))</ns0:f>
        <ns0:v>332.0</ns0:v>
      </ns0:c>
    </ns0:row>
    <ns0:row r="102">
      <ns0:c r="M102" s="4" t="inlineStr">
        <ns0:is>
          <ns0:t>SYN-119</ns0:t>
        </ns0:is>
      </ns0:c>
      <ns0:c r="N102" s="4">
        <ns0:f>INDEX(Script_List!$R$2:$R$161,MATCH(M102,Script_List!$A$2:$A$161,0))</ns0:f>
        <ns0:v>1</ns0:v>
      </ns0:c>
      <ns0:c r="O102" s="4">
        <ns0:f>INDEX(Script_List!$X$2:$X$161,MATCH(M102,Script_List!$A$2:$A$161,0))</ns0:f>
        <ns0:v>609.0</ns0:v>
      </ns0:c>
    </ns0:row>
    <ns0:row r="103">
      <ns0:c r="M103" s="4" t="inlineStr">
        <ns0:is>
          <ns0:t>SYN-120</ns0:t>
        </ns0:is>
      </ns0:c>
      <ns0:c r="N103" s="4">
        <ns0:f>INDEX(Script_List!$R$2:$R$161,MATCH(M103,Script_List!$A$2:$A$161,0))</ns0:f>
        <ns0:v>3</ns0:v>
      </ns0:c>
      <ns0:c r="O103" s="4">
        <ns0:f>INDEX(Script_List!$X$2:$X$161,MATCH(M103,Script_List!$A$2:$A$161,0))</ns0:f>
        <ns0:v>564.0</ns0:v>
      </ns0:c>
    </ns0:row>
    <ns0:row r="104">
      <ns0:c r="M104" s="4" t="inlineStr">
        <ns0:is>
          <ns0:t>SYN-122</ns0:t>
        </ns0:is>
      </ns0:c>
      <ns0:c r="N104" s="4">
        <ns0:f>INDEX(Script_List!$R$2:$R$161,MATCH(M104,Script_List!$A$2:$A$161,0))</ns0:f>
        <ns0:v>1</ns0:v>
      </ns0:c>
      <ns0:c r="O104" s="4">
        <ns0:f>INDEX(Script_List!$X$2:$X$161,MATCH(M104,Script_List!$A$2:$A$161,0))</ns0:f>
        <ns0:v>332.0</ns0:v>
      </ns0:c>
    </ns0:row>
    <ns0:row r="105">
      <ns0:c r="M105" s="4" t="inlineStr">
        <ns0:is>
          <ns0:t>SYN-123</ns0:t>
        </ns0:is>
      </ns0:c>
      <ns0:c r="N105" s="4">
        <ns0:f>INDEX(Script_List!$R$2:$R$161,MATCH(M105,Script_List!$A$2:$A$161,0))</ns0:f>
        <ns0:v>3</ns0:v>
      </ns0:c>
      <ns0:c r="O105" s="4">
        <ns0:f>INDEX(Script_List!$X$2:$X$161,MATCH(M105,Script_List!$A$2:$A$161,0))</ns0:f>
        <ns0:v>438.0</ns0:v>
      </ns0:c>
    </ns0:row>
    <ns0:row r="106">
      <ns0:c r="M106" s="4" t="inlineStr">
        <ns0:is>
          <ns0:t>SYN-125</ns0:t>
        </ns0:is>
      </ns0:c>
      <ns0:c r="N106" s="4">
        <ns0:f>INDEX(Script_List!$R$2:$R$161,MATCH(M106,Script_List!$A$2:$A$161,0))</ns0:f>
        <ns0:v>2</ns0:v>
      </ns0:c>
      <ns0:c r="O106" s="4">
        <ns0:f>INDEX(Script_List!$X$2:$X$161,MATCH(M106,Script_List!$A$2:$A$161,0))</ns0:f>
        <ns0:v>383.0</ns0:v>
      </ns0:c>
    </ns0:row>
    <ns0:row r="107">
      <ns0:c r="M107" s="4" t="inlineStr">
        <ns0:is>
          <ns0:t>SYN-126</ns0:t>
        </ns0:is>
      </ns0:c>
      <ns0:c r="N107" s="4">
        <ns0:f>INDEX(Script_List!$R$2:$R$161,MATCH(M107,Script_List!$A$2:$A$161,0))</ns0:f>
        <ns0:v>4</ns0:v>
      </ns0:c>
      <ns0:c r="O107" s="4">
        <ns0:f>INDEX(Script_List!$X$2:$X$161,MATCH(M107,Script_List!$A$2:$A$161,0))</ns0:f>
        <ns0:v>474.0</ns0:v>
      </ns0:c>
    </ns0:row>
    <ns0:row r="108">
      <ns0:c r="M108" s="4" t="inlineStr">
        <ns0:is>
          <ns0:t>SYN-128</ns0:t>
        </ns0:is>
      </ns0:c>
      <ns0:c r="N108" s="4">
        <ns0:f>INDEX(Script_List!$R$2:$R$161,MATCH(M108,Script_List!$A$2:$A$161,0))</ns0:f>
        <ns0:v>2</ns0:v>
      </ns0:c>
      <ns0:c r="O108" s="4">
        <ns0:f>INDEX(Script_List!$X$2:$X$161,MATCH(M108,Script_List!$A$2:$A$161,0))</ns0:f>
        <ns0:v>527.0</ns0:v>
      </ns0:c>
    </ns0:row>
    <ns0:row r="109">
      <ns0:c r="M109" s="4" t="inlineStr">
        <ns0:is>
          <ns0:t>SYN-129</ns0:t>
        </ns0:is>
      </ns0:c>
      <ns0:c r="N109" s="4">
        <ns0:f>INDEX(Script_List!$R$2:$R$161,MATCH(M109,Script_List!$A$2:$A$161,0))</ns0:f>
        <ns0:v>4</ns0:v>
      </ns0:c>
      <ns0:c r="O109" s="4">
        <ns0:f>INDEX(Script_List!$X$2:$X$161,MATCH(M109,Script_List!$A$2:$A$161,0))</ns0:f>
        <ns0:v>490.0</ns0:v>
      </ns0:c>
    </ns0:row>
    <ns0:row r="110">
      <ns0:c r="M110" s="4" t="inlineStr">
        <ns0:is>
          <ns0:t>SYN-130</ns0:t>
        </ns0:is>
      </ns0:c>
      <ns0:c r="N110" s="4">
        <ns0:f>INDEX(Script_List!$R$2:$R$161,MATCH(M110,Script_List!$A$2:$A$161,0))</ns0:f>
        <ns0:v>1</ns0:v>
      </ns0:c>
      <ns0:c r="O110" s="4">
        <ns0:f>INDEX(Script_List!$X$2:$X$161,MATCH(M110,Script_List!$A$2:$A$161,0))</ns0:f>
        <ns0:v>332.0</ns0:v>
      </ns0:c>
    </ns0:row>
    <ns0:row r="111">
      <ns0:c r="M111" s="4" t="inlineStr">
        <ns0:is>
          <ns0:t>SYN-131</ns0:t>
        </ns0:is>
      </ns0:c>
      <ns0:c r="N111" s="4">
        <ns0:f>INDEX(Script_List!$R$2:$R$161,MATCH(M111,Script_List!$A$2:$A$161,0))</ns0:f>
        <ns0:v>2</ns0:v>
      </ns0:c>
      <ns0:c r="O111" s="4">
        <ns0:f>INDEX(Script_List!$X$2:$X$161,MATCH(M111,Script_List!$A$2:$A$161,0))</ns0:f>
        <ns0:v>528.0</ns0:v>
      </ns0:c>
    </ns0:row>
    <ns0:row r="112">
      <ns0:c r="M112" s="4" t="inlineStr">
        <ns0:is>
          <ns0:t>SYN-132</ns0:t>
        </ns0:is>
      </ns0:c>
      <ns0:c r="N112" s="4">
        <ns0:f>INDEX(Script_List!$R$2:$R$161,MATCH(M112,Script_List!$A$2:$A$161,0))</ns0:f>
        <ns0:v>5</ns0:v>
      </ns0:c>
      <ns0:c r="O112" s="4">
        <ns0:f>INDEX(Script_List!$X$2:$X$161,MATCH(M112,Script_List!$A$2:$A$161,0))</ns0:f>
        <ns0:v>527.0</ns0:v>
      </ns0:c>
    </ns0:row>
    <ns0:row r="113">
      <ns0:c r="M113" s="4" t="inlineStr">
        <ns0:is>
          <ns0:t>SYN-133</ns0:t>
        </ns0:is>
      </ns0:c>
      <ns0:c r="N113" s="4">
        <ns0:f>INDEX(Script_List!$R$2:$R$161,MATCH(M113,Script_List!$A$2:$A$161,0))</ns0:f>
        <ns0:v>1</ns0:v>
      </ns0:c>
      <ns0:c r="O113" s="4">
        <ns0:f>INDEX(Script_List!$X$2:$X$161,MATCH(M113,Script_List!$A$2:$A$161,0))</ns0:f>
        <ns0:v>324.0</ns0:v>
      </ns0:c>
    </ns0:row>
    <ns0:row r="114">
      <ns0:c r="M114" s="4" t="inlineStr">
        <ns0:is>
          <ns0:t>SYN-134</ns0:t>
        </ns0:is>
      </ns0:c>
      <ns0:c r="N114" s="4">
        <ns0:f>INDEX(Script_List!$R$2:$R$161,MATCH(M114,Script_List!$A$2:$A$161,0))</ns0:f>
        <ns0:v>2</ns0:v>
      </ns0:c>
      <ns0:c r="O114" s="4">
        <ns0:f>INDEX(Script_List!$X$2:$X$161,MATCH(M114,Script_List!$A$2:$A$161,0))</ns0:f>
        <ns0:v>563.0</ns0:v>
      </ns0:c>
    </ns0:row>
    <ns0:row r="115">
      <ns0:c r="M115" s="4" t="inlineStr">
        <ns0:is>
          <ns0:t>SYN-135</ns0:t>
        </ns0:is>
      </ns0:c>
      <ns0:c r="N115" s="4">
        <ns0:f>INDEX(Script_List!$R$2:$R$161,MATCH(M115,Script_List!$A$2:$A$161,0))</ns0:f>
        <ns0:v>7</ns0:v>
      </ns0:c>
      <ns0:c r="O115" s="4">
        <ns0:f>INDEX(Script_List!$X$2:$X$161,MATCH(M115,Script_List!$A$2:$A$161,0))</ns0:f>
        <ns0:v>560.0</ns0:v>
      </ns0:c>
    </ns0:row>
    <ns0:row r="116">
      <ns0:c r="M116" s="4" t="inlineStr">
        <ns0:is>
          <ns0:t>SYN-136</ns0:t>
        </ns0:is>
      </ns0:c>
      <ns0:c r="N116" s="4">
        <ns0:f>INDEX(Script_List!$R$2:$R$161,MATCH(M116,Script_List!$A$2:$A$161,0))</ns0:f>
        <ns0:v>1</ns0:v>
      </ns0:c>
      <ns0:c r="O116" s="4">
        <ns0:f>INDEX(Script_List!$X$2:$X$161,MATCH(M116,Script_List!$A$2:$A$161,0))</ns0:f>
        <ns0:v>648.0</ns0:v>
      </ns0:c>
    </ns0:row>
    <ns0:row r="117">
      <ns0:c r="M117" s="4" t="inlineStr">
        <ns0:is>
          <ns0:t>SYN-137</ns0:t>
        </ns0:is>
      </ns0:c>
      <ns0:c r="N117" s="4">
        <ns0:f>INDEX(Script_List!$R$2:$R$161,MATCH(M117,Script_List!$A$2:$A$161,0))</ns0:f>
        <ns0:v>3</ns0:v>
      </ns0:c>
      <ns0:c r="O117" s="4">
        <ns0:f>INDEX(Script_List!$X$2:$X$161,MATCH(M117,Script_List!$A$2:$A$161,0))</ns0:f>
        <ns0:v>482.0</ns0:v>
      </ns0:c>
    </ns0:row>
    <ns0:row r="118">
      <ns0:c r="M118" s="4" t="inlineStr">
        <ns0:is>
          <ns0:t>SYN-138</ns0:t>
        </ns0:is>
      </ns0:c>
      <ns0:c r="N118" s="4">
        <ns0:f>INDEX(Script_List!$R$2:$R$161,MATCH(M118,Script_List!$A$2:$A$161,0))</ns0:f>
        <ns0:v>10</ns0:v>
      </ns0:c>
      <ns0:c r="O118" s="4">
        <ns0:f>INDEX(Script_List!$X$2:$X$161,MATCH(M118,Script_List!$A$2:$A$161,0))</ns0:f>
        <ns0:v>332.0</ns0:v>
      </ns0:c>
    </ns0:row>
    <ns0:row r="119">
      <ns0:c r="M119" s="4" t="inlineStr">
        <ns0:is>
          <ns0:t>SYN-139</ns0:t>
        </ns0:is>
      </ns0:c>
      <ns0:c r="N119" s="4">
        <ns0:f>INDEX(Script_List!$R$2:$R$161,MATCH(M119,Script_List!$A$2:$A$161,0))</ns0:f>
        <ns0:v>1</ns0:v>
      </ns0:c>
      <ns0:c r="O119" s="4">
        <ns0:f>INDEX(Script_List!$X$2:$X$161,MATCH(M119,Script_List!$A$2:$A$161,0))</ns0:f>
        <ns0:v>609.0</ns0:v>
      </ns0:c>
    </ns0:row>
    <ns0:row r="120">
      <ns0:c r="M120" s="4" t="inlineStr">
        <ns0:is>
          <ns0:t>SYN-140</ns0:t>
        </ns0:is>
      </ns0:c>
      <ns0:c r="N120" s="4">
        <ns0:f>INDEX(Script_List!$R$2:$R$161,MATCH(M120,Script_List!$A$2:$A$161,0))</ns0:f>
        <ns0:v>3</ns0:v>
      </ns0:c>
      <ns0:c r="O120" s="4">
        <ns0:f>INDEX(Script_List!$X$2:$X$161,MATCH(M120,Script_List!$A$2:$A$161,0))</ns0:f>
        <ns0:v>564.0</ns0:v>
      </ns0:c>
    </ns0:row>
    <ns0:row r="121">
      <ns0:c r="M121" s="4" t="inlineStr">
        <ns0:is>
          <ns0:t>SYN-142</ns0:t>
        </ns0:is>
      </ns0:c>
      <ns0:c r="N121" s="4">
        <ns0:f>INDEX(Script_List!$R$2:$R$161,MATCH(M121,Script_List!$A$2:$A$161,0))</ns0:f>
        <ns0:v>1</ns0:v>
      </ns0:c>
      <ns0:c r="O121" s="4">
        <ns0:f>INDEX(Script_List!$X$2:$X$161,MATCH(M121,Script_List!$A$2:$A$161,0))</ns0:f>
        <ns0:v>332.0</ns0:v>
      </ns0:c>
    </ns0:row>
    <ns0:row r="122">
      <ns0:c r="M122" s="4" t="inlineStr">
        <ns0:is>
          <ns0:t>SYN-143</ns0:t>
        </ns0:is>
      </ns0:c>
      <ns0:c r="N122" s="4">
        <ns0:f>INDEX(Script_List!$R$2:$R$161,MATCH(M122,Script_List!$A$2:$A$161,0))</ns0:f>
        <ns0:v>3</ns0:v>
      </ns0:c>
      <ns0:c r="O122" s="4">
        <ns0:f>INDEX(Script_List!$X$2:$X$161,MATCH(M122,Script_List!$A$2:$A$161,0))</ns0:f>
        <ns0:v>438.0</ns0:v>
      </ns0:c>
    </ns0:row>
    <ns0:row r="123">
      <ns0:c r="M123" s="4" t="inlineStr">
        <ns0:is>
          <ns0:t>SYN-145</ns0:t>
        </ns0:is>
      </ns0:c>
      <ns0:c r="N123" s="4">
        <ns0:f>INDEX(Script_List!$R$2:$R$161,MATCH(M123,Script_List!$A$2:$A$161,0))</ns0:f>
        <ns0:v>2</ns0:v>
      </ns0:c>
      <ns0:c r="O123" s="4">
        <ns0:f>INDEX(Script_List!$X$2:$X$161,MATCH(M123,Script_List!$A$2:$A$161,0))</ns0:f>
        <ns0:v>383.0</ns0:v>
      </ns0:c>
    </ns0:row>
    <ns0:row r="124">
      <ns0:c r="M124" s="4" t="inlineStr">
        <ns0:is>
          <ns0:t>SYN-146</ns0:t>
        </ns0:is>
      </ns0:c>
      <ns0:c r="N124" s="4">
        <ns0:f>INDEX(Script_List!$R$2:$R$161,MATCH(M124,Script_List!$A$2:$A$161,0))</ns0:f>
        <ns0:v>4</ns0:v>
      </ns0:c>
      <ns0:c r="O124" s="4">
        <ns0:f>INDEX(Script_List!$X$2:$X$161,MATCH(M124,Script_List!$A$2:$A$161,0))</ns0:f>
        <ns0:v>474.0</ns0:v>
      </ns0:c>
    </ns0:row>
    <ns0:row r="125">
      <ns0:c r="M125" s="4" t="inlineStr">
        <ns0:is>
          <ns0:t>SYN-148</ns0:t>
        </ns0:is>
      </ns0:c>
      <ns0:c r="N125" s="4">
        <ns0:f>INDEX(Script_List!$R$2:$R$161,MATCH(M125,Script_List!$A$2:$A$161,0))</ns0:f>
        <ns0:v>2</ns0:v>
      </ns0:c>
      <ns0:c r="O125" s="4">
        <ns0:f>INDEX(Script_List!$X$2:$X$161,MATCH(M125,Script_List!$A$2:$A$161,0))</ns0:f>
        <ns0:v>527.0</ns0:v>
      </ns0:c>
    </ns0:row>
    <ns0:row r="126">
      <ns0:c r="M126" s="4" t="inlineStr">
        <ns0:is>
          <ns0:t>SYN-149</ns0:t>
        </ns0:is>
      </ns0:c>
      <ns0:c r="N126" s="4">
        <ns0:f>INDEX(Script_List!$R$2:$R$161,MATCH(M126,Script_List!$A$2:$A$161,0))</ns0:f>
        <ns0:v>4</ns0:v>
      </ns0:c>
      <ns0:c r="O126" s="4">
        <ns0:f>INDEX(Script_List!$X$2:$X$161,MATCH(M126,Script_List!$A$2:$A$161,0))</ns0:f>
        <ns0:v>490.0</ns0:v>
      </ns0:c>
    </ns0:row>
    <ns0:row r="127">
      <ns0:c r="M127" s="4" t="inlineStr">
        <ns0:is>
          <ns0:t>SYN-150</ns0:t>
        </ns0:is>
      </ns0:c>
      <ns0:c r="N127" s="4">
        <ns0:f>INDEX(Script_List!$R$2:$R$161,MATCH(M127,Script_List!$A$2:$A$161,0))</ns0:f>
        <ns0:v>1</ns0:v>
      </ns0:c>
      <ns0:c r="O127" s="4">
        <ns0:f>INDEX(Script_List!$X$2:$X$161,MATCH(M127,Script_List!$A$2:$A$161,0))</ns0:f>
        <ns0:v>332.0</ns0:v>
      </ns0:c>
    </ns0:row>
    <ns0:row r="128">
      <ns0:c r="M128" s="4" t="inlineStr">
        <ns0:is>
          <ns0:t>SYN-151</ns0:t>
        </ns0:is>
      </ns0:c>
      <ns0:c r="N128" s="4">
        <ns0:f>INDEX(Script_List!$R$2:$R$161,MATCH(M128,Script_List!$A$2:$A$161,0))</ns0:f>
        <ns0:v>2</ns0:v>
      </ns0:c>
      <ns0:c r="O128" s="4">
        <ns0:f>INDEX(Script_List!$X$2:$X$161,MATCH(M128,Script_List!$A$2:$A$161,0))</ns0:f>
        <ns0:v>528.0</ns0:v>
      </ns0:c>
    </ns0:row>
    <ns0:row r="129">
      <ns0:c r="M129" s="4" t="inlineStr">
        <ns0:is>
          <ns0:t>SYN-152</ns0:t>
        </ns0:is>
      </ns0:c>
      <ns0:c r="N129" s="4">
        <ns0:f>INDEX(Script_List!$R$2:$R$161,MATCH(M129,Script_List!$A$2:$A$161,0))</ns0:f>
        <ns0:v>5</ns0:v>
      </ns0:c>
      <ns0:c r="O129" s="4">
        <ns0:f>INDEX(Script_List!$X$2:$X$161,MATCH(M129,Script_List!$A$2:$A$161,0))</ns0:f>
        <ns0:v>527.0</ns0:v>
      </ns0:c>
    </ns0:row>
    <ns0:row r="130">
      <ns0:c r="M130" s="4" t="inlineStr">
        <ns0:is>
          <ns0:t>SYN-153</ns0:t>
        </ns0:is>
      </ns0:c>
      <ns0:c r="N130" s="4">
        <ns0:f>INDEX(Script_List!$R$2:$R$161,MATCH(M130,Script_List!$A$2:$A$161,0))</ns0:f>
        <ns0:v>1</ns0:v>
      </ns0:c>
      <ns0:c r="O130" s="4">
        <ns0:f>INDEX(Script_List!$X$2:$X$161,MATCH(M130,Script_List!$A$2:$A$161,0))</ns0:f>
        <ns0:v>324.0</ns0:v>
      </ns0:c>
    </ns0:row>
    <ns0:row r="131">
      <ns0:c r="M131" s="4" t="inlineStr">
        <ns0:is>
          <ns0:t>SYN-154</ns0:t>
        </ns0:is>
      </ns0:c>
      <ns0:c r="N131" s="4">
        <ns0:f>INDEX(Script_List!$R$2:$R$161,MATCH(M131,Script_List!$A$2:$A$161,0))</ns0:f>
        <ns0:v>2</ns0:v>
      </ns0:c>
      <ns0:c r="O131" s="4">
        <ns0:f>INDEX(Script_List!$X$2:$X$161,MATCH(M131,Script_List!$A$2:$A$161,0))</ns0:f>
        <ns0:v>563.0</ns0:v>
      </ns0:c>
    </ns0:row>
    <ns0:row r="132">
      <ns0:c r="M132" s="4" t="inlineStr">
        <ns0:is>
          <ns0:t>SYN-155</ns0:t>
        </ns0:is>
      </ns0:c>
      <ns0:c r="N132" s="4">
        <ns0:f>INDEX(Script_List!$R$2:$R$161,MATCH(M132,Script_List!$A$2:$A$161,0))</ns0:f>
        <ns0:v>7</ns0:v>
      </ns0:c>
      <ns0:c r="O132" s="4">
        <ns0:f>INDEX(Script_List!$X$2:$X$161,MATCH(M132,Script_List!$A$2:$A$161,0))</ns0:f>
        <ns0:v>560.0</ns0:v>
      </ns0:c>
    </ns0:row>
    <ns0:row r="133">
      <ns0:c r="M133" s="4" t="inlineStr">
        <ns0:is>
          <ns0:t>SYN-156</ns0:t>
        </ns0:is>
      </ns0:c>
      <ns0:c r="N133" s="4">
        <ns0:f>INDEX(Script_List!$R$2:$R$161,MATCH(M133,Script_List!$A$2:$A$161,0))</ns0:f>
        <ns0:v>1</ns0:v>
      </ns0:c>
      <ns0:c r="O133" s="4">
        <ns0:f>INDEX(Script_List!$X$2:$X$161,MATCH(M133,Script_List!$A$2:$A$161,0))</ns0:f>
        <ns0:v>648.0</ns0:v>
      </ns0:c>
    </ns0:row>
    <ns0:row r="134">
      <ns0:c r="M134" s="4" t="inlineStr">
        <ns0:is>
          <ns0:t>SYN-157</ns0:t>
        </ns0:is>
      </ns0:c>
      <ns0:c r="N134" s="4">
        <ns0:f>INDEX(Script_List!$R$2:$R$161,MATCH(M134,Script_List!$A$2:$A$161,0))</ns0:f>
        <ns0:v>3</ns0:v>
      </ns0:c>
      <ns0:c r="O134" s="4">
        <ns0:f>INDEX(Script_List!$X$2:$X$161,MATCH(M134,Script_List!$A$2:$A$161,0))</ns0:f>
        <ns0:v>482.0</ns0:v>
      </ns0:c>
    </ns0:row>
    <ns0:row r="135">
      <ns0:c r="M135" s="4" t="inlineStr">
        <ns0:is>
          <ns0:t>SYN-158</ns0:t>
        </ns0:is>
      </ns0:c>
      <ns0:c r="N135" s="4">
        <ns0:f>INDEX(Script_List!$R$2:$R$161,MATCH(M135,Script_List!$A$2:$A$161,0))</ns0:f>
        <ns0:v>10</ns0:v>
      </ns0:c>
      <ns0:c r="O135" s="4">
        <ns0:f>INDEX(Script_List!$X$2:$X$161,MATCH(M135,Script_List!$A$2:$A$161,0))</ns0:f>
        <ns0:v>332.0</ns0:v>
      </ns0:c>
    </ns0:row>
    <ns0:row r="136">
      <ns0:c r="M136" s="4" t="inlineStr">
        <ns0:is>
          <ns0:t>SYN-159</ns0:t>
        </ns0:is>
      </ns0:c>
      <ns0:c r="N136" s="4">
        <ns0:f>INDEX(Script_List!$R$2:$R$161,MATCH(M136,Script_List!$A$2:$A$161,0))</ns0:f>
        <ns0:v>1</ns0:v>
      </ns0:c>
      <ns0:c r="O136" s="4">
        <ns0:f>INDEX(Script_List!$X$2:$X$161,MATCH(M136,Script_List!$A$2:$A$161,0))</ns0:f>
        <ns0:v>609.0</ns0:v>
      </ns0:c>
    </ns0:row>
    <ns0:row r="137">
      <ns0:c r="M137" s="4" t="inlineStr">
        <ns0:is>
          <ns0:t>SYN-160</ns0:t>
        </ns0:is>
      </ns0:c>
      <ns0:c r="N137" s="4">
        <ns0:f>INDEX(Script_List!$R$2:$R$161,MATCH(M137,Script_List!$A$2:$A$161,0))</ns0:f>
        <ns0:v>3</ns0:v>
      </ns0:c>
      <ns0:c r="O137" s="4">
        <ns0:f>INDEX(Script_List!$X$2:$X$161,MATCH(M137,Script_List!$A$2:$A$161,0))</ns0:f>
        <ns0:v>564.0</ns0:v>
      </ns0:c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H417"/>
  <ns0:sheetViews>
    <ns0:sheetView showGridLines="0" workbookViewId="0">
      <ns0:selection activeCell="A1" sqref="A1"/>
    </ns0:sheetView>
  </ns0:sheetViews>
  <ns0:sheetFormatPr baseColWidth="8" defaultRowHeight="15"/>
  <ns0:cols>
    <ns0:col width="42" customWidth="1" min="1" max="1"/>
    <ns0:col width="20" customWidth="1" min="2" max="2"/>
    <ns0:col width="20" customWidth="1" min="3" max="3"/>
    <ns0:col width="20" customWidth="1" min="4" max="4"/>
    <ns0:col width="20" customWidth="1" min="5" max="5"/>
    <ns0:col width="20" customWidth="1" min="6" max="6"/>
    <ns0:col width="20" customWidth="1" min="7" max="7"/>
    <ns0:col width="20" customWidth="1" min="8" max="8"/>
  </ns0:cols>
  <ns0:sheetData>
    <ns0:row r="1" ht="44" customHeight="1">
      <ns0:c r="A1" s="1" t="inlineStr">
        <ns0:is>
          <ns0:t>Check</ns0:t>
        </ns0:is>
      </ns0:c>
      <ns0:c r="B1" s="1" t="inlineStr">
        <ns0:is>
          <ns0:t>Calculated</ns0:t>
        </ns0:is>
      </ns0:c>
      <ns0:c r="C1" s="1" t="inlineStr">
        <ns0:is>
          <ns0:t>Expected</ns0:t>
        </ns0:is>
      </ns0:c>
      <ns0:c r="D1" s="1" t="inlineStr">
        <ns0:is>
          <ns0:t>Difference</ns0:t>
        </ns0:is>
      </ns0:c>
      <ns0:c r="E1" s="1" t="n"/>
      <ns0:c r="F1" s="1" t="inlineStr">
        <ns0:is>
          <ns0:t>Session ID</ns0:t>
        </ns0:is>
      </ns0:c>
      <ns0:c r="G1" s="1" t="inlineStr">
        <ns0:is>
          <ns0:t>Unmatched ID</ns0:t>
        </ns0:is>
      </ns0:c>
      <ns0:c r="H1" s="1" t="inlineStr">
        <ns0:is>
          <ns0:t>Duplicate ID</ns0:t>
        </ns0:is>
      </ns0:c>
    </ns0:row>
    <ns0:row r="2">
      <ns0:c r="A2" s="4" t="inlineStr">
        <ns0:is>
          <ns0:t>Session count</ns0:t>
        </ns0:is>
      </ns0:c>
      <ns0:c r="B2" s="4">
        <ns0:f>COUNTA(RawData[Session ID])</ns0:f>
        <ns0:v>416</ns0:v>
      </ns0:c>
      <ns0:c r="C2" s="4" t="n">
        <ns0:v>416</ns0:v>
      </ns0:c>
      <ns0:c r="D2" s="4">
        <ns0:f>B2-C2</ns0:f>
        <ns0:v>0</ns0:v>
      </ns0:c>
      <ns0:c r="F2" s="4" t="inlineStr">
        <ns0:is>
          <ns0:t>SES-0001</ns0:t>
        </ns0:is>
      </ns0:c>
      <ns0:c r="G2" s="4">
        <ns0:f>IF(COUNTIF(Script_List[Script ID],'Raw Data'!B2)=1,0,1)</ns0:f>
        <ns0:v>0</ns0:v>
      </ns0:c>
      <ns0:c r="H2" s="4">
        <ns0:f>IF(COUNTIF(RawData[Session ID],F2)=1,0,1)</ns0:f>
        <ns0:v>0</ns0:v>
      </ns0:c>
    </ns0:row>
    <ns0:row r="3">
      <ns0:c r="A3" s="4" t="inlineStr">
        <ns0:is>
          <ns0:t>Revenue</ns0:t>
        </ns0:is>
      </ns0:c>
      <ns0:c r="B3" s="4">
        <ns0:f>SUM(RawData[Estimated Gross Revenue])</ns0:f>
        <ns0:v>280352</ns0:v>
      </ns0:c>
      <ns0:c r="C3" s="4" t="n">
        <ns0:v>280352</ns0:v>
      </ns0:c>
      <ns0:c r="D3" s="4">
        <ns0:f>B3-C3</ns0:f>
        <ns0:v>0</ns0:v>
      </ns0:c>
      <ns0:c r="F3" s="4" t="inlineStr">
        <ns0:is>
          <ns0:t>SES-0002</ns0:t>
        </ns0:is>
      </ns0:c>
      <ns0:c r="G3" s="4">
        <ns0:f>IF(COUNTIF(Script_List[Script ID],'Raw Data'!B3)=1,0,1)</ns0:f>
        <ns0:v>0</ns0:v>
      </ns0:c>
      <ns0:c r="H3" s="4">
        <ns0:f>IF(COUNTIF(RawData[Session ID],F3)=1,0,1)</ns0:f>
        <ns0:v>0</ns0:v>
      </ns0:c>
    </ns0:row>
    <ns0:row r="4">
      <ns0:c r="A4" s="4" t="inlineStr">
        <ns0:is>
          <ns0:t>Contribution</ns0:t>
        </ns0:is>
      </ns0:c>
      <ns0:c r="B4" s="4">
        <ns0:f>SUM(RawData[Estimated Contribution])</ns0:f>
        <ns0:v>195440</ns0:v>
      </ns0:c>
      <ns0:c r="C4" s="4" t="n">
        <ns0:v>195440</ns0:v>
      </ns0:c>
      <ns0:c r="D4" s="4">
        <ns0:f>B4-C4</ns0:f>
        <ns0:v>0</ns0:v>
      </ns0:c>
      <ns0:c r="F4" s="4" t="inlineStr">
        <ns0:is>
          <ns0:t>SES-0003</ns0:t>
        </ns0:is>
      </ns0:c>
      <ns0:c r="G4" s="4">
        <ns0:f>IF(COUNTIF(Script_List[Script ID],'Raw Data'!B4)=1,0,1)</ns0:f>
        <ns0:v>0</ns0:v>
      </ns0:c>
      <ns0:c r="H4" s="4">
        <ns0:f>IF(COUNTIF(RawData[Session ID],F4)=1,0,1)</ns0:f>
        <ns0:v>0</ns0:v>
      </ns0:c>
    </ns0:row>
    <ns0:row r="5">
      <ns0:c r="A5" s="4" t="inlineStr">
        <ns0:is>
          <ns0:t>Script count</ns0:t>
        </ns0:is>
      </ns0:c>
      <ns0:c r="B5" s="4">
        <ns0:f>COUNTA(Script_List[Script ID])</ns0:f>
        <ns0:v>160</ns0:v>
      </ns0:c>
      <ns0:c r="C5" s="4" t="n">
        <ns0:v>160</ns0:v>
      </ns0:c>
      <ns0:c r="D5" s="4">
        <ns0:f>B5-C5</ns0:f>
        <ns0:v>0</ns0:v>
      </ns0:c>
      <ns0:c r="F5" s="4" t="inlineStr">
        <ns0:is>
          <ns0:t>SES-0004</ns0:t>
        </ns0:is>
      </ns0:c>
      <ns0:c r="G5" s="4">
        <ns0:f>IF(COUNTIF(Script_List[Script ID],'Raw Data'!B5)=1,0,1)</ns0:f>
        <ns0:v>0</ns0:v>
      </ns0:c>
      <ns0:c r="H5" s="4">
        <ns0:f>IF(COUNTIF(RawData[Session ID],F5)=1,0,1)</ns0:f>
        <ns0:v>0</ns0:v>
      </ns0:c>
    </ns0:row>
    <ns0:row r="6">
      <ns0:c r="A6" s="4" t="inlineStr">
        <ns0:is>
          <ns0:t>Opened scripts</ns0:t>
        </ns0:is>
      </ns0:c>
      <ns0:c r="B6" s="4">
        <ns0:f>COUNTIF(Script_List[Observed Session Count],"&gt;0")</ns0:f>
        <ns0:v>136</ns0:v>
      </ns0:c>
      <ns0:c r="C6" s="4" t="n">
        <ns0:v>136</ns0:v>
      </ns0:c>
      <ns0:c r="D6" s="4">
        <ns0:f>B6-C6</ns0:f>
        <ns0:v>0</ns0:v>
      </ns0:c>
      <ns0:c r="F6" s="4" t="inlineStr">
        <ns0:is>
          <ns0:t>SES-0005</ns0:t>
        </ns0:is>
      </ns0:c>
      <ns0:c r="G6" s="4">
        <ns0:f>IF(COUNTIF(Script_List[Script ID],'Raw Data'!B6)=1,0,1)</ns0:f>
        <ns0:v>0</ns0:v>
      </ns0:c>
      <ns0:c r="H6" s="4">
        <ns0:f>IF(COUNTIF(RawData[Session ID],F6)=1,0,1)</ns0:f>
        <ns0:v>0</ns0:v>
      </ns0:c>
    </ns0:row>
    <ns0:row r="7">
      <ns0:c r="A7" s="4" t="inlineStr">
        <ns0:is>
          <ns0:t>Unmatched script IDs</ns0:t>
        </ns0:is>
      </ns0:c>
      <ns0:c r="B7" s="4">
        <ns0:f>SUM(Checks!G2:G417)</ns0:f>
        <ns0:v>0</ns0:v>
      </ns0:c>
      <ns0:c r="C7" s="4" t="n">
        <ns0:v>0</ns0:v>
      </ns0:c>
      <ns0:c r="D7" s="4">
        <ns0:f>B7-C7</ns0:f>
        <ns0:v>0</ns0:v>
      </ns0:c>
      <ns0:c r="F7" s="4" t="inlineStr">
        <ns0:is>
          <ns0:t>SES-0006</ns0:t>
        </ns0:is>
      </ns0:c>
      <ns0:c r="G7" s="4">
        <ns0:f>IF(COUNTIF(Script_List[Script ID],'Raw Data'!B7)=1,0,1)</ns0:f>
        <ns0:v>0</ns0:v>
      </ns0:c>
      <ns0:c r="H7" s="4">
        <ns0:f>IF(COUNTIF(RawData[Session ID],F7)=1,0,1)</ns0:f>
        <ns0:v>0</ns0:v>
      </ns0:c>
    </ns0:row>
    <ns0:row r="8">
      <ns0:c r="A8" s="4" t="inlineStr">
        <ns0:is>
          <ns0:t>Duplicate session IDs</ns0:t>
        </ns0:is>
      </ns0:c>
      <ns0:c r="B8" s="4">
        <ns0:f>SUM(Checks!H2:H417)</ns0:f>
        <ns0:v>0</ns0:v>
      </ns0:c>
      <ns0:c r="C8" s="4" t="n">
        <ns0:v>0</ns0:v>
      </ns0:c>
      <ns0:c r="D8" s="4">
        <ns0:f>B8-C8</ns0:f>
        <ns0:v>0</ns0:v>
      </ns0:c>
      <ns0:c r="F8" s="4" t="inlineStr">
        <ns0:is>
          <ns0:t>SES-0007</ns0:t>
        </ns0:is>
      </ns0:c>
      <ns0:c r="G8" s="4">
        <ns0:f>IF(COUNTIF(Script_List[Script ID],'Raw Data'!B8)=1,0,1)</ns0:f>
        <ns0:v>0</ns0:v>
      </ns0:c>
      <ns0:c r="H8" s="4">
        <ns0:f>IF(COUNTIF(RawData[Session ID],F8)=1,0,1)</ns0:f>
        <ns0:v>0</ns0:v>
      </ns0:c>
    </ns0:row>
    <ns0:row r="9">
      <ns0:c r="A9" s="4" t="inlineStr">
        <ns0:is>
          <ns0:t>Script/session count difference</ns0:t>
        </ns0:is>
      </ns0:c>
      <ns0:c r="B9" s="4">
        <ns0:f>SUM(Script_List[Observed Session Count])-COUNTA(RawData[Session ID])</ns0:f>
        <ns0:v>0</ns0:v>
      </ns0:c>
      <ns0:c r="C9" s="4" t="n">
        <ns0:v>0</ns0:v>
      </ns0:c>
      <ns0:c r="D9" s="4">
        <ns0:f>B9-C9</ns0:f>
        <ns0:v>0</ns0:v>
      </ns0:c>
      <ns0:c r="F9" s="4" t="inlineStr">
        <ns0:is>
          <ns0:t>SES-0008</ns0:t>
        </ns0:is>
      </ns0:c>
      <ns0:c r="G9" s="4">
        <ns0:f>IF(COUNTIF(Script_List[Script ID],'Raw Data'!B9)=1,0,1)</ns0:f>
        <ns0:v>0</ns0:v>
      </ns0:c>
      <ns0:c r="H9" s="4">
        <ns0:f>IF(COUNTIF(RawData[Session ID],F9)=1,0,1)</ns0:f>
        <ns0:v>0</ns0:v>
      </ns0:c>
    </ns0:row>
    <ns0:row r="10">
      <ns0:c r="A10" s="4" t="inlineStr">
        <ns0:is>
          <ns0:t>Script/session contribution difference</ns0:t>
        </ns0:is>
      </ns0:c>
      <ns0:c r="B10" s="4">
        <ns0:f>SUM(Script_List[Cumulative Estimated Contribution])-SUM(RawData[Estimated Contribution])</ns0:f>
        <ns0:v>0</ns0:v>
      </ns0:c>
      <ns0:c r="C10" s="4" t="n">
        <ns0:v>0</ns0:v>
      </ns0:c>
      <ns0:c r="D10" s="4">
        <ns0:f>B10-C10</ns0:f>
        <ns0:v>0</ns0:v>
      </ns0:c>
      <ns0:c r="F10" s="4" t="inlineStr">
        <ns0:is>
          <ns0:t>SES-0009</ns0:t>
        </ns0:is>
      </ns0:c>
      <ns0:c r="G10" s="4">
        <ns0:f>IF(COUNTIF(Script_List[Script ID],'Raw Data'!B10)=1,0,1)</ns0:f>
        <ns0:v>0</ns0:v>
      </ns0:c>
      <ns0:c r="H10" s="4">
        <ns0:f>IF(COUNTIF(RawData[Session ID],F10)=1,0,1)</ns0:f>
        <ns0:v>0</ns0:v>
      </ns0:c>
    </ns0:row>
    <ns0:row r="11">
      <ns0:c r="F11" s="4" t="inlineStr">
        <ns0:is>
          <ns0:t>SES-0010</ns0:t>
        </ns0:is>
      </ns0:c>
      <ns0:c r="G11" s="4">
        <ns0:f>IF(COUNTIF(Script_List[Script ID],'Raw Data'!B11)=1,0,1)</ns0:f>
        <ns0:v>0</ns0:v>
      </ns0:c>
      <ns0:c r="H11" s="4">
        <ns0:f>IF(COUNTIF(RawData[Session ID],F11)=1,0,1)</ns0:f>
        <ns0:v>0</ns0:v>
      </ns0:c>
    </ns0:row>
    <ns0:row r="12">
      <ns0:c r="F12" s="4" t="inlineStr">
        <ns0:is>
          <ns0:t>SES-0011</ns0:t>
        </ns0:is>
      </ns0:c>
      <ns0:c r="G12" s="4">
        <ns0:f>IF(COUNTIF(Script_List[Script ID],'Raw Data'!B12)=1,0,1)</ns0:f>
        <ns0:v>0</ns0:v>
      </ns0:c>
      <ns0:c r="H12" s="4">
        <ns0:f>IF(COUNTIF(RawData[Session ID],F12)=1,0,1)</ns0:f>
        <ns0:v>0</ns0:v>
      </ns0:c>
    </ns0:row>
    <ns0:row r="13">
      <ns0:c r="F13" s="4" t="inlineStr">
        <ns0:is>
          <ns0:t>SES-0012</ns0:t>
        </ns0:is>
      </ns0:c>
      <ns0:c r="G13" s="4">
        <ns0:f>IF(COUNTIF(Script_List[Script ID],'Raw Data'!B13)=1,0,1)</ns0:f>
        <ns0:v>0</ns0:v>
      </ns0:c>
      <ns0:c r="H13" s="4">
        <ns0:f>IF(COUNTIF(RawData[Session ID],F13)=1,0,1)</ns0:f>
        <ns0:v>0</ns0:v>
      </ns0:c>
    </ns0:row>
    <ns0:row r="14">
      <ns0:c r="F14" s="4" t="inlineStr">
        <ns0:is>
          <ns0:t>SES-0013</ns0:t>
        </ns0:is>
      </ns0:c>
      <ns0:c r="G14" s="4">
        <ns0:f>IF(COUNTIF(Script_List[Script ID],'Raw Data'!B14)=1,0,1)</ns0:f>
        <ns0:v>0</ns0:v>
      </ns0:c>
      <ns0:c r="H14" s="4">
        <ns0:f>IF(COUNTIF(RawData[Session ID],F14)=1,0,1)</ns0:f>
        <ns0:v>0</ns0:v>
      </ns0:c>
    </ns0:row>
    <ns0:row r="15">
      <ns0:c r="F15" s="4" t="inlineStr">
        <ns0:is>
          <ns0:t>SES-0014</ns0:t>
        </ns0:is>
      </ns0:c>
      <ns0:c r="G15" s="4">
        <ns0:f>IF(COUNTIF(Script_List[Script ID],'Raw Data'!B15)=1,0,1)</ns0:f>
        <ns0:v>0</ns0:v>
      </ns0:c>
      <ns0:c r="H15" s="4">
        <ns0:f>IF(COUNTIF(RawData[Session ID],F15)=1,0,1)</ns0:f>
        <ns0:v>0</ns0:v>
      </ns0:c>
    </ns0:row>
    <ns0:row r="16">
      <ns0:c r="F16" s="4" t="inlineStr">
        <ns0:is>
          <ns0:t>SES-0015</ns0:t>
        </ns0:is>
      </ns0:c>
      <ns0:c r="G16" s="4">
        <ns0:f>IF(COUNTIF(Script_List[Script ID],'Raw Data'!B16)=1,0,1)</ns0:f>
        <ns0:v>0</ns0:v>
      </ns0:c>
      <ns0:c r="H16" s="4">
        <ns0:f>IF(COUNTIF(RawData[Session ID],F16)=1,0,1)</ns0:f>
        <ns0:v>0</ns0:v>
      </ns0:c>
    </ns0:row>
    <ns0:row r="17">
      <ns0:c r="F17" s="4" t="inlineStr">
        <ns0:is>
          <ns0:t>SES-0016</ns0:t>
        </ns0:is>
      </ns0:c>
      <ns0:c r="G17" s="4">
        <ns0:f>IF(COUNTIF(Script_List[Script ID],'Raw Data'!B17)=1,0,1)</ns0:f>
        <ns0:v>0</ns0:v>
      </ns0:c>
      <ns0:c r="H17" s="4">
        <ns0:f>IF(COUNTIF(RawData[Session ID],F17)=1,0,1)</ns0:f>
        <ns0:v>0</ns0:v>
      </ns0:c>
    </ns0:row>
    <ns0:row r="18">
      <ns0:c r="F18" s="4" t="inlineStr">
        <ns0:is>
          <ns0:t>SES-0017</ns0:t>
        </ns0:is>
      </ns0:c>
      <ns0:c r="G18" s="4">
        <ns0:f>IF(COUNTIF(Script_List[Script ID],'Raw Data'!B18)=1,0,1)</ns0:f>
        <ns0:v>0</ns0:v>
      </ns0:c>
      <ns0:c r="H18" s="4">
        <ns0:f>IF(COUNTIF(RawData[Session ID],F18)=1,0,1)</ns0:f>
        <ns0:v>0</ns0:v>
      </ns0:c>
    </ns0:row>
    <ns0:row r="19">
      <ns0:c r="F19" s="4" t="inlineStr">
        <ns0:is>
          <ns0:t>SES-0018</ns0:t>
        </ns0:is>
      </ns0:c>
      <ns0:c r="G19" s="4">
        <ns0:f>IF(COUNTIF(Script_List[Script ID],'Raw Data'!B19)=1,0,1)</ns0:f>
        <ns0:v>0</ns0:v>
      </ns0:c>
      <ns0:c r="H19" s="4">
        <ns0:f>IF(COUNTIF(RawData[Session ID],F19)=1,0,1)</ns0:f>
        <ns0:v>0</ns0:v>
      </ns0:c>
    </ns0:row>
    <ns0:row r="20">
      <ns0:c r="F20" s="4" t="inlineStr">
        <ns0:is>
          <ns0:t>SES-0019</ns0:t>
        </ns0:is>
      </ns0:c>
      <ns0:c r="G20" s="4">
        <ns0:f>IF(COUNTIF(Script_List[Script ID],'Raw Data'!B20)=1,0,1)</ns0:f>
        <ns0:v>0</ns0:v>
      </ns0:c>
      <ns0:c r="H20" s="4">
        <ns0:f>IF(COUNTIF(RawData[Session ID],F20)=1,0,1)</ns0:f>
        <ns0:v>0</ns0:v>
      </ns0:c>
    </ns0:row>
    <ns0:row r="21">
      <ns0:c r="F21" s="4" t="inlineStr">
        <ns0:is>
          <ns0:t>SES-0020</ns0:t>
        </ns0:is>
      </ns0:c>
      <ns0:c r="G21" s="4">
        <ns0:f>IF(COUNTIF(Script_List[Script ID],'Raw Data'!B21)=1,0,1)</ns0:f>
        <ns0:v>0</ns0:v>
      </ns0:c>
      <ns0:c r="H21" s="4">
        <ns0:f>IF(COUNTIF(RawData[Session ID],F21)=1,0,1)</ns0:f>
        <ns0:v>0</ns0:v>
      </ns0:c>
    </ns0:row>
    <ns0:row r="22">
      <ns0:c r="F22" s="4" t="inlineStr">
        <ns0:is>
          <ns0:t>SES-0021</ns0:t>
        </ns0:is>
      </ns0:c>
      <ns0:c r="G22" s="4">
        <ns0:f>IF(COUNTIF(Script_List[Script ID],'Raw Data'!B22)=1,0,1)</ns0:f>
        <ns0:v>0</ns0:v>
      </ns0:c>
      <ns0:c r="H22" s="4">
        <ns0:f>IF(COUNTIF(RawData[Session ID],F22)=1,0,1)</ns0:f>
        <ns0:v>0</ns0:v>
      </ns0:c>
    </ns0:row>
    <ns0:row r="23">
      <ns0:c r="F23" s="4" t="inlineStr">
        <ns0:is>
          <ns0:t>SES-0022</ns0:t>
        </ns0:is>
      </ns0:c>
      <ns0:c r="G23" s="4">
        <ns0:f>IF(COUNTIF(Script_List[Script ID],'Raw Data'!B23)=1,0,1)</ns0:f>
        <ns0:v>0</ns0:v>
      </ns0:c>
      <ns0:c r="H23" s="4">
        <ns0:f>IF(COUNTIF(RawData[Session ID],F23)=1,0,1)</ns0:f>
        <ns0:v>0</ns0:v>
      </ns0:c>
    </ns0:row>
    <ns0:row r="24">
      <ns0:c r="F24" s="4" t="inlineStr">
        <ns0:is>
          <ns0:t>SES-0023</ns0:t>
        </ns0:is>
      </ns0:c>
      <ns0:c r="G24" s="4">
        <ns0:f>IF(COUNTIF(Script_List[Script ID],'Raw Data'!B24)=1,0,1)</ns0:f>
        <ns0:v>0</ns0:v>
      </ns0:c>
      <ns0:c r="H24" s="4">
        <ns0:f>IF(COUNTIF(RawData[Session ID],F24)=1,0,1)</ns0:f>
        <ns0:v>0</ns0:v>
      </ns0:c>
    </ns0:row>
    <ns0:row r="25">
      <ns0:c r="F25" s="4" t="inlineStr">
        <ns0:is>
          <ns0:t>SES-0024</ns0:t>
        </ns0:is>
      </ns0:c>
      <ns0:c r="G25" s="4">
        <ns0:f>IF(COUNTIF(Script_List[Script ID],'Raw Data'!B25)=1,0,1)</ns0:f>
        <ns0:v>0</ns0:v>
      </ns0:c>
      <ns0:c r="H25" s="4">
        <ns0:f>IF(COUNTIF(RawData[Session ID],F25)=1,0,1)</ns0:f>
        <ns0:v>0</ns0:v>
      </ns0:c>
    </ns0:row>
    <ns0:row r="26">
      <ns0:c r="F26" s="4" t="inlineStr">
        <ns0:is>
          <ns0:t>SES-0025</ns0:t>
        </ns0:is>
      </ns0:c>
      <ns0:c r="G26" s="4">
        <ns0:f>IF(COUNTIF(Script_List[Script ID],'Raw Data'!B26)=1,0,1)</ns0:f>
        <ns0:v>0</ns0:v>
      </ns0:c>
      <ns0:c r="H26" s="4">
        <ns0:f>IF(COUNTIF(RawData[Session ID],F26)=1,0,1)</ns0:f>
        <ns0:v>0</ns0:v>
      </ns0:c>
    </ns0:row>
    <ns0:row r="27">
      <ns0:c r="F27" s="4" t="inlineStr">
        <ns0:is>
          <ns0:t>SES-0026</ns0:t>
        </ns0:is>
      </ns0:c>
      <ns0:c r="G27" s="4">
        <ns0:f>IF(COUNTIF(Script_List[Script ID],'Raw Data'!B27)=1,0,1)</ns0:f>
        <ns0:v>0</ns0:v>
      </ns0:c>
      <ns0:c r="H27" s="4">
        <ns0:f>IF(COUNTIF(RawData[Session ID],F27)=1,0,1)</ns0:f>
        <ns0:v>0</ns0:v>
      </ns0:c>
    </ns0:row>
    <ns0:row r="28">
      <ns0:c r="F28" s="4" t="inlineStr">
        <ns0:is>
          <ns0:t>SES-0027</ns0:t>
        </ns0:is>
      </ns0:c>
      <ns0:c r="G28" s="4">
        <ns0:f>IF(COUNTIF(Script_List[Script ID],'Raw Data'!B28)=1,0,1)</ns0:f>
        <ns0:v>0</ns0:v>
      </ns0:c>
      <ns0:c r="H28" s="4">
        <ns0:f>IF(COUNTIF(RawData[Session ID],F28)=1,0,1)</ns0:f>
        <ns0:v>0</ns0:v>
      </ns0:c>
    </ns0:row>
    <ns0:row r="29">
      <ns0:c r="F29" s="4" t="inlineStr">
        <ns0:is>
          <ns0:t>SES-0028</ns0:t>
        </ns0:is>
      </ns0:c>
      <ns0:c r="G29" s="4">
        <ns0:f>IF(COUNTIF(Script_List[Script ID],'Raw Data'!B29)=1,0,1)</ns0:f>
        <ns0:v>0</ns0:v>
      </ns0:c>
      <ns0:c r="H29" s="4">
        <ns0:f>IF(COUNTIF(RawData[Session ID],F29)=1,0,1)</ns0:f>
        <ns0:v>0</ns0:v>
      </ns0:c>
    </ns0:row>
    <ns0:row r="30">
      <ns0:c r="F30" s="4" t="inlineStr">
        <ns0:is>
          <ns0:t>SES-0029</ns0:t>
        </ns0:is>
      </ns0:c>
      <ns0:c r="G30" s="4">
        <ns0:f>IF(COUNTIF(Script_List[Script ID],'Raw Data'!B30)=1,0,1)</ns0:f>
        <ns0:v>0</ns0:v>
      </ns0:c>
      <ns0:c r="H30" s="4">
        <ns0:f>IF(COUNTIF(RawData[Session ID],F30)=1,0,1)</ns0:f>
        <ns0:v>0</ns0:v>
      </ns0:c>
    </ns0:row>
    <ns0:row r="31">
      <ns0:c r="F31" s="4" t="inlineStr">
        <ns0:is>
          <ns0:t>SES-0030</ns0:t>
        </ns0:is>
      </ns0:c>
      <ns0:c r="G31" s="4">
        <ns0:f>IF(COUNTIF(Script_List[Script ID],'Raw Data'!B31)=1,0,1)</ns0:f>
        <ns0:v>0</ns0:v>
      </ns0:c>
      <ns0:c r="H31" s="4">
        <ns0:f>IF(COUNTIF(RawData[Session ID],F31)=1,0,1)</ns0:f>
        <ns0:v>0</ns0:v>
      </ns0:c>
    </ns0:row>
    <ns0:row r="32">
      <ns0:c r="F32" s="4" t="inlineStr">
        <ns0:is>
          <ns0:t>SES-0031</ns0:t>
        </ns0:is>
      </ns0:c>
      <ns0:c r="G32" s="4">
        <ns0:f>IF(COUNTIF(Script_List[Script ID],'Raw Data'!B32)=1,0,1)</ns0:f>
        <ns0:v>0</ns0:v>
      </ns0:c>
      <ns0:c r="H32" s="4">
        <ns0:f>IF(COUNTIF(RawData[Session ID],F32)=1,0,1)</ns0:f>
        <ns0:v>0</ns0:v>
      </ns0:c>
    </ns0:row>
    <ns0:row r="33">
      <ns0:c r="F33" s="4" t="inlineStr">
        <ns0:is>
          <ns0:t>SES-0032</ns0:t>
        </ns0:is>
      </ns0:c>
      <ns0:c r="G33" s="4">
        <ns0:f>IF(COUNTIF(Script_List[Script ID],'Raw Data'!B33)=1,0,1)</ns0:f>
        <ns0:v>0</ns0:v>
      </ns0:c>
      <ns0:c r="H33" s="4">
        <ns0:f>IF(COUNTIF(RawData[Session ID],F33)=1,0,1)</ns0:f>
        <ns0:v>0</ns0:v>
      </ns0:c>
    </ns0:row>
    <ns0:row r="34">
      <ns0:c r="F34" s="4" t="inlineStr">
        <ns0:is>
          <ns0:t>SES-0033</ns0:t>
        </ns0:is>
      </ns0:c>
      <ns0:c r="G34" s="4">
        <ns0:f>IF(COUNTIF(Script_List[Script ID],'Raw Data'!B34)=1,0,1)</ns0:f>
        <ns0:v>0</ns0:v>
      </ns0:c>
      <ns0:c r="H34" s="4">
        <ns0:f>IF(COUNTIF(RawData[Session ID],F34)=1,0,1)</ns0:f>
        <ns0:v>0</ns0:v>
      </ns0:c>
    </ns0:row>
    <ns0:row r="35">
      <ns0:c r="F35" s="4" t="inlineStr">
        <ns0:is>
          <ns0:t>SES-0034</ns0:t>
        </ns0:is>
      </ns0:c>
      <ns0:c r="G35" s="4">
        <ns0:f>IF(COUNTIF(Script_List[Script ID],'Raw Data'!B35)=1,0,1)</ns0:f>
        <ns0:v>0</ns0:v>
      </ns0:c>
      <ns0:c r="H35" s="4">
        <ns0:f>IF(COUNTIF(RawData[Session ID],F35)=1,0,1)</ns0:f>
        <ns0:v>0</ns0:v>
      </ns0:c>
    </ns0:row>
    <ns0:row r="36">
      <ns0:c r="F36" s="4" t="inlineStr">
        <ns0:is>
          <ns0:t>SES-0035</ns0:t>
        </ns0:is>
      </ns0:c>
      <ns0:c r="G36" s="4">
        <ns0:f>IF(COUNTIF(Script_List[Script ID],'Raw Data'!B36)=1,0,1)</ns0:f>
        <ns0:v>0</ns0:v>
      </ns0:c>
      <ns0:c r="H36" s="4">
        <ns0:f>IF(COUNTIF(RawData[Session ID],F36)=1,0,1)</ns0:f>
        <ns0:v>0</ns0:v>
      </ns0:c>
    </ns0:row>
    <ns0:row r="37">
      <ns0:c r="F37" s="4" t="inlineStr">
        <ns0:is>
          <ns0:t>SES-0036</ns0:t>
        </ns0:is>
      </ns0:c>
      <ns0:c r="G37" s="4">
        <ns0:f>IF(COUNTIF(Script_List[Script ID],'Raw Data'!B37)=1,0,1)</ns0:f>
        <ns0:v>0</ns0:v>
      </ns0:c>
      <ns0:c r="H37" s="4">
        <ns0:f>IF(COUNTIF(RawData[Session ID],F37)=1,0,1)</ns0:f>
        <ns0:v>0</ns0:v>
      </ns0:c>
    </ns0:row>
    <ns0:row r="38">
      <ns0:c r="F38" s="4" t="inlineStr">
        <ns0:is>
          <ns0:t>SES-0037</ns0:t>
        </ns0:is>
      </ns0:c>
      <ns0:c r="G38" s="4">
        <ns0:f>IF(COUNTIF(Script_List[Script ID],'Raw Data'!B38)=1,0,1)</ns0:f>
        <ns0:v>0</ns0:v>
      </ns0:c>
      <ns0:c r="H38" s="4">
        <ns0:f>IF(COUNTIF(RawData[Session ID],F38)=1,0,1)</ns0:f>
        <ns0:v>0</ns0:v>
      </ns0:c>
    </ns0:row>
    <ns0:row r="39">
      <ns0:c r="F39" s="4" t="inlineStr">
        <ns0:is>
          <ns0:t>SES-0038</ns0:t>
        </ns0:is>
      </ns0:c>
      <ns0:c r="G39" s="4">
        <ns0:f>IF(COUNTIF(Script_List[Script ID],'Raw Data'!B39)=1,0,1)</ns0:f>
        <ns0:v>0</ns0:v>
      </ns0:c>
      <ns0:c r="H39" s="4">
        <ns0:f>IF(COUNTIF(RawData[Session ID],F39)=1,0,1)</ns0:f>
        <ns0:v>0</ns0:v>
      </ns0:c>
    </ns0:row>
    <ns0:row r="40">
      <ns0:c r="F40" s="4" t="inlineStr">
        <ns0:is>
          <ns0:t>SES-0039</ns0:t>
        </ns0:is>
      </ns0:c>
      <ns0:c r="G40" s="4">
        <ns0:f>IF(COUNTIF(Script_List[Script ID],'Raw Data'!B40)=1,0,1)</ns0:f>
        <ns0:v>0</ns0:v>
      </ns0:c>
      <ns0:c r="H40" s="4">
        <ns0:f>IF(COUNTIF(RawData[Session ID],F40)=1,0,1)</ns0:f>
        <ns0:v>0</ns0:v>
      </ns0:c>
    </ns0:row>
    <ns0:row r="41">
      <ns0:c r="F41" s="4" t="inlineStr">
        <ns0:is>
          <ns0:t>SES-0040</ns0:t>
        </ns0:is>
      </ns0:c>
      <ns0:c r="G41" s="4">
        <ns0:f>IF(COUNTIF(Script_List[Script ID],'Raw Data'!B41)=1,0,1)</ns0:f>
        <ns0:v>0</ns0:v>
      </ns0:c>
      <ns0:c r="H41" s="4">
        <ns0:f>IF(COUNTIF(RawData[Session ID],F41)=1,0,1)</ns0:f>
        <ns0:v>0</ns0:v>
      </ns0:c>
    </ns0:row>
    <ns0:row r="42">
      <ns0:c r="F42" s="4" t="inlineStr">
        <ns0:is>
          <ns0:t>SES-0041</ns0:t>
        </ns0:is>
      </ns0:c>
      <ns0:c r="G42" s="4">
        <ns0:f>IF(COUNTIF(Script_List[Script ID],'Raw Data'!B42)=1,0,1)</ns0:f>
        <ns0:v>0</ns0:v>
      </ns0:c>
      <ns0:c r="H42" s="4">
        <ns0:f>IF(COUNTIF(RawData[Session ID],F42)=1,0,1)</ns0:f>
        <ns0:v>0</ns0:v>
      </ns0:c>
    </ns0:row>
    <ns0:row r="43">
      <ns0:c r="F43" s="4" t="inlineStr">
        <ns0:is>
          <ns0:t>SES-0042</ns0:t>
        </ns0:is>
      </ns0:c>
      <ns0:c r="G43" s="4">
        <ns0:f>IF(COUNTIF(Script_List[Script ID],'Raw Data'!B43)=1,0,1)</ns0:f>
        <ns0:v>0</ns0:v>
      </ns0:c>
      <ns0:c r="H43" s="4">
        <ns0:f>IF(COUNTIF(RawData[Session ID],F43)=1,0,1)</ns0:f>
        <ns0:v>0</ns0:v>
      </ns0:c>
    </ns0:row>
    <ns0:row r="44">
      <ns0:c r="F44" s="4" t="inlineStr">
        <ns0:is>
          <ns0:t>SES-0043</ns0:t>
        </ns0:is>
      </ns0:c>
      <ns0:c r="G44" s="4">
        <ns0:f>IF(COUNTIF(Script_List[Script ID],'Raw Data'!B44)=1,0,1)</ns0:f>
        <ns0:v>0</ns0:v>
      </ns0:c>
      <ns0:c r="H44" s="4">
        <ns0:f>IF(COUNTIF(RawData[Session ID],F44)=1,0,1)</ns0:f>
        <ns0:v>0</ns0:v>
      </ns0:c>
    </ns0:row>
    <ns0:row r="45">
      <ns0:c r="F45" s="4" t="inlineStr">
        <ns0:is>
          <ns0:t>SES-0044</ns0:t>
        </ns0:is>
      </ns0:c>
      <ns0:c r="G45" s="4">
        <ns0:f>IF(COUNTIF(Script_List[Script ID],'Raw Data'!B45)=1,0,1)</ns0:f>
        <ns0:v>0</ns0:v>
      </ns0:c>
      <ns0:c r="H45" s="4">
        <ns0:f>IF(COUNTIF(RawData[Session ID],F45)=1,0,1)</ns0:f>
        <ns0:v>0</ns0:v>
      </ns0:c>
    </ns0:row>
    <ns0:row r="46">
      <ns0:c r="F46" s="4" t="inlineStr">
        <ns0:is>
          <ns0:t>SES-0045</ns0:t>
        </ns0:is>
      </ns0:c>
      <ns0:c r="G46" s="4">
        <ns0:f>IF(COUNTIF(Script_List[Script ID],'Raw Data'!B46)=1,0,1)</ns0:f>
        <ns0:v>0</ns0:v>
      </ns0:c>
      <ns0:c r="H46" s="4">
        <ns0:f>IF(COUNTIF(RawData[Session ID],F46)=1,0,1)</ns0:f>
        <ns0:v>0</ns0:v>
      </ns0:c>
    </ns0:row>
    <ns0:row r="47">
      <ns0:c r="F47" s="4" t="inlineStr">
        <ns0:is>
          <ns0:t>SES-0046</ns0:t>
        </ns0:is>
      </ns0:c>
      <ns0:c r="G47" s="4">
        <ns0:f>IF(COUNTIF(Script_List[Script ID],'Raw Data'!B47)=1,0,1)</ns0:f>
        <ns0:v>0</ns0:v>
      </ns0:c>
      <ns0:c r="H47" s="4">
        <ns0:f>IF(COUNTIF(RawData[Session ID],F47)=1,0,1)</ns0:f>
        <ns0:v>0</ns0:v>
      </ns0:c>
    </ns0:row>
    <ns0:row r="48">
      <ns0:c r="F48" s="4" t="inlineStr">
        <ns0:is>
          <ns0:t>SES-0047</ns0:t>
        </ns0:is>
      </ns0:c>
      <ns0:c r="G48" s="4">
        <ns0:f>IF(COUNTIF(Script_List[Script ID],'Raw Data'!B48)=1,0,1)</ns0:f>
        <ns0:v>0</ns0:v>
      </ns0:c>
      <ns0:c r="H48" s="4">
        <ns0:f>IF(COUNTIF(RawData[Session ID],F48)=1,0,1)</ns0:f>
        <ns0:v>0</ns0:v>
      </ns0:c>
    </ns0:row>
    <ns0:row r="49">
      <ns0:c r="F49" s="4" t="inlineStr">
        <ns0:is>
          <ns0:t>SES-0048</ns0:t>
        </ns0:is>
      </ns0:c>
      <ns0:c r="G49" s="4">
        <ns0:f>IF(COUNTIF(Script_List[Script ID],'Raw Data'!B49)=1,0,1)</ns0:f>
        <ns0:v>0</ns0:v>
      </ns0:c>
      <ns0:c r="H49" s="4">
        <ns0:f>IF(COUNTIF(RawData[Session ID],F49)=1,0,1)</ns0:f>
        <ns0:v>0</ns0:v>
      </ns0:c>
    </ns0:row>
    <ns0:row r="50">
      <ns0:c r="F50" s="4" t="inlineStr">
        <ns0:is>
          <ns0:t>SES-0049</ns0:t>
        </ns0:is>
      </ns0:c>
      <ns0:c r="G50" s="4">
        <ns0:f>IF(COUNTIF(Script_List[Script ID],'Raw Data'!B50)=1,0,1)</ns0:f>
        <ns0:v>0</ns0:v>
      </ns0:c>
      <ns0:c r="H50" s="4">
        <ns0:f>IF(COUNTIF(RawData[Session ID],F50)=1,0,1)</ns0:f>
        <ns0:v>0</ns0:v>
      </ns0:c>
    </ns0:row>
    <ns0:row r="51">
      <ns0:c r="F51" s="4" t="inlineStr">
        <ns0:is>
          <ns0:t>SES-0050</ns0:t>
        </ns0:is>
      </ns0:c>
      <ns0:c r="G51" s="4">
        <ns0:f>IF(COUNTIF(Script_List[Script ID],'Raw Data'!B51)=1,0,1)</ns0:f>
        <ns0:v>0</ns0:v>
      </ns0:c>
      <ns0:c r="H51" s="4">
        <ns0:f>IF(COUNTIF(RawData[Session ID],F51)=1,0,1)</ns0:f>
        <ns0:v>0</ns0:v>
      </ns0:c>
    </ns0:row>
    <ns0:row r="52">
      <ns0:c r="F52" s="4" t="inlineStr">
        <ns0:is>
          <ns0:t>SES-0051</ns0:t>
        </ns0:is>
      </ns0:c>
      <ns0:c r="G52" s="4">
        <ns0:f>IF(COUNTIF(Script_List[Script ID],'Raw Data'!B52)=1,0,1)</ns0:f>
        <ns0:v>0</ns0:v>
      </ns0:c>
      <ns0:c r="H52" s="4">
        <ns0:f>IF(COUNTIF(RawData[Session ID],F52)=1,0,1)</ns0:f>
        <ns0:v>0</ns0:v>
      </ns0:c>
    </ns0:row>
    <ns0:row r="53">
      <ns0:c r="F53" s="4" t="inlineStr">
        <ns0:is>
          <ns0:t>SES-0052</ns0:t>
        </ns0:is>
      </ns0:c>
      <ns0:c r="G53" s="4">
        <ns0:f>IF(COUNTIF(Script_List[Script ID],'Raw Data'!B53)=1,0,1)</ns0:f>
        <ns0:v>0</ns0:v>
      </ns0:c>
      <ns0:c r="H53" s="4">
        <ns0:f>IF(COUNTIF(RawData[Session ID],F53)=1,0,1)</ns0:f>
        <ns0:v>0</ns0:v>
      </ns0:c>
    </ns0:row>
    <ns0:row r="54">
      <ns0:c r="F54" s="4" t="inlineStr">
        <ns0:is>
          <ns0:t>SES-0053</ns0:t>
        </ns0:is>
      </ns0:c>
      <ns0:c r="G54" s="4">
        <ns0:f>IF(COUNTIF(Script_List[Script ID],'Raw Data'!B54)=1,0,1)</ns0:f>
        <ns0:v>0</ns0:v>
      </ns0:c>
      <ns0:c r="H54" s="4">
        <ns0:f>IF(COUNTIF(RawData[Session ID],F54)=1,0,1)</ns0:f>
        <ns0:v>0</ns0:v>
      </ns0:c>
    </ns0:row>
    <ns0:row r="55">
      <ns0:c r="F55" s="4" t="inlineStr">
        <ns0:is>
          <ns0:t>SES-0054</ns0:t>
        </ns0:is>
      </ns0:c>
      <ns0:c r="G55" s="4">
        <ns0:f>IF(COUNTIF(Script_List[Script ID],'Raw Data'!B55)=1,0,1)</ns0:f>
        <ns0:v>0</ns0:v>
      </ns0:c>
      <ns0:c r="H55" s="4">
        <ns0:f>IF(COUNTIF(RawData[Session ID],F55)=1,0,1)</ns0:f>
        <ns0:v>0</ns0:v>
      </ns0:c>
    </ns0:row>
    <ns0:row r="56">
      <ns0:c r="F56" s="4" t="inlineStr">
        <ns0:is>
          <ns0:t>SES-0055</ns0:t>
        </ns0:is>
      </ns0:c>
      <ns0:c r="G56" s="4">
        <ns0:f>IF(COUNTIF(Script_List[Script ID],'Raw Data'!B56)=1,0,1)</ns0:f>
        <ns0:v>0</ns0:v>
      </ns0:c>
      <ns0:c r="H56" s="4">
        <ns0:f>IF(COUNTIF(RawData[Session ID],F56)=1,0,1)</ns0:f>
        <ns0:v>0</ns0:v>
      </ns0:c>
    </ns0:row>
    <ns0:row r="57">
      <ns0:c r="F57" s="4" t="inlineStr">
        <ns0:is>
          <ns0:t>SES-0056</ns0:t>
        </ns0:is>
      </ns0:c>
      <ns0:c r="G57" s="4">
        <ns0:f>IF(COUNTIF(Script_List[Script ID],'Raw Data'!B57)=1,0,1)</ns0:f>
        <ns0:v>0</ns0:v>
      </ns0:c>
      <ns0:c r="H57" s="4">
        <ns0:f>IF(COUNTIF(RawData[Session ID],F57)=1,0,1)</ns0:f>
        <ns0:v>0</ns0:v>
      </ns0:c>
    </ns0:row>
    <ns0:row r="58">
      <ns0:c r="F58" s="4" t="inlineStr">
        <ns0:is>
          <ns0:t>SES-0057</ns0:t>
        </ns0:is>
      </ns0:c>
      <ns0:c r="G58" s="4">
        <ns0:f>IF(COUNTIF(Script_List[Script ID],'Raw Data'!B58)=1,0,1)</ns0:f>
        <ns0:v>0</ns0:v>
      </ns0:c>
      <ns0:c r="H58" s="4">
        <ns0:f>IF(COUNTIF(RawData[Session ID],F58)=1,0,1)</ns0:f>
        <ns0:v>0</ns0:v>
      </ns0:c>
    </ns0:row>
    <ns0:row r="59">
      <ns0:c r="F59" s="4" t="inlineStr">
        <ns0:is>
          <ns0:t>SES-0058</ns0:t>
        </ns0:is>
      </ns0:c>
      <ns0:c r="G59" s="4">
        <ns0:f>IF(COUNTIF(Script_List[Script ID],'Raw Data'!B59)=1,0,1)</ns0:f>
        <ns0:v>0</ns0:v>
      </ns0:c>
      <ns0:c r="H59" s="4">
        <ns0:f>IF(COUNTIF(RawData[Session ID],F59)=1,0,1)</ns0:f>
        <ns0:v>0</ns0:v>
      </ns0:c>
    </ns0:row>
    <ns0:row r="60">
      <ns0:c r="F60" s="4" t="inlineStr">
        <ns0:is>
          <ns0:t>SES-0059</ns0:t>
        </ns0:is>
      </ns0:c>
      <ns0:c r="G60" s="4">
        <ns0:f>IF(COUNTIF(Script_List[Script ID],'Raw Data'!B60)=1,0,1)</ns0:f>
        <ns0:v>0</ns0:v>
      </ns0:c>
      <ns0:c r="H60" s="4">
        <ns0:f>IF(COUNTIF(RawData[Session ID],F60)=1,0,1)</ns0:f>
        <ns0:v>0</ns0:v>
      </ns0:c>
    </ns0:row>
    <ns0:row r="61">
      <ns0:c r="F61" s="4" t="inlineStr">
        <ns0:is>
          <ns0:t>SES-0060</ns0:t>
        </ns0:is>
      </ns0:c>
      <ns0:c r="G61" s="4">
        <ns0:f>IF(COUNTIF(Script_List[Script ID],'Raw Data'!B61)=1,0,1)</ns0:f>
        <ns0:v>0</ns0:v>
      </ns0:c>
      <ns0:c r="H61" s="4">
        <ns0:f>IF(COUNTIF(RawData[Session ID],F61)=1,0,1)</ns0:f>
        <ns0:v>0</ns0:v>
      </ns0:c>
    </ns0:row>
    <ns0:row r="62">
      <ns0:c r="F62" s="4" t="inlineStr">
        <ns0:is>
          <ns0:t>SES-0061</ns0:t>
        </ns0:is>
      </ns0:c>
      <ns0:c r="G62" s="4">
        <ns0:f>IF(COUNTIF(Script_List[Script ID],'Raw Data'!B62)=1,0,1)</ns0:f>
        <ns0:v>0</ns0:v>
      </ns0:c>
      <ns0:c r="H62" s="4">
        <ns0:f>IF(COUNTIF(RawData[Session ID],F62)=1,0,1)</ns0:f>
        <ns0:v>0</ns0:v>
      </ns0:c>
    </ns0:row>
    <ns0:row r="63">
      <ns0:c r="F63" s="4" t="inlineStr">
        <ns0:is>
          <ns0:t>SES-0062</ns0:t>
        </ns0:is>
      </ns0:c>
      <ns0:c r="G63" s="4">
        <ns0:f>IF(COUNTIF(Script_List[Script ID],'Raw Data'!B63)=1,0,1)</ns0:f>
        <ns0:v>0</ns0:v>
      </ns0:c>
      <ns0:c r="H63" s="4">
        <ns0:f>IF(COUNTIF(RawData[Session ID],F63)=1,0,1)</ns0:f>
        <ns0:v>0</ns0:v>
      </ns0:c>
    </ns0:row>
    <ns0:row r="64">
      <ns0:c r="F64" s="4" t="inlineStr">
        <ns0:is>
          <ns0:t>SES-0063</ns0:t>
        </ns0:is>
      </ns0:c>
      <ns0:c r="G64" s="4">
        <ns0:f>IF(COUNTIF(Script_List[Script ID],'Raw Data'!B64)=1,0,1)</ns0:f>
        <ns0:v>0</ns0:v>
      </ns0:c>
      <ns0:c r="H64" s="4">
        <ns0:f>IF(COUNTIF(RawData[Session ID],F64)=1,0,1)</ns0:f>
        <ns0:v>0</ns0:v>
      </ns0:c>
    </ns0:row>
    <ns0:row r="65">
      <ns0:c r="F65" s="4" t="inlineStr">
        <ns0:is>
          <ns0:t>SES-0064</ns0:t>
        </ns0:is>
      </ns0:c>
      <ns0:c r="G65" s="4">
        <ns0:f>IF(COUNTIF(Script_List[Script ID],'Raw Data'!B65)=1,0,1)</ns0:f>
        <ns0:v>0</ns0:v>
      </ns0:c>
      <ns0:c r="H65" s="4">
        <ns0:f>IF(COUNTIF(RawData[Session ID],F65)=1,0,1)</ns0:f>
        <ns0:v>0</ns0:v>
      </ns0:c>
    </ns0:row>
    <ns0:row r="66">
      <ns0:c r="F66" s="4" t="inlineStr">
        <ns0:is>
          <ns0:t>SES-0065</ns0:t>
        </ns0:is>
      </ns0:c>
      <ns0:c r="G66" s="4">
        <ns0:f>IF(COUNTIF(Script_List[Script ID],'Raw Data'!B66)=1,0,1)</ns0:f>
        <ns0:v>0</ns0:v>
      </ns0:c>
      <ns0:c r="H66" s="4">
        <ns0:f>IF(COUNTIF(RawData[Session ID],F66)=1,0,1)</ns0:f>
        <ns0:v>0</ns0:v>
      </ns0:c>
    </ns0:row>
    <ns0:row r="67">
      <ns0:c r="F67" s="4" t="inlineStr">
        <ns0:is>
          <ns0:t>SES-0066</ns0:t>
        </ns0:is>
      </ns0:c>
      <ns0:c r="G67" s="4">
        <ns0:f>IF(COUNTIF(Script_List[Script ID],'Raw Data'!B67)=1,0,1)</ns0:f>
        <ns0:v>0</ns0:v>
      </ns0:c>
      <ns0:c r="H67" s="4">
        <ns0:f>IF(COUNTIF(RawData[Session ID],F67)=1,0,1)</ns0:f>
        <ns0:v>0</ns0:v>
      </ns0:c>
    </ns0:row>
    <ns0:row r="68">
      <ns0:c r="F68" s="4" t="inlineStr">
        <ns0:is>
          <ns0:t>SES-0067</ns0:t>
        </ns0:is>
      </ns0:c>
      <ns0:c r="G68" s="4">
        <ns0:f>IF(COUNTIF(Script_List[Script ID],'Raw Data'!B68)=1,0,1)</ns0:f>
        <ns0:v>0</ns0:v>
      </ns0:c>
      <ns0:c r="H68" s="4">
        <ns0:f>IF(COUNTIF(RawData[Session ID],F68)=1,0,1)</ns0:f>
        <ns0:v>0</ns0:v>
      </ns0:c>
    </ns0:row>
    <ns0:row r="69">
      <ns0:c r="F69" s="4" t="inlineStr">
        <ns0:is>
          <ns0:t>SES-0068</ns0:t>
        </ns0:is>
      </ns0:c>
      <ns0:c r="G69" s="4">
        <ns0:f>IF(COUNTIF(Script_List[Script ID],'Raw Data'!B69)=1,0,1)</ns0:f>
        <ns0:v>0</ns0:v>
      </ns0:c>
      <ns0:c r="H69" s="4">
        <ns0:f>IF(COUNTIF(RawData[Session ID],F69)=1,0,1)</ns0:f>
        <ns0:v>0</ns0:v>
      </ns0:c>
    </ns0:row>
    <ns0:row r="70">
      <ns0:c r="F70" s="4" t="inlineStr">
        <ns0:is>
          <ns0:t>SES-0069</ns0:t>
        </ns0:is>
      </ns0:c>
      <ns0:c r="G70" s="4">
        <ns0:f>IF(COUNTIF(Script_List[Script ID],'Raw Data'!B70)=1,0,1)</ns0:f>
        <ns0:v>0</ns0:v>
      </ns0:c>
      <ns0:c r="H70" s="4">
        <ns0:f>IF(COUNTIF(RawData[Session ID],F70)=1,0,1)</ns0:f>
        <ns0:v>0</ns0:v>
      </ns0:c>
    </ns0:row>
    <ns0:row r="71">
      <ns0:c r="F71" s="4" t="inlineStr">
        <ns0:is>
          <ns0:t>SES-0070</ns0:t>
        </ns0:is>
      </ns0:c>
      <ns0:c r="G71" s="4">
        <ns0:f>IF(COUNTIF(Script_List[Script ID],'Raw Data'!B71)=1,0,1)</ns0:f>
        <ns0:v>0</ns0:v>
      </ns0:c>
      <ns0:c r="H71" s="4">
        <ns0:f>IF(COUNTIF(RawData[Session ID],F71)=1,0,1)</ns0:f>
        <ns0:v>0</ns0:v>
      </ns0:c>
    </ns0:row>
    <ns0:row r="72">
      <ns0:c r="F72" s="4" t="inlineStr">
        <ns0:is>
          <ns0:t>SES-0071</ns0:t>
        </ns0:is>
      </ns0:c>
      <ns0:c r="G72" s="4">
        <ns0:f>IF(COUNTIF(Script_List[Script ID],'Raw Data'!B72)=1,0,1)</ns0:f>
        <ns0:v>0</ns0:v>
      </ns0:c>
      <ns0:c r="H72" s="4">
        <ns0:f>IF(COUNTIF(RawData[Session ID],F72)=1,0,1)</ns0:f>
        <ns0:v>0</ns0:v>
      </ns0:c>
    </ns0:row>
    <ns0:row r="73">
      <ns0:c r="F73" s="4" t="inlineStr">
        <ns0:is>
          <ns0:t>SES-0072</ns0:t>
        </ns0:is>
      </ns0:c>
      <ns0:c r="G73" s="4">
        <ns0:f>IF(COUNTIF(Script_List[Script ID],'Raw Data'!B73)=1,0,1)</ns0:f>
        <ns0:v>0</ns0:v>
      </ns0:c>
      <ns0:c r="H73" s="4">
        <ns0:f>IF(COUNTIF(RawData[Session ID],F73)=1,0,1)</ns0:f>
        <ns0:v>0</ns0:v>
      </ns0:c>
    </ns0:row>
    <ns0:row r="74">
      <ns0:c r="F74" s="4" t="inlineStr">
        <ns0:is>
          <ns0:t>SES-0073</ns0:t>
        </ns0:is>
      </ns0:c>
      <ns0:c r="G74" s="4">
        <ns0:f>IF(COUNTIF(Script_List[Script ID],'Raw Data'!B74)=1,0,1)</ns0:f>
        <ns0:v>0</ns0:v>
      </ns0:c>
      <ns0:c r="H74" s="4">
        <ns0:f>IF(COUNTIF(RawData[Session ID],F74)=1,0,1)</ns0:f>
        <ns0:v>0</ns0:v>
      </ns0:c>
    </ns0:row>
    <ns0:row r="75">
      <ns0:c r="F75" s="4" t="inlineStr">
        <ns0:is>
          <ns0:t>SES-0074</ns0:t>
        </ns0:is>
      </ns0:c>
      <ns0:c r="G75" s="4">
        <ns0:f>IF(COUNTIF(Script_List[Script ID],'Raw Data'!B75)=1,0,1)</ns0:f>
        <ns0:v>0</ns0:v>
      </ns0:c>
      <ns0:c r="H75" s="4">
        <ns0:f>IF(COUNTIF(RawData[Session ID],F75)=1,0,1)</ns0:f>
        <ns0:v>0</ns0:v>
      </ns0:c>
    </ns0:row>
    <ns0:row r="76">
      <ns0:c r="F76" s="4" t="inlineStr">
        <ns0:is>
          <ns0:t>SES-0075</ns0:t>
        </ns0:is>
      </ns0:c>
      <ns0:c r="G76" s="4">
        <ns0:f>IF(COUNTIF(Script_List[Script ID],'Raw Data'!B76)=1,0,1)</ns0:f>
        <ns0:v>0</ns0:v>
      </ns0:c>
      <ns0:c r="H76" s="4">
        <ns0:f>IF(COUNTIF(RawData[Session ID],F76)=1,0,1)</ns0:f>
        <ns0:v>0</ns0:v>
      </ns0:c>
    </ns0:row>
    <ns0:row r="77">
      <ns0:c r="F77" s="4" t="inlineStr">
        <ns0:is>
          <ns0:t>SES-0076</ns0:t>
        </ns0:is>
      </ns0:c>
      <ns0:c r="G77" s="4">
        <ns0:f>IF(COUNTIF(Script_List[Script ID],'Raw Data'!B77)=1,0,1)</ns0:f>
        <ns0:v>0</ns0:v>
      </ns0:c>
      <ns0:c r="H77" s="4">
        <ns0:f>IF(COUNTIF(RawData[Session ID],F77)=1,0,1)</ns0:f>
        <ns0:v>0</ns0:v>
      </ns0:c>
    </ns0:row>
    <ns0:row r="78">
      <ns0:c r="F78" s="4" t="inlineStr">
        <ns0:is>
          <ns0:t>SES-0077</ns0:t>
        </ns0:is>
      </ns0:c>
      <ns0:c r="G78" s="4">
        <ns0:f>IF(COUNTIF(Script_List[Script ID],'Raw Data'!B78)=1,0,1)</ns0:f>
        <ns0:v>0</ns0:v>
      </ns0:c>
      <ns0:c r="H78" s="4">
        <ns0:f>IF(COUNTIF(RawData[Session ID],F78)=1,0,1)</ns0:f>
        <ns0:v>0</ns0:v>
      </ns0:c>
    </ns0:row>
    <ns0:row r="79">
      <ns0:c r="F79" s="4" t="inlineStr">
        <ns0:is>
          <ns0:t>SES-0078</ns0:t>
        </ns0:is>
      </ns0:c>
      <ns0:c r="G79" s="4">
        <ns0:f>IF(COUNTIF(Script_List[Script ID],'Raw Data'!B79)=1,0,1)</ns0:f>
        <ns0:v>0</ns0:v>
      </ns0:c>
      <ns0:c r="H79" s="4">
        <ns0:f>IF(COUNTIF(RawData[Session ID],F79)=1,0,1)</ns0:f>
        <ns0:v>0</ns0:v>
      </ns0:c>
    </ns0:row>
    <ns0:row r="80">
      <ns0:c r="F80" s="4" t="inlineStr">
        <ns0:is>
          <ns0:t>SES-0079</ns0:t>
        </ns0:is>
      </ns0:c>
      <ns0:c r="G80" s="4">
        <ns0:f>IF(COUNTIF(Script_List[Script ID],'Raw Data'!B80)=1,0,1)</ns0:f>
        <ns0:v>0</ns0:v>
      </ns0:c>
      <ns0:c r="H80" s="4">
        <ns0:f>IF(COUNTIF(RawData[Session ID],F80)=1,0,1)</ns0:f>
        <ns0:v>0</ns0:v>
      </ns0:c>
    </ns0:row>
    <ns0:row r="81">
      <ns0:c r="F81" s="4" t="inlineStr">
        <ns0:is>
          <ns0:t>SES-0080</ns0:t>
        </ns0:is>
      </ns0:c>
      <ns0:c r="G81" s="4">
        <ns0:f>IF(COUNTIF(Script_List[Script ID],'Raw Data'!B81)=1,0,1)</ns0:f>
        <ns0:v>0</ns0:v>
      </ns0:c>
      <ns0:c r="H81" s="4">
        <ns0:f>IF(COUNTIF(RawData[Session ID],F81)=1,0,1)</ns0:f>
        <ns0:v>0</ns0:v>
      </ns0:c>
    </ns0:row>
    <ns0:row r="82">
      <ns0:c r="F82" s="4" t="inlineStr">
        <ns0:is>
          <ns0:t>SES-0081</ns0:t>
        </ns0:is>
      </ns0:c>
      <ns0:c r="G82" s="4">
        <ns0:f>IF(COUNTIF(Script_List[Script ID],'Raw Data'!B82)=1,0,1)</ns0:f>
        <ns0:v>0</ns0:v>
      </ns0:c>
      <ns0:c r="H82" s="4">
        <ns0:f>IF(COUNTIF(RawData[Session ID],F82)=1,0,1)</ns0:f>
        <ns0:v>0</ns0:v>
      </ns0:c>
    </ns0:row>
    <ns0:row r="83">
      <ns0:c r="F83" s="4" t="inlineStr">
        <ns0:is>
          <ns0:t>SES-0082</ns0:t>
        </ns0:is>
      </ns0:c>
      <ns0:c r="G83" s="4">
        <ns0:f>IF(COUNTIF(Script_List[Script ID],'Raw Data'!B83)=1,0,1)</ns0:f>
        <ns0:v>0</ns0:v>
      </ns0:c>
      <ns0:c r="H83" s="4">
        <ns0:f>IF(COUNTIF(RawData[Session ID],F83)=1,0,1)</ns0:f>
        <ns0:v>0</ns0:v>
      </ns0:c>
    </ns0:row>
    <ns0:row r="84">
      <ns0:c r="F84" s="4" t="inlineStr">
        <ns0:is>
          <ns0:t>SES-0083</ns0:t>
        </ns0:is>
      </ns0:c>
      <ns0:c r="G84" s="4">
        <ns0:f>IF(COUNTIF(Script_List[Script ID],'Raw Data'!B84)=1,0,1)</ns0:f>
        <ns0:v>0</ns0:v>
      </ns0:c>
      <ns0:c r="H84" s="4">
        <ns0:f>IF(COUNTIF(RawData[Session ID],F84)=1,0,1)</ns0:f>
        <ns0:v>0</ns0:v>
      </ns0:c>
    </ns0:row>
    <ns0:row r="85">
      <ns0:c r="F85" s="4" t="inlineStr">
        <ns0:is>
          <ns0:t>SES-0084</ns0:t>
        </ns0:is>
      </ns0:c>
      <ns0:c r="G85" s="4">
        <ns0:f>IF(COUNTIF(Script_List[Script ID],'Raw Data'!B85)=1,0,1)</ns0:f>
        <ns0:v>0</ns0:v>
      </ns0:c>
      <ns0:c r="H85" s="4">
        <ns0:f>IF(COUNTIF(RawData[Session ID],F85)=1,0,1)</ns0:f>
        <ns0:v>0</ns0:v>
      </ns0:c>
    </ns0:row>
    <ns0:row r="86">
      <ns0:c r="F86" s="4" t="inlineStr">
        <ns0:is>
          <ns0:t>SES-0085</ns0:t>
        </ns0:is>
      </ns0:c>
      <ns0:c r="G86" s="4">
        <ns0:f>IF(COUNTIF(Script_List[Script ID],'Raw Data'!B86)=1,0,1)</ns0:f>
        <ns0:v>0</ns0:v>
      </ns0:c>
      <ns0:c r="H86" s="4">
        <ns0:f>IF(COUNTIF(RawData[Session ID],F86)=1,0,1)</ns0:f>
        <ns0:v>0</ns0:v>
      </ns0:c>
    </ns0:row>
    <ns0:row r="87">
      <ns0:c r="F87" s="4" t="inlineStr">
        <ns0:is>
          <ns0:t>SES-0086</ns0:t>
        </ns0:is>
      </ns0:c>
      <ns0:c r="G87" s="4">
        <ns0:f>IF(COUNTIF(Script_List[Script ID],'Raw Data'!B87)=1,0,1)</ns0:f>
        <ns0:v>0</ns0:v>
      </ns0:c>
      <ns0:c r="H87" s="4">
        <ns0:f>IF(COUNTIF(RawData[Session ID],F87)=1,0,1)</ns0:f>
        <ns0:v>0</ns0:v>
      </ns0:c>
    </ns0:row>
    <ns0:row r="88">
      <ns0:c r="F88" s="4" t="inlineStr">
        <ns0:is>
          <ns0:t>SES-0087</ns0:t>
        </ns0:is>
      </ns0:c>
      <ns0:c r="G88" s="4">
        <ns0:f>IF(COUNTIF(Script_List[Script ID],'Raw Data'!B88)=1,0,1)</ns0:f>
        <ns0:v>0</ns0:v>
      </ns0:c>
      <ns0:c r="H88" s="4">
        <ns0:f>IF(COUNTIF(RawData[Session ID],F88)=1,0,1)</ns0:f>
        <ns0:v>0</ns0:v>
      </ns0:c>
    </ns0:row>
    <ns0:row r="89">
      <ns0:c r="F89" s="4" t="inlineStr">
        <ns0:is>
          <ns0:t>SES-0088</ns0:t>
        </ns0:is>
      </ns0:c>
      <ns0:c r="G89" s="4">
        <ns0:f>IF(COUNTIF(Script_List[Script ID],'Raw Data'!B89)=1,0,1)</ns0:f>
        <ns0:v>0</ns0:v>
      </ns0:c>
      <ns0:c r="H89" s="4">
        <ns0:f>IF(COUNTIF(RawData[Session ID],F89)=1,0,1)</ns0:f>
        <ns0:v>0</ns0:v>
      </ns0:c>
    </ns0:row>
    <ns0:row r="90">
      <ns0:c r="F90" s="4" t="inlineStr">
        <ns0:is>
          <ns0:t>SES-0089</ns0:t>
        </ns0:is>
      </ns0:c>
      <ns0:c r="G90" s="4">
        <ns0:f>IF(COUNTIF(Script_List[Script ID],'Raw Data'!B90)=1,0,1)</ns0:f>
        <ns0:v>0</ns0:v>
      </ns0:c>
      <ns0:c r="H90" s="4">
        <ns0:f>IF(COUNTIF(RawData[Session ID],F90)=1,0,1)</ns0:f>
        <ns0:v>0</ns0:v>
      </ns0:c>
    </ns0:row>
    <ns0:row r="91">
      <ns0:c r="F91" s="4" t="inlineStr">
        <ns0:is>
          <ns0:t>SES-0090</ns0:t>
        </ns0:is>
      </ns0:c>
      <ns0:c r="G91" s="4">
        <ns0:f>IF(COUNTIF(Script_List[Script ID],'Raw Data'!B91)=1,0,1)</ns0:f>
        <ns0:v>0</ns0:v>
      </ns0:c>
      <ns0:c r="H91" s="4">
        <ns0:f>IF(COUNTIF(RawData[Session ID],F91)=1,0,1)</ns0:f>
        <ns0:v>0</ns0:v>
      </ns0:c>
    </ns0:row>
    <ns0:row r="92">
      <ns0:c r="F92" s="4" t="inlineStr">
        <ns0:is>
          <ns0:t>SES-0091</ns0:t>
        </ns0:is>
      </ns0:c>
      <ns0:c r="G92" s="4">
        <ns0:f>IF(COUNTIF(Script_List[Script ID],'Raw Data'!B92)=1,0,1)</ns0:f>
        <ns0:v>0</ns0:v>
      </ns0:c>
      <ns0:c r="H92" s="4">
        <ns0:f>IF(COUNTIF(RawData[Session ID],F92)=1,0,1)</ns0:f>
        <ns0:v>0</ns0:v>
      </ns0:c>
    </ns0:row>
    <ns0:row r="93">
      <ns0:c r="F93" s="4" t="inlineStr">
        <ns0:is>
          <ns0:t>SES-0092</ns0:t>
        </ns0:is>
      </ns0:c>
      <ns0:c r="G93" s="4">
        <ns0:f>IF(COUNTIF(Script_List[Script ID],'Raw Data'!B93)=1,0,1)</ns0:f>
        <ns0:v>0</ns0:v>
      </ns0:c>
      <ns0:c r="H93" s="4">
        <ns0:f>IF(COUNTIF(RawData[Session ID],F93)=1,0,1)</ns0:f>
        <ns0:v>0</ns0:v>
      </ns0:c>
    </ns0:row>
    <ns0:row r="94">
      <ns0:c r="F94" s="4" t="inlineStr">
        <ns0:is>
          <ns0:t>SES-0093</ns0:t>
        </ns0:is>
      </ns0:c>
      <ns0:c r="G94" s="4">
        <ns0:f>IF(COUNTIF(Script_List[Script ID],'Raw Data'!B94)=1,0,1)</ns0:f>
        <ns0:v>0</ns0:v>
      </ns0:c>
      <ns0:c r="H94" s="4">
        <ns0:f>IF(COUNTIF(RawData[Session ID],F94)=1,0,1)</ns0:f>
        <ns0:v>0</ns0:v>
      </ns0:c>
    </ns0:row>
    <ns0:row r="95">
      <ns0:c r="F95" s="4" t="inlineStr">
        <ns0:is>
          <ns0:t>SES-0094</ns0:t>
        </ns0:is>
      </ns0:c>
      <ns0:c r="G95" s="4">
        <ns0:f>IF(COUNTIF(Script_List[Script ID],'Raw Data'!B95)=1,0,1)</ns0:f>
        <ns0:v>0</ns0:v>
      </ns0:c>
      <ns0:c r="H95" s="4">
        <ns0:f>IF(COUNTIF(RawData[Session ID],F95)=1,0,1)</ns0:f>
        <ns0:v>0</ns0:v>
      </ns0:c>
    </ns0:row>
    <ns0:row r="96">
      <ns0:c r="F96" s="4" t="inlineStr">
        <ns0:is>
          <ns0:t>SES-0095</ns0:t>
        </ns0:is>
      </ns0:c>
      <ns0:c r="G96" s="4">
        <ns0:f>IF(COUNTIF(Script_List[Script ID],'Raw Data'!B96)=1,0,1)</ns0:f>
        <ns0:v>0</ns0:v>
      </ns0:c>
      <ns0:c r="H96" s="4">
        <ns0:f>IF(COUNTIF(RawData[Session ID],F96)=1,0,1)</ns0:f>
        <ns0:v>0</ns0:v>
      </ns0:c>
    </ns0:row>
    <ns0:row r="97">
      <ns0:c r="F97" s="4" t="inlineStr">
        <ns0:is>
          <ns0:t>SES-0096</ns0:t>
        </ns0:is>
      </ns0:c>
      <ns0:c r="G97" s="4">
        <ns0:f>IF(COUNTIF(Script_List[Script ID],'Raw Data'!B97)=1,0,1)</ns0:f>
        <ns0:v>0</ns0:v>
      </ns0:c>
      <ns0:c r="H97" s="4">
        <ns0:f>IF(COUNTIF(RawData[Session ID],F97)=1,0,1)</ns0:f>
        <ns0:v>0</ns0:v>
      </ns0:c>
    </ns0:row>
    <ns0:row r="98">
      <ns0:c r="F98" s="4" t="inlineStr">
        <ns0:is>
          <ns0:t>SES-0097</ns0:t>
        </ns0:is>
      </ns0:c>
      <ns0:c r="G98" s="4">
        <ns0:f>IF(COUNTIF(Script_List[Script ID],'Raw Data'!B98)=1,0,1)</ns0:f>
        <ns0:v>0</ns0:v>
      </ns0:c>
      <ns0:c r="H98" s="4">
        <ns0:f>IF(COUNTIF(RawData[Session ID],F98)=1,0,1)</ns0:f>
        <ns0:v>0</ns0:v>
      </ns0:c>
    </ns0:row>
    <ns0:row r="99">
      <ns0:c r="F99" s="4" t="inlineStr">
        <ns0:is>
          <ns0:t>SES-0098</ns0:t>
        </ns0:is>
      </ns0:c>
      <ns0:c r="G99" s="4">
        <ns0:f>IF(COUNTIF(Script_List[Script ID],'Raw Data'!B99)=1,0,1)</ns0:f>
        <ns0:v>0</ns0:v>
      </ns0:c>
      <ns0:c r="H99" s="4">
        <ns0:f>IF(COUNTIF(RawData[Session ID],F99)=1,0,1)</ns0:f>
        <ns0:v>0</ns0:v>
      </ns0:c>
    </ns0:row>
    <ns0:row r="100">
      <ns0:c r="F100" s="4" t="inlineStr">
        <ns0:is>
          <ns0:t>SES-0099</ns0:t>
        </ns0:is>
      </ns0:c>
      <ns0:c r="G100" s="4">
        <ns0:f>IF(COUNTIF(Script_List[Script ID],'Raw Data'!B100)=1,0,1)</ns0:f>
        <ns0:v>0</ns0:v>
      </ns0:c>
      <ns0:c r="H100" s="4">
        <ns0:f>IF(COUNTIF(RawData[Session ID],F100)=1,0,1)</ns0:f>
        <ns0:v>0</ns0:v>
      </ns0:c>
    </ns0:row>
    <ns0:row r="101">
      <ns0:c r="F101" s="4" t="inlineStr">
        <ns0:is>
          <ns0:t>SES-0100</ns0:t>
        </ns0:is>
      </ns0:c>
      <ns0:c r="G101" s="4">
        <ns0:f>IF(COUNTIF(Script_List[Script ID],'Raw Data'!B101)=1,0,1)</ns0:f>
        <ns0:v>0</ns0:v>
      </ns0:c>
      <ns0:c r="H101" s="4">
        <ns0:f>IF(COUNTIF(RawData[Session ID],F101)=1,0,1)</ns0:f>
        <ns0:v>0</ns0:v>
      </ns0:c>
    </ns0:row>
    <ns0:row r="102">
      <ns0:c r="F102" s="4" t="inlineStr">
        <ns0:is>
          <ns0:t>SES-0101</ns0:t>
        </ns0:is>
      </ns0:c>
      <ns0:c r="G102" s="4">
        <ns0:f>IF(COUNTIF(Script_List[Script ID],'Raw Data'!B102)=1,0,1)</ns0:f>
        <ns0:v>0</ns0:v>
      </ns0:c>
      <ns0:c r="H102" s="4">
        <ns0:f>IF(COUNTIF(RawData[Session ID],F102)=1,0,1)</ns0:f>
        <ns0:v>0</ns0:v>
      </ns0:c>
    </ns0:row>
    <ns0:row r="103">
      <ns0:c r="F103" s="4" t="inlineStr">
        <ns0:is>
          <ns0:t>SES-0102</ns0:t>
        </ns0:is>
      </ns0:c>
      <ns0:c r="G103" s="4">
        <ns0:f>IF(COUNTIF(Script_List[Script ID],'Raw Data'!B103)=1,0,1)</ns0:f>
        <ns0:v>0</ns0:v>
      </ns0:c>
      <ns0:c r="H103" s="4">
        <ns0:f>IF(COUNTIF(RawData[Session ID],F103)=1,0,1)</ns0:f>
        <ns0:v>0</ns0:v>
      </ns0:c>
    </ns0:row>
    <ns0:row r="104">
      <ns0:c r="F104" s="4" t="inlineStr">
        <ns0:is>
          <ns0:t>SES-0103</ns0:t>
        </ns0:is>
      </ns0:c>
      <ns0:c r="G104" s="4">
        <ns0:f>IF(COUNTIF(Script_List[Script ID],'Raw Data'!B104)=1,0,1)</ns0:f>
        <ns0:v>0</ns0:v>
      </ns0:c>
      <ns0:c r="H104" s="4">
        <ns0:f>IF(COUNTIF(RawData[Session ID],F104)=1,0,1)</ns0:f>
        <ns0:v>0</ns0:v>
      </ns0:c>
    </ns0:row>
    <ns0:row r="105">
      <ns0:c r="F105" s="4" t="inlineStr">
        <ns0:is>
          <ns0:t>SES-0104</ns0:t>
        </ns0:is>
      </ns0:c>
      <ns0:c r="G105" s="4">
        <ns0:f>IF(COUNTIF(Script_List[Script ID],'Raw Data'!B105)=1,0,1)</ns0:f>
        <ns0:v>0</ns0:v>
      </ns0:c>
      <ns0:c r="H105" s="4">
        <ns0:f>IF(COUNTIF(RawData[Session ID],F105)=1,0,1)</ns0:f>
        <ns0:v>0</ns0:v>
      </ns0:c>
    </ns0:row>
    <ns0:row r="106">
      <ns0:c r="F106" s="4" t="inlineStr">
        <ns0:is>
          <ns0:t>SES-0105</ns0:t>
        </ns0:is>
      </ns0:c>
      <ns0:c r="G106" s="4">
        <ns0:f>IF(COUNTIF(Script_List[Script ID],'Raw Data'!B106)=1,0,1)</ns0:f>
        <ns0:v>0</ns0:v>
      </ns0:c>
      <ns0:c r="H106" s="4">
        <ns0:f>IF(COUNTIF(RawData[Session ID],F106)=1,0,1)</ns0:f>
        <ns0:v>0</ns0:v>
      </ns0:c>
    </ns0:row>
    <ns0:row r="107">
      <ns0:c r="F107" s="4" t="inlineStr">
        <ns0:is>
          <ns0:t>SES-0106</ns0:t>
        </ns0:is>
      </ns0:c>
      <ns0:c r="G107" s="4">
        <ns0:f>IF(COUNTIF(Script_List[Script ID],'Raw Data'!B107)=1,0,1)</ns0:f>
        <ns0:v>0</ns0:v>
      </ns0:c>
      <ns0:c r="H107" s="4">
        <ns0:f>IF(COUNTIF(RawData[Session ID],F107)=1,0,1)</ns0:f>
        <ns0:v>0</ns0:v>
      </ns0:c>
    </ns0:row>
    <ns0:row r="108">
      <ns0:c r="F108" s="4" t="inlineStr">
        <ns0:is>
          <ns0:t>SES-0107</ns0:t>
        </ns0:is>
      </ns0:c>
      <ns0:c r="G108" s="4">
        <ns0:f>IF(COUNTIF(Script_List[Script ID],'Raw Data'!B108)=1,0,1)</ns0:f>
        <ns0:v>0</ns0:v>
      </ns0:c>
      <ns0:c r="H108" s="4">
        <ns0:f>IF(COUNTIF(RawData[Session ID],F108)=1,0,1)</ns0:f>
        <ns0:v>0</ns0:v>
      </ns0:c>
    </ns0:row>
    <ns0:row r="109">
      <ns0:c r="F109" s="4" t="inlineStr">
        <ns0:is>
          <ns0:t>SES-0108</ns0:t>
        </ns0:is>
      </ns0:c>
      <ns0:c r="G109" s="4">
        <ns0:f>IF(COUNTIF(Script_List[Script ID],'Raw Data'!B109)=1,0,1)</ns0:f>
        <ns0:v>0</ns0:v>
      </ns0:c>
      <ns0:c r="H109" s="4">
        <ns0:f>IF(COUNTIF(RawData[Session ID],F109)=1,0,1)</ns0:f>
        <ns0:v>0</ns0:v>
      </ns0:c>
    </ns0:row>
    <ns0:row r="110">
      <ns0:c r="F110" s="4" t="inlineStr">
        <ns0:is>
          <ns0:t>SES-0109</ns0:t>
        </ns0:is>
      </ns0:c>
      <ns0:c r="G110" s="4">
        <ns0:f>IF(COUNTIF(Script_List[Script ID],'Raw Data'!B110)=1,0,1)</ns0:f>
        <ns0:v>0</ns0:v>
      </ns0:c>
      <ns0:c r="H110" s="4">
        <ns0:f>IF(COUNTIF(RawData[Session ID],F110)=1,0,1)</ns0:f>
        <ns0:v>0</ns0:v>
      </ns0:c>
    </ns0:row>
    <ns0:row r="111">
      <ns0:c r="F111" s="4" t="inlineStr">
        <ns0:is>
          <ns0:t>SES-0110</ns0:t>
        </ns0:is>
      </ns0:c>
      <ns0:c r="G111" s="4">
        <ns0:f>IF(COUNTIF(Script_List[Script ID],'Raw Data'!B111)=1,0,1)</ns0:f>
        <ns0:v>0</ns0:v>
      </ns0:c>
      <ns0:c r="H111" s="4">
        <ns0:f>IF(COUNTIF(RawData[Session ID],F111)=1,0,1)</ns0:f>
        <ns0:v>0</ns0:v>
      </ns0:c>
    </ns0:row>
    <ns0:row r="112">
      <ns0:c r="F112" s="4" t="inlineStr">
        <ns0:is>
          <ns0:t>SES-0111</ns0:t>
        </ns0:is>
      </ns0:c>
      <ns0:c r="G112" s="4">
        <ns0:f>IF(COUNTIF(Script_List[Script ID],'Raw Data'!B112)=1,0,1)</ns0:f>
        <ns0:v>0</ns0:v>
      </ns0:c>
      <ns0:c r="H112" s="4">
        <ns0:f>IF(COUNTIF(RawData[Session ID],F112)=1,0,1)</ns0:f>
        <ns0:v>0</ns0:v>
      </ns0:c>
    </ns0:row>
    <ns0:row r="113">
      <ns0:c r="F113" s="4" t="inlineStr">
        <ns0:is>
          <ns0:t>SES-0112</ns0:t>
        </ns0:is>
      </ns0:c>
      <ns0:c r="G113" s="4">
        <ns0:f>IF(COUNTIF(Script_List[Script ID],'Raw Data'!B113)=1,0,1)</ns0:f>
        <ns0:v>0</ns0:v>
      </ns0:c>
      <ns0:c r="H113" s="4">
        <ns0:f>IF(COUNTIF(RawData[Session ID],F113)=1,0,1)</ns0:f>
        <ns0:v>0</ns0:v>
      </ns0:c>
    </ns0:row>
    <ns0:row r="114">
      <ns0:c r="F114" s="4" t="inlineStr">
        <ns0:is>
          <ns0:t>SES-0113</ns0:t>
        </ns0:is>
      </ns0:c>
      <ns0:c r="G114" s="4">
        <ns0:f>IF(COUNTIF(Script_List[Script ID],'Raw Data'!B114)=1,0,1)</ns0:f>
        <ns0:v>0</ns0:v>
      </ns0:c>
      <ns0:c r="H114" s="4">
        <ns0:f>IF(COUNTIF(RawData[Session ID],F114)=1,0,1)</ns0:f>
        <ns0:v>0</ns0:v>
      </ns0:c>
    </ns0:row>
    <ns0:row r="115">
      <ns0:c r="F115" s="4" t="inlineStr">
        <ns0:is>
          <ns0:t>SES-0114</ns0:t>
        </ns0:is>
      </ns0:c>
      <ns0:c r="G115" s="4">
        <ns0:f>IF(COUNTIF(Script_List[Script ID],'Raw Data'!B115)=1,0,1)</ns0:f>
        <ns0:v>0</ns0:v>
      </ns0:c>
      <ns0:c r="H115" s="4">
        <ns0:f>IF(COUNTIF(RawData[Session ID],F115)=1,0,1)</ns0:f>
        <ns0:v>0</ns0:v>
      </ns0:c>
    </ns0:row>
    <ns0:row r="116">
      <ns0:c r="F116" s="4" t="inlineStr">
        <ns0:is>
          <ns0:t>SES-0115</ns0:t>
        </ns0:is>
      </ns0:c>
      <ns0:c r="G116" s="4">
        <ns0:f>IF(COUNTIF(Script_List[Script ID],'Raw Data'!B116)=1,0,1)</ns0:f>
        <ns0:v>0</ns0:v>
      </ns0:c>
      <ns0:c r="H116" s="4">
        <ns0:f>IF(COUNTIF(RawData[Session ID],F116)=1,0,1)</ns0:f>
        <ns0:v>0</ns0:v>
      </ns0:c>
    </ns0:row>
    <ns0:row r="117">
      <ns0:c r="F117" s="4" t="inlineStr">
        <ns0:is>
          <ns0:t>SES-0116</ns0:t>
        </ns0:is>
      </ns0:c>
      <ns0:c r="G117" s="4">
        <ns0:f>IF(COUNTIF(Script_List[Script ID],'Raw Data'!B117)=1,0,1)</ns0:f>
        <ns0:v>0</ns0:v>
      </ns0:c>
      <ns0:c r="H117" s="4">
        <ns0:f>IF(COUNTIF(RawData[Session ID],F117)=1,0,1)</ns0:f>
        <ns0:v>0</ns0:v>
      </ns0:c>
    </ns0:row>
    <ns0:row r="118">
      <ns0:c r="F118" s="4" t="inlineStr">
        <ns0:is>
          <ns0:t>SES-0117</ns0:t>
        </ns0:is>
      </ns0:c>
      <ns0:c r="G118" s="4">
        <ns0:f>IF(COUNTIF(Script_List[Script ID],'Raw Data'!B118)=1,0,1)</ns0:f>
        <ns0:v>0</ns0:v>
      </ns0:c>
      <ns0:c r="H118" s="4">
        <ns0:f>IF(COUNTIF(RawData[Session ID],F118)=1,0,1)</ns0:f>
        <ns0:v>0</ns0:v>
      </ns0:c>
    </ns0:row>
    <ns0:row r="119">
      <ns0:c r="F119" s="4" t="inlineStr">
        <ns0:is>
          <ns0:t>SES-0118</ns0:t>
        </ns0:is>
      </ns0:c>
      <ns0:c r="G119" s="4">
        <ns0:f>IF(COUNTIF(Script_List[Script ID],'Raw Data'!B119)=1,0,1)</ns0:f>
        <ns0:v>0</ns0:v>
      </ns0:c>
      <ns0:c r="H119" s="4">
        <ns0:f>IF(COUNTIF(RawData[Session ID],F119)=1,0,1)</ns0:f>
        <ns0:v>0</ns0:v>
      </ns0:c>
    </ns0:row>
    <ns0:row r="120">
      <ns0:c r="F120" s="4" t="inlineStr">
        <ns0:is>
          <ns0:t>SES-0119</ns0:t>
        </ns0:is>
      </ns0:c>
      <ns0:c r="G120" s="4">
        <ns0:f>IF(COUNTIF(Script_List[Script ID],'Raw Data'!B120)=1,0,1)</ns0:f>
        <ns0:v>0</ns0:v>
      </ns0:c>
      <ns0:c r="H120" s="4">
        <ns0:f>IF(COUNTIF(RawData[Session ID],F120)=1,0,1)</ns0:f>
        <ns0:v>0</ns0:v>
      </ns0:c>
    </ns0:row>
    <ns0:row r="121">
      <ns0:c r="F121" s="4" t="inlineStr">
        <ns0:is>
          <ns0:t>SES-0120</ns0:t>
        </ns0:is>
      </ns0:c>
      <ns0:c r="G121" s="4">
        <ns0:f>IF(COUNTIF(Script_List[Script ID],'Raw Data'!B121)=1,0,1)</ns0:f>
        <ns0:v>0</ns0:v>
      </ns0:c>
      <ns0:c r="H121" s="4">
        <ns0:f>IF(COUNTIF(RawData[Session ID],F121)=1,0,1)</ns0:f>
        <ns0:v>0</ns0:v>
      </ns0:c>
    </ns0:row>
    <ns0:row r="122">
      <ns0:c r="F122" s="4" t="inlineStr">
        <ns0:is>
          <ns0:t>SES-0121</ns0:t>
        </ns0:is>
      </ns0:c>
      <ns0:c r="G122" s="4">
        <ns0:f>IF(COUNTIF(Script_List[Script ID],'Raw Data'!B122)=1,0,1)</ns0:f>
        <ns0:v>0</ns0:v>
      </ns0:c>
      <ns0:c r="H122" s="4">
        <ns0:f>IF(COUNTIF(RawData[Session ID],F122)=1,0,1)</ns0:f>
        <ns0:v>0</ns0:v>
      </ns0:c>
    </ns0:row>
    <ns0:row r="123">
      <ns0:c r="F123" s="4" t="inlineStr">
        <ns0:is>
          <ns0:t>SES-0122</ns0:t>
        </ns0:is>
      </ns0:c>
      <ns0:c r="G123" s="4">
        <ns0:f>IF(COUNTIF(Script_List[Script ID],'Raw Data'!B123)=1,0,1)</ns0:f>
        <ns0:v>0</ns0:v>
      </ns0:c>
      <ns0:c r="H123" s="4">
        <ns0:f>IF(COUNTIF(RawData[Session ID],F123)=1,0,1)</ns0:f>
        <ns0:v>0</ns0:v>
      </ns0:c>
    </ns0:row>
    <ns0:row r="124">
      <ns0:c r="F124" s="4" t="inlineStr">
        <ns0:is>
          <ns0:t>SES-0123</ns0:t>
        </ns0:is>
      </ns0:c>
      <ns0:c r="G124" s="4">
        <ns0:f>IF(COUNTIF(Script_List[Script ID],'Raw Data'!B124)=1,0,1)</ns0:f>
        <ns0:v>0</ns0:v>
      </ns0:c>
      <ns0:c r="H124" s="4">
        <ns0:f>IF(COUNTIF(RawData[Session ID],F124)=1,0,1)</ns0:f>
        <ns0:v>0</ns0:v>
      </ns0:c>
    </ns0:row>
    <ns0:row r="125">
      <ns0:c r="F125" s="4" t="inlineStr">
        <ns0:is>
          <ns0:t>SES-0124</ns0:t>
        </ns0:is>
      </ns0:c>
      <ns0:c r="G125" s="4">
        <ns0:f>IF(COUNTIF(Script_List[Script ID],'Raw Data'!B125)=1,0,1)</ns0:f>
        <ns0:v>0</ns0:v>
      </ns0:c>
      <ns0:c r="H125" s="4">
        <ns0:f>IF(COUNTIF(RawData[Session ID],F125)=1,0,1)</ns0:f>
        <ns0:v>0</ns0:v>
      </ns0:c>
    </ns0:row>
    <ns0:row r="126">
      <ns0:c r="F126" s="4" t="inlineStr">
        <ns0:is>
          <ns0:t>SES-0125</ns0:t>
        </ns0:is>
      </ns0:c>
      <ns0:c r="G126" s="4">
        <ns0:f>IF(COUNTIF(Script_List[Script ID],'Raw Data'!B126)=1,0,1)</ns0:f>
        <ns0:v>0</ns0:v>
      </ns0:c>
      <ns0:c r="H126" s="4">
        <ns0:f>IF(COUNTIF(RawData[Session ID],F126)=1,0,1)</ns0:f>
        <ns0:v>0</ns0:v>
      </ns0:c>
    </ns0:row>
    <ns0:row r="127">
      <ns0:c r="F127" s="4" t="inlineStr">
        <ns0:is>
          <ns0:t>SES-0126</ns0:t>
        </ns0:is>
      </ns0:c>
      <ns0:c r="G127" s="4">
        <ns0:f>IF(COUNTIF(Script_List[Script ID],'Raw Data'!B127)=1,0,1)</ns0:f>
        <ns0:v>0</ns0:v>
      </ns0:c>
      <ns0:c r="H127" s="4">
        <ns0:f>IF(COUNTIF(RawData[Session ID],F127)=1,0,1)</ns0:f>
        <ns0:v>0</ns0:v>
      </ns0:c>
    </ns0:row>
    <ns0:row r="128">
      <ns0:c r="F128" s="4" t="inlineStr">
        <ns0:is>
          <ns0:t>SES-0127</ns0:t>
        </ns0:is>
      </ns0:c>
      <ns0:c r="G128" s="4">
        <ns0:f>IF(COUNTIF(Script_List[Script ID],'Raw Data'!B128)=1,0,1)</ns0:f>
        <ns0:v>0</ns0:v>
      </ns0:c>
      <ns0:c r="H128" s="4">
        <ns0:f>IF(COUNTIF(RawData[Session ID],F128)=1,0,1)</ns0:f>
        <ns0:v>0</ns0:v>
      </ns0:c>
    </ns0:row>
    <ns0:row r="129">
      <ns0:c r="F129" s="4" t="inlineStr">
        <ns0:is>
          <ns0:t>SES-0128</ns0:t>
        </ns0:is>
      </ns0:c>
      <ns0:c r="G129" s="4">
        <ns0:f>IF(COUNTIF(Script_List[Script ID],'Raw Data'!B129)=1,0,1)</ns0:f>
        <ns0:v>0</ns0:v>
      </ns0:c>
      <ns0:c r="H129" s="4">
        <ns0:f>IF(COUNTIF(RawData[Session ID],F129)=1,0,1)</ns0:f>
        <ns0:v>0</ns0:v>
      </ns0:c>
    </ns0:row>
    <ns0:row r="130">
      <ns0:c r="F130" s="4" t="inlineStr">
        <ns0:is>
          <ns0:t>SES-0129</ns0:t>
        </ns0:is>
      </ns0:c>
      <ns0:c r="G130" s="4">
        <ns0:f>IF(COUNTIF(Script_List[Script ID],'Raw Data'!B130)=1,0,1)</ns0:f>
        <ns0:v>0</ns0:v>
      </ns0:c>
      <ns0:c r="H130" s="4">
        <ns0:f>IF(COUNTIF(RawData[Session ID],F130)=1,0,1)</ns0:f>
        <ns0:v>0</ns0:v>
      </ns0:c>
    </ns0:row>
    <ns0:row r="131">
      <ns0:c r="F131" s="4" t="inlineStr">
        <ns0:is>
          <ns0:t>SES-0130</ns0:t>
        </ns0:is>
      </ns0:c>
      <ns0:c r="G131" s="4">
        <ns0:f>IF(COUNTIF(Script_List[Script ID],'Raw Data'!B131)=1,0,1)</ns0:f>
        <ns0:v>0</ns0:v>
      </ns0:c>
      <ns0:c r="H131" s="4">
        <ns0:f>IF(COUNTIF(RawData[Session ID],F131)=1,0,1)</ns0:f>
        <ns0:v>0</ns0:v>
      </ns0:c>
    </ns0:row>
    <ns0:row r="132">
      <ns0:c r="F132" s="4" t="inlineStr">
        <ns0:is>
          <ns0:t>SES-0131</ns0:t>
        </ns0:is>
      </ns0:c>
      <ns0:c r="G132" s="4">
        <ns0:f>IF(COUNTIF(Script_List[Script ID],'Raw Data'!B132)=1,0,1)</ns0:f>
        <ns0:v>0</ns0:v>
      </ns0:c>
      <ns0:c r="H132" s="4">
        <ns0:f>IF(COUNTIF(RawData[Session ID],F132)=1,0,1)</ns0:f>
        <ns0:v>0</ns0:v>
      </ns0:c>
    </ns0:row>
    <ns0:row r="133">
      <ns0:c r="F133" s="4" t="inlineStr">
        <ns0:is>
          <ns0:t>SES-0132</ns0:t>
        </ns0:is>
      </ns0:c>
      <ns0:c r="G133" s="4">
        <ns0:f>IF(COUNTIF(Script_List[Script ID],'Raw Data'!B133)=1,0,1)</ns0:f>
        <ns0:v>0</ns0:v>
      </ns0:c>
      <ns0:c r="H133" s="4">
        <ns0:f>IF(COUNTIF(RawData[Session ID],F133)=1,0,1)</ns0:f>
        <ns0:v>0</ns0:v>
      </ns0:c>
    </ns0:row>
    <ns0:row r="134">
      <ns0:c r="F134" s="4" t="inlineStr">
        <ns0:is>
          <ns0:t>SES-0133</ns0:t>
        </ns0:is>
      </ns0:c>
      <ns0:c r="G134" s="4">
        <ns0:f>IF(COUNTIF(Script_List[Script ID],'Raw Data'!B134)=1,0,1)</ns0:f>
        <ns0:v>0</ns0:v>
      </ns0:c>
      <ns0:c r="H134" s="4">
        <ns0:f>IF(COUNTIF(RawData[Session ID],F134)=1,0,1)</ns0:f>
        <ns0:v>0</ns0:v>
      </ns0:c>
    </ns0:row>
    <ns0:row r="135">
      <ns0:c r="F135" s="4" t="inlineStr">
        <ns0:is>
          <ns0:t>SES-0134</ns0:t>
        </ns0:is>
      </ns0:c>
      <ns0:c r="G135" s="4">
        <ns0:f>IF(COUNTIF(Script_List[Script ID],'Raw Data'!B135)=1,0,1)</ns0:f>
        <ns0:v>0</ns0:v>
      </ns0:c>
      <ns0:c r="H135" s="4">
        <ns0:f>IF(COUNTIF(RawData[Session ID],F135)=1,0,1)</ns0:f>
        <ns0:v>0</ns0:v>
      </ns0:c>
    </ns0:row>
    <ns0:row r="136">
      <ns0:c r="F136" s="4" t="inlineStr">
        <ns0:is>
          <ns0:t>SES-0135</ns0:t>
        </ns0:is>
      </ns0:c>
      <ns0:c r="G136" s="4">
        <ns0:f>IF(COUNTIF(Script_List[Script ID],'Raw Data'!B136)=1,0,1)</ns0:f>
        <ns0:v>0</ns0:v>
      </ns0:c>
      <ns0:c r="H136" s="4">
        <ns0:f>IF(COUNTIF(RawData[Session ID],F136)=1,0,1)</ns0:f>
        <ns0:v>0</ns0:v>
      </ns0:c>
    </ns0:row>
    <ns0:row r="137">
      <ns0:c r="F137" s="4" t="inlineStr">
        <ns0:is>
          <ns0:t>SES-0136</ns0:t>
        </ns0:is>
      </ns0:c>
      <ns0:c r="G137" s="4">
        <ns0:f>IF(COUNTIF(Script_List[Script ID],'Raw Data'!B137)=1,0,1)</ns0:f>
        <ns0:v>0</ns0:v>
      </ns0:c>
      <ns0:c r="H137" s="4">
        <ns0:f>IF(COUNTIF(RawData[Session ID],F137)=1,0,1)</ns0:f>
        <ns0:v>0</ns0:v>
      </ns0:c>
    </ns0:row>
    <ns0:row r="138">
      <ns0:c r="F138" s="4" t="inlineStr">
        <ns0:is>
          <ns0:t>SES-0137</ns0:t>
        </ns0:is>
      </ns0:c>
      <ns0:c r="G138" s="4">
        <ns0:f>IF(COUNTIF(Script_List[Script ID],'Raw Data'!B138)=1,0,1)</ns0:f>
        <ns0:v>0</ns0:v>
      </ns0:c>
      <ns0:c r="H138" s="4">
        <ns0:f>IF(COUNTIF(RawData[Session ID],F138)=1,0,1)</ns0:f>
        <ns0:v>0</ns0:v>
      </ns0:c>
    </ns0:row>
    <ns0:row r="139">
      <ns0:c r="F139" s="4" t="inlineStr">
        <ns0:is>
          <ns0:t>SES-0138</ns0:t>
        </ns0:is>
      </ns0:c>
      <ns0:c r="G139" s="4">
        <ns0:f>IF(COUNTIF(Script_List[Script ID],'Raw Data'!B139)=1,0,1)</ns0:f>
        <ns0:v>0</ns0:v>
      </ns0:c>
      <ns0:c r="H139" s="4">
        <ns0:f>IF(COUNTIF(RawData[Session ID],F139)=1,0,1)</ns0:f>
        <ns0:v>0</ns0:v>
      </ns0:c>
    </ns0:row>
    <ns0:row r="140">
      <ns0:c r="F140" s="4" t="inlineStr">
        <ns0:is>
          <ns0:t>SES-0139</ns0:t>
        </ns0:is>
      </ns0:c>
      <ns0:c r="G140" s="4">
        <ns0:f>IF(COUNTIF(Script_List[Script ID],'Raw Data'!B140)=1,0,1)</ns0:f>
        <ns0:v>0</ns0:v>
      </ns0:c>
      <ns0:c r="H140" s="4">
        <ns0:f>IF(COUNTIF(RawData[Session ID],F140)=1,0,1)</ns0:f>
        <ns0:v>0</ns0:v>
      </ns0:c>
    </ns0:row>
    <ns0:row r="141">
      <ns0:c r="F141" s="4" t="inlineStr">
        <ns0:is>
          <ns0:t>SES-0140</ns0:t>
        </ns0:is>
      </ns0:c>
      <ns0:c r="G141" s="4">
        <ns0:f>IF(COUNTIF(Script_List[Script ID],'Raw Data'!B141)=1,0,1)</ns0:f>
        <ns0:v>0</ns0:v>
      </ns0:c>
      <ns0:c r="H141" s="4">
        <ns0:f>IF(COUNTIF(RawData[Session ID],F141)=1,0,1)</ns0:f>
        <ns0:v>0</ns0:v>
      </ns0:c>
    </ns0:row>
    <ns0:row r="142">
      <ns0:c r="F142" s="4" t="inlineStr">
        <ns0:is>
          <ns0:t>SES-0141</ns0:t>
        </ns0:is>
      </ns0:c>
      <ns0:c r="G142" s="4">
        <ns0:f>IF(COUNTIF(Script_List[Script ID],'Raw Data'!B142)=1,0,1)</ns0:f>
        <ns0:v>0</ns0:v>
      </ns0:c>
      <ns0:c r="H142" s="4">
        <ns0:f>IF(COUNTIF(RawData[Session ID],F142)=1,0,1)</ns0:f>
        <ns0:v>0</ns0:v>
      </ns0:c>
    </ns0:row>
    <ns0:row r="143">
      <ns0:c r="F143" s="4" t="inlineStr">
        <ns0:is>
          <ns0:t>SES-0142</ns0:t>
        </ns0:is>
      </ns0:c>
      <ns0:c r="G143" s="4">
        <ns0:f>IF(COUNTIF(Script_List[Script ID],'Raw Data'!B143)=1,0,1)</ns0:f>
        <ns0:v>0</ns0:v>
      </ns0:c>
      <ns0:c r="H143" s="4">
        <ns0:f>IF(COUNTIF(RawData[Session ID],F143)=1,0,1)</ns0:f>
        <ns0:v>0</ns0:v>
      </ns0:c>
    </ns0:row>
    <ns0:row r="144">
      <ns0:c r="F144" s="4" t="inlineStr">
        <ns0:is>
          <ns0:t>SES-0143</ns0:t>
        </ns0:is>
      </ns0:c>
      <ns0:c r="G144" s="4">
        <ns0:f>IF(COUNTIF(Script_List[Script ID],'Raw Data'!B144)=1,0,1)</ns0:f>
        <ns0:v>0</ns0:v>
      </ns0:c>
      <ns0:c r="H144" s="4">
        <ns0:f>IF(COUNTIF(RawData[Session ID],F144)=1,0,1)</ns0:f>
        <ns0:v>0</ns0:v>
      </ns0:c>
    </ns0:row>
    <ns0:row r="145">
      <ns0:c r="F145" s="4" t="inlineStr">
        <ns0:is>
          <ns0:t>SES-0144</ns0:t>
        </ns0:is>
      </ns0:c>
      <ns0:c r="G145" s="4">
        <ns0:f>IF(COUNTIF(Script_List[Script ID],'Raw Data'!B145)=1,0,1)</ns0:f>
        <ns0:v>0</ns0:v>
      </ns0:c>
      <ns0:c r="H145" s="4">
        <ns0:f>IF(COUNTIF(RawData[Session ID],F145)=1,0,1)</ns0:f>
        <ns0:v>0</ns0:v>
      </ns0:c>
    </ns0:row>
    <ns0:row r="146">
      <ns0:c r="F146" s="4" t="inlineStr">
        <ns0:is>
          <ns0:t>SES-0145</ns0:t>
        </ns0:is>
      </ns0:c>
      <ns0:c r="G146" s="4">
        <ns0:f>IF(COUNTIF(Script_List[Script ID],'Raw Data'!B146)=1,0,1)</ns0:f>
        <ns0:v>0</ns0:v>
      </ns0:c>
      <ns0:c r="H146" s="4">
        <ns0:f>IF(COUNTIF(RawData[Session ID],F146)=1,0,1)</ns0:f>
        <ns0:v>0</ns0:v>
      </ns0:c>
    </ns0:row>
    <ns0:row r="147">
      <ns0:c r="F147" s="4" t="inlineStr">
        <ns0:is>
          <ns0:t>SES-0146</ns0:t>
        </ns0:is>
      </ns0:c>
      <ns0:c r="G147" s="4">
        <ns0:f>IF(COUNTIF(Script_List[Script ID],'Raw Data'!B147)=1,0,1)</ns0:f>
        <ns0:v>0</ns0:v>
      </ns0:c>
      <ns0:c r="H147" s="4">
        <ns0:f>IF(COUNTIF(RawData[Session ID],F147)=1,0,1)</ns0:f>
        <ns0:v>0</ns0:v>
      </ns0:c>
    </ns0:row>
    <ns0:row r="148">
      <ns0:c r="F148" s="4" t="inlineStr">
        <ns0:is>
          <ns0:t>SES-0147</ns0:t>
        </ns0:is>
      </ns0:c>
      <ns0:c r="G148" s="4">
        <ns0:f>IF(COUNTIF(Script_List[Script ID],'Raw Data'!B148)=1,0,1)</ns0:f>
        <ns0:v>0</ns0:v>
      </ns0:c>
      <ns0:c r="H148" s="4">
        <ns0:f>IF(COUNTIF(RawData[Session ID],F148)=1,0,1)</ns0:f>
        <ns0:v>0</ns0:v>
      </ns0:c>
    </ns0:row>
    <ns0:row r="149">
      <ns0:c r="F149" s="4" t="inlineStr">
        <ns0:is>
          <ns0:t>SES-0148</ns0:t>
        </ns0:is>
      </ns0:c>
      <ns0:c r="G149" s="4">
        <ns0:f>IF(COUNTIF(Script_List[Script ID],'Raw Data'!B149)=1,0,1)</ns0:f>
        <ns0:v>0</ns0:v>
      </ns0:c>
      <ns0:c r="H149" s="4">
        <ns0:f>IF(COUNTIF(RawData[Session ID],F149)=1,0,1)</ns0:f>
        <ns0:v>0</ns0:v>
      </ns0:c>
    </ns0:row>
    <ns0:row r="150">
      <ns0:c r="F150" s="4" t="inlineStr">
        <ns0:is>
          <ns0:t>SES-0149</ns0:t>
        </ns0:is>
      </ns0:c>
      <ns0:c r="G150" s="4">
        <ns0:f>IF(COUNTIF(Script_List[Script ID],'Raw Data'!B150)=1,0,1)</ns0:f>
        <ns0:v>0</ns0:v>
      </ns0:c>
      <ns0:c r="H150" s="4">
        <ns0:f>IF(COUNTIF(RawData[Session ID],F150)=1,0,1)</ns0:f>
        <ns0:v>0</ns0:v>
      </ns0:c>
    </ns0:row>
    <ns0:row r="151">
      <ns0:c r="F151" s="4" t="inlineStr">
        <ns0:is>
          <ns0:t>SES-0150</ns0:t>
        </ns0:is>
      </ns0:c>
      <ns0:c r="G151" s="4">
        <ns0:f>IF(COUNTIF(Script_List[Script ID],'Raw Data'!B151)=1,0,1)</ns0:f>
        <ns0:v>0</ns0:v>
      </ns0:c>
      <ns0:c r="H151" s="4">
        <ns0:f>IF(COUNTIF(RawData[Session ID],F151)=1,0,1)</ns0:f>
        <ns0:v>0</ns0:v>
      </ns0:c>
    </ns0:row>
    <ns0:row r="152">
      <ns0:c r="F152" s="4" t="inlineStr">
        <ns0:is>
          <ns0:t>SES-0151</ns0:t>
        </ns0:is>
      </ns0:c>
      <ns0:c r="G152" s="4">
        <ns0:f>IF(COUNTIF(Script_List[Script ID],'Raw Data'!B152)=1,0,1)</ns0:f>
        <ns0:v>0</ns0:v>
      </ns0:c>
      <ns0:c r="H152" s="4">
        <ns0:f>IF(COUNTIF(RawData[Session ID],F152)=1,0,1)</ns0:f>
        <ns0:v>0</ns0:v>
      </ns0:c>
    </ns0:row>
    <ns0:row r="153">
      <ns0:c r="F153" s="4" t="inlineStr">
        <ns0:is>
          <ns0:t>SES-0152</ns0:t>
        </ns0:is>
      </ns0:c>
      <ns0:c r="G153" s="4">
        <ns0:f>IF(COUNTIF(Script_List[Script ID],'Raw Data'!B153)=1,0,1)</ns0:f>
        <ns0:v>0</ns0:v>
      </ns0:c>
      <ns0:c r="H153" s="4">
        <ns0:f>IF(COUNTIF(RawData[Session ID],F153)=1,0,1)</ns0:f>
        <ns0:v>0</ns0:v>
      </ns0:c>
    </ns0:row>
    <ns0:row r="154">
      <ns0:c r="F154" s="4" t="inlineStr">
        <ns0:is>
          <ns0:t>SES-0153</ns0:t>
        </ns0:is>
      </ns0:c>
      <ns0:c r="G154" s="4">
        <ns0:f>IF(COUNTIF(Script_List[Script ID],'Raw Data'!B154)=1,0,1)</ns0:f>
        <ns0:v>0</ns0:v>
      </ns0:c>
      <ns0:c r="H154" s="4">
        <ns0:f>IF(COUNTIF(RawData[Session ID],F154)=1,0,1)</ns0:f>
        <ns0:v>0</ns0:v>
      </ns0:c>
    </ns0:row>
    <ns0:row r="155">
      <ns0:c r="F155" s="4" t="inlineStr">
        <ns0:is>
          <ns0:t>SES-0154</ns0:t>
        </ns0:is>
      </ns0:c>
      <ns0:c r="G155" s="4">
        <ns0:f>IF(COUNTIF(Script_List[Script ID],'Raw Data'!B155)=1,0,1)</ns0:f>
        <ns0:v>0</ns0:v>
      </ns0:c>
      <ns0:c r="H155" s="4">
        <ns0:f>IF(COUNTIF(RawData[Session ID],F155)=1,0,1)</ns0:f>
        <ns0:v>0</ns0:v>
      </ns0:c>
    </ns0:row>
    <ns0:row r="156">
      <ns0:c r="F156" s="4" t="inlineStr">
        <ns0:is>
          <ns0:t>SES-0155</ns0:t>
        </ns0:is>
      </ns0:c>
      <ns0:c r="G156" s="4">
        <ns0:f>IF(COUNTIF(Script_List[Script ID],'Raw Data'!B156)=1,0,1)</ns0:f>
        <ns0:v>0</ns0:v>
      </ns0:c>
      <ns0:c r="H156" s="4">
        <ns0:f>IF(COUNTIF(RawData[Session ID],F156)=1,0,1)</ns0:f>
        <ns0:v>0</ns0:v>
      </ns0:c>
    </ns0:row>
    <ns0:row r="157">
      <ns0:c r="F157" s="4" t="inlineStr">
        <ns0:is>
          <ns0:t>SES-0156</ns0:t>
        </ns0:is>
      </ns0:c>
      <ns0:c r="G157" s="4">
        <ns0:f>IF(COUNTIF(Script_List[Script ID],'Raw Data'!B157)=1,0,1)</ns0:f>
        <ns0:v>0</ns0:v>
      </ns0:c>
      <ns0:c r="H157" s="4">
        <ns0:f>IF(COUNTIF(RawData[Session ID],F157)=1,0,1)</ns0:f>
        <ns0:v>0</ns0:v>
      </ns0:c>
    </ns0:row>
    <ns0:row r="158">
      <ns0:c r="F158" s="4" t="inlineStr">
        <ns0:is>
          <ns0:t>SES-0157</ns0:t>
        </ns0:is>
      </ns0:c>
      <ns0:c r="G158" s="4">
        <ns0:f>IF(COUNTIF(Script_List[Script ID],'Raw Data'!B158)=1,0,1)</ns0:f>
        <ns0:v>0</ns0:v>
      </ns0:c>
      <ns0:c r="H158" s="4">
        <ns0:f>IF(COUNTIF(RawData[Session ID],F158)=1,0,1)</ns0:f>
        <ns0:v>0</ns0:v>
      </ns0:c>
    </ns0:row>
    <ns0:row r="159">
      <ns0:c r="F159" s="4" t="inlineStr">
        <ns0:is>
          <ns0:t>SES-0158</ns0:t>
        </ns0:is>
      </ns0:c>
      <ns0:c r="G159" s="4">
        <ns0:f>IF(COUNTIF(Script_List[Script ID],'Raw Data'!B159)=1,0,1)</ns0:f>
        <ns0:v>0</ns0:v>
      </ns0:c>
      <ns0:c r="H159" s="4">
        <ns0:f>IF(COUNTIF(RawData[Session ID],F159)=1,0,1)</ns0:f>
        <ns0:v>0</ns0:v>
      </ns0:c>
    </ns0:row>
    <ns0:row r="160">
      <ns0:c r="F160" s="4" t="inlineStr">
        <ns0:is>
          <ns0:t>SES-0159</ns0:t>
        </ns0:is>
      </ns0:c>
      <ns0:c r="G160" s="4">
        <ns0:f>IF(COUNTIF(Script_List[Script ID],'Raw Data'!B160)=1,0,1)</ns0:f>
        <ns0:v>0</ns0:v>
      </ns0:c>
      <ns0:c r="H160" s="4">
        <ns0:f>IF(COUNTIF(RawData[Session ID],F160)=1,0,1)</ns0:f>
        <ns0:v>0</ns0:v>
      </ns0:c>
    </ns0:row>
    <ns0:row r="161">
      <ns0:c r="F161" s="4" t="inlineStr">
        <ns0:is>
          <ns0:t>SES-0160</ns0:t>
        </ns0:is>
      </ns0:c>
      <ns0:c r="G161" s="4">
        <ns0:f>IF(COUNTIF(Script_List[Script ID],'Raw Data'!B161)=1,0,1)</ns0:f>
        <ns0:v>0</ns0:v>
      </ns0:c>
      <ns0:c r="H161" s="4">
        <ns0:f>IF(COUNTIF(RawData[Session ID],F161)=1,0,1)</ns0:f>
        <ns0:v>0</ns0:v>
      </ns0:c>
    </ns0:row>
    <ns0:row r="162">
      <ns0:c r="F162" s="4" t="inlineStr">
        <ns0:is>
          <ns0:t>SES-0161</ns0:t>
        </ns0:is>
      </ns0:c>
      <ns0:c r="G162" s="4">
        <ns0:f>IF(COUNTIF(Script_List[Script ID],'Raw Data'!B162)=1,0,1)</ns0:f>
        <ns0:v>0</ns0:v>
      </ns0:c>
      <ns0:c r="H162" s="4">
        <ns0:f>IF(COUNTIF(RawData[Session ID],F162)=1,0,1)</ns0:f>
        <ns0:v>0</ns0:v>
      </ns0:c>
    </ns0:row>
    <ns0:row r="163">
      <ns0:c r="F163" s="4" t="inlineStr">
        <ns0:is>
          <ns0:t>SES-0162</ns0:t>
        </ns0:is>
      </ns0:c>
      <ns0:c r="G163" s="4">
        <ns0:f>IF(COUNTIF(Script_List[Script ID],'Raw Data'!B163)=1,0,1)</ns0:f>
        <ns0:v>0</ns0:v>
      </ns0:c>
      <ns0:c r="H163" s="4">
        <ns0:f>IF(COUNTIF(RawData[Session ID],F163)=1,0,1)</ns0:f>
        <ns0:v>0</ns0:v>
      </ns0:c>
    </ns0:row>
    <ns0:row r="164">
      <ns0:c r="F164" s="4" t="inlineStr">
        <ns0:is>
          <ns0:t>SES-0163</ns0:t>
        </ns0:is>
      </ns0:c>
      <ns0:c r="G164" s="4">
        <ns0:f>IF(COUNTIF(Script_List[Script ID],'Raw Data'!B164)=1,0,1)</ns0:f>
        <ns0:v>0</ns0:v>
      </ns0:c>
      <ns0:c r="H164" s="4">
        <ns0:f>IF(COUNTIF(RawData[Session ID],F164)=1,0,1)</ns0:f>
        <ns0:v>0</ns0:v>
      </ns0:c>
    </ns0:row>
    <ns0:row r="165">
      <ns0:c r="F165" s="4" t="inlineStr">
        <ns0:is>
          <ns0:t>SES-0164</ns0:t>
        </ns0:is>
      </ns0:c>
      <ns0:c r="G165" s="4">
        <ns0:f>IF(COUNTIF(Script_List[Script ID],'Raw Data'!B165)=1,0,1)</ns0:f>
        <ns0:v>0</ns0:v>
      </ns0:c>
      <ns0:c r="H165" s="4">
        <ns0:f>IF(COUNTIF(RawData[Session ID],F165)=1,0,1)</ns0:f>
        <ns0:v>0</ns0:v>
      </ns0:c>
    </ns0:row>
    <ns0:row r="166">
      <ns0:c r="F166" s="4" t="inlineStr">
        <ns0:is>
          <ns0:t>SES-0165</ns0:t>
        </ns0:is>
      </ns0:c>
      <ns0:c r="G166" s="4">
        <ns0:f>IF(COUNTIF(Script_List[Script ID],'Raw Data'!B166)=1,0,1)</ns0:f>
        <ns0:v>0</ns0:v>
      </ns0:c>
      <ns0:c r="H166" s="4">
        <ns0:f>IF(COUNTIF(RawData[Session ID],F166)=1,0,1)</ns0:f>
        <ns0:v>0</ns0:v>
      </ns0:c>
    </ns0:row>
    <ns0:row r="167">
      <ns0:c r="F167" s="4" t="inlineStr">
        <ns0:is>
          <ns0:t>SES-0166</ns0:t>
        </ns0:is>
      </ns0:c>
      <ns0:c r="G167" s="4">
        <ns0:f>IF(COUNTIF(Script_List[Script ID],'Raw Data'!B167)=1,0,1)</ns0:f>
        <ns0:v>0</ns0:v>
      </ns0:c>
      <ns0:c r="H167" s="4">
        <ns0:f>IF(COUNTIF(RawData[Session ID],F167)=1,0,1)</ns0:f>
        <ns0:v>0</ns0:v>
      </ns0:c>
    </ns0:row>
    <ns0:row r="168">
      <ns0:c r="F168" s="4" t="inlineStr">
        <ns0:is>
          <ns0:t>SES-0167</ns0:t>
        </ns0:is>
      </ns0:c>
      <ns0:c r="G168" s="4">
        <ns0:f>IF(COUNTIF(Script_List[Script ID],'Raw Data'!B168)=1,0,1)</ns0:f>
        <ns0:v>0</ns0:v>
      </ns0:c>
      <ns0:c r="H168" s="4">
        <ns0:f>IF(COUNTIF(RawData[Session ID],F168)=1,0,1)</ns0:f>
        <ns0:v>0</ns0:v>
      </ns0:c>
    </ns0:row>
    <ns0:row r="169">
      <ns0:c r="F169" s="4" t="inlineStr">
        <ns0:is>
          <ns0:t>SES-0168</ns0:t>
        </ns0:is>
      </ns0:c>
      <ns0:c r="G169" s="4">
        <ns0:f>IF(COUNTIF(Script_List[Script ID],'Raw Data'!B169)=1,0,1)</ns0:f>
        <ns0:v>0</ns0:v>
      </ns0:c>
      <ns0:c r="H169" s="4">
        <ns0:f>IF(COUNTIF(RawData[Session ID],F169)=1,0,1)</ns0:f>
        <ns0:v>0</ns0:v>
      </ns0:c>
    </ns0:row>
    <ns0:row r="170">
      <ns0:c r="F170" s="4" t="inlineStr">
        <ns0:is>
          <ns0:t>SES-0169</ns0:t>
        </ns0:is>
      </ns0:c>
      <ns0:c r="G170" s="4">
        <ns0:f>IF(COUNTIF(Script_List[Script ID],'Raw Data'!B170)=1,0,1)</ns0:f>
        <ns0:v>0</ns0:v>
      </ns0:c>
      <ns0:c r="H170" s="4">
        <ns0:f>IF(COUNTIF(RawData[Session ID],F170)=1,0,1)</ns0:f>
        <ns0:v>0</ns0:v>
      </ns0:c>
    </ns0:row>
    <ns0:row r="171">
      <ns0:c r="F171" s="4" t="inlineStr">
        <ns0:is>
          <ns0:t>SES-0170</ns0:t>
        </ns0:is>
      </ns0:c>
      <ns0:c r="G171" s="4">
        <ns0:f>IF(COUNTIF(Script_List[Script ID],'Raw Data'!B171)=1,0,1)</ns0:f>
        <ns0:v>0</ns0:v>
      </ns0:c>
      <ns0:c r="H171" s="4">
        <ns0:f>IF(COUNTIF(RawData[Session ID],F171)=1,0,1)</ns0:f>
        <ns0:v>0</ns0:v>
      </ns0:c>
    </ns0:row>
    <ns0:row r="172">
      <ns0:c r="F172" s="4" t="inlineStr">
        <ns0:is>
          <ns0:t>SES-0171</ns0:t>
        </ns0:is>
      </ns0:c>
      <ns0:c r="G172" s="4">
        <ns0:f>IF(COUNTIF(Script_List[Script ID],'Raw Data'!B172)=1,0,1)</ns0:f>
        <ns0:v>0</ns0:v>
      </ns0:c>
      <ns0:c r="H172" s="4">
        <ns0:f>IF(COUNTIF(RawData[Session ID],F172)=1,0,1)</ns0:f>
        <ns0:v>0</ns0:v>
      </ns0:c>
    </ns0:row>
    <ns0:row r="173">
      <ns0:c r="F173" s="4" t="inlineStr">
        <ns0:is>
          <ns0:t>SES-0172</ns0:t>
        </ns0:is>
      </ns0:c>
      <ns0:c r="G173" s="4">
        <ns0:f>IF(COUNTIF(Script_List[Script ID],'Raw Data'!B173)=1,0,1)</ns0:f>
        <ns0:v>0</ns0:v>
      </ns0:c>
      <ns0:c r="H173" s="4">
        <ns0:f>IF(COUNTIF(RawData[Session ID],F173)=1,0,1)</ns0:f>
        <ns0:v>0</ns0:v>
      </ns0:c>
    </ns0:row>
    <ns0:row r="174">
      <ns0:c r="F174" s="4" t="inlineStr">
        <ns0:is>
          <ns0:t>SES-0173</ns0:t>
        </ns0:is>
      </ns0:c>
      <ns0:c r="G174" s="4">
        <ns0:f>IF(COUNTIF(Script_List[Script ID],'Raw Data'!B174)=1,0,1)</ns0:f>
        <ns0:v>0</ns0:v>
      </ns0:c>
      <ns0:c r="H174" s="4">
        <ns0:f>IF(COUNTIF(RawData[Session ID],F174)=1,0,1)</ns0:f>
        <ns0:v>0</ns0:v>
      </ns0:c>
    </ns0:row>
    <ns0:row r="175">
      <ns0:c r="F175" s="4" t="inlineStr">
        <ns0:is>
          <ns0:t>SES-0174</ns0:t>
        </ns0:is>
      </ns0:c>
      <ns0:c r="G175" s="4">
        <ns0:f>IF(COUNTIF(Script_List[Script ID],'Raw Data'!B175)=1,0,1)</ns0:f>
        <ns0:v>0</ns0:v>
      </ns0:c>
      <ns0:c r="H175" s="4">
        <ns0:f>IF(COUNTIF(RawData[Session ID],F175)=1,0,1)</ns0:f>
        <ns0:v>0</ns0:v>
      </ns0:c>
    </ns0:row>
    <ns0:row r="176">
      <ns0:c r="F176" s="4" t="inlineStr">
        <ns0:is>
          <ns0:t>SES-0175</ns0:t>
        </ns0:is>
      </ns0:c>
      <ns0:c r="G176" s="4">
        <ns0:f>IF(COUNTIF(Script_List[Script ID],'Raw Data'!B176)=1,0,1)</ns0:f>
        <ns0:v>0</ns0:v>
      </ns0:c>
      <ns0:c r="H176" s="4">
        <ns0:f>IF(COUNTIF(RawData[Session ID],F176)=1,0,1)</ns0:f>
        <ns0:v>0</ns0:v>
      </ns0:c>
    </ns0:row>
    <ns0:row r="177">
      <ns0:c r="F177" s="4" t="inlineStr">
        <ns0:is>
          <ns0:t>SES-0176</ns0:t>
        </ns0:is>
      </ns0:c>
      <ns0:c r="G177" s="4">
        <ns0:f>IF(COUNTIF(Script_List[Script ID],'Raw Data'!B177)=1,0,1)</ns0:f>
        <ns0:v>0</ns0:v>
      </ns0:c>
      <ns0:c r="H177" s="4">
        <ns0:f>IF(COUNTIF(RawData[Session ID],F177)=1,0,1)</ns0:f>
        <ns0:v>0</ns0:v>
      </ns0:c>
    </ns0:row>
    <ns0:row r="178">
      <ns0:c r="F178" s="4" t="inlineStr">
        <ns0:is>
          <ns0:t>SES-0177</ns0:t>
        </ns0:is>
      </ns0:c>
      <ns0:c r="G178" s="4">
        <ns0:f>IF(COUNTIF(Script_List[Script ID],'Raw Data'!B178)=1,0,1)</ns0:f>
        <ns0:v>0</ns0:v>
      </ns0:c>
      <ns0:c r="H178" s="4">
        <ns0:f>IF(COUNTIF(RawData[Session ID],F178)=1,0,1)</ns0:f>
        <ns0:v>0</ns0:v>
      </ns0:c>
    </ns0:row>
    <ns0:row r="179">
      <ns0:c r="F179" s="4" t="inlineStr">
        <ns0:is>
          <ns0:t>SES-0178</ns0:t>
        </ns0:is>
      </ns0:c>
      <ns0:c r="G179" s="4">
        <ns0:f>IF(COUNTIF(Script_List[Script ID],'Raw Data'!B179)=1,0,1)</ns0:f>
        <ns0:v>0</ns0:v>
      </ns0:c>
      <ns0:c r="H179" s="4">
        <ns0:f>IF(COUNTIF(RawData[Session ID],F179)=1,0,1)</ns0:f>
        <ns0:v>0</ns0:v>
      </ns0:c>
    </ns0:row>
    <ns0:row r="180">
      <ns0:c r="F180" s="4" t="inlineStr">
        <ns0:is>
          <ns0:t>SES-0179</ns0:t>
        </ns0:is>
      </ns0:c>
      <ns0:c r="G180" s="4">
        <ns0:f>IF(COUNTIF(Script_List[Script ID],'Raw Data'!B180)=1,0,1)</ns0:f>
        <ns0:v>0</ns0:v>
      </ns0:c>
      <ns0:c r="H180" s="4">
        <ns0:f>IF(COUNTIF(RawData[Session ID],F180)=1,0,1)</ns0:f>
        <ns0:v>0</ns0:v>
      </ns0:c>
    </ns0:row>
    <ns0:row r="181">
      <ns0:c r="F181" s="4" t="inlineStr">
        <ns0:is>
          <ns0:t>SES-0180</ns0:t>
        </ns0:is>
      </ns0:c>
      <ns0:c r="G181" s="4">
        <ns0:f>IF(COUNTIF(Script_List[Script ID],'Raw Data'!B181)=1,0,1)</ns0:f>
        <ns0:v>0</ns0:v>
      </ns0:c>
      <ns0:c r="H181" s="4">
        <ns0:f>IF(COUNTIF(RawData[Session ID],F181)=1,0,1)</ns0:f>
        <ns0:v>0</ns0:v>
      </ns0:c>
    </ns0:row>
    <ns0:row r="182">
      <ns0:c r="F182" s="4" t="inlineStr">
        <ns0:is>
          <ns0:t>SES-0181</ns0:t>
        </ns0:is>
      </ns0:c>
      <ns0:c r="G182" s="4">
        <ns0:f>IF(COUNTIF(Script_List[Script ID],'Raw Data'!B182)=1,0,1)</ns0:f>
        <ns0:v>0</ns0:v>
      </ns0:c>
      <ns0:c r="H182" s="4">
        <ns0:f>IF(COUNTIF(RawData[Session ID],F182)=1,0,1)</ns0:f>
        <ns0:v>0</ns0:v>
      </ns0:c>
    </ns0:row>
    <ns0:row r="183">
      <ns0:c r="F183" s="4" t="inlineStr">
        <ns0:is>
          <ns0:t>SES-0182</ns0:t>
        </ns0:is>
      </ns0:c>
      <ns0:c r="G183" s="4">
        <ns0:f>IF(COUNTIF(Script_List[Script ID],'Raw Data'!B183)=1,0,1)</ns0:f>
        <ns0:v>0</ns0:v>
      </ns0:c>
      <ns0:c r="H183" s="4">
        <ns0:f>IF(COUNTIF(RawData[Session ID],F183)=1,0,1)</ns0:f>
        <ns0:v>0</ns0:v>
      </ns0:c>
    </ns0:row>
    <ns0:row r="184">
      <ns0:c r="F184" s="4" t="inlineStr">
        <ns0:is>
          <ns0:t>SES-0183</ns0:t>
        </ns0:is>
      </ns0:c>
      <ns0:c r="G184" s="4">
        <ns0:f>IF(COUNTIF(Script_List[Script ID],'Raw Data'!B184)=1,0,1)</ns0:f>
        <ns0:v>0</ns0:v>
      </ns0:c>
      <ns0:c r="H184" s="4">
        <ns0:f>IF(COUNTIF(RawData[Session ID],F184)=1,0,1)</ns0:f>
        <ns0:v>0</ns0:v>
      </ns0:c>
    </ns0:row>
    <ns0:row r="185">
      <ns0:c r="F185" s="4" t="inlineStr">
        <ns0:is>
          <ns0:t>SES-0184</ns0:t>
        </ns0:is>
      </ns0:c>
      <ns0:c r="G185" s="4">
        <ns0:f>IF(COUNTIF(Script_List[Script ID],'Raw Data'!B185)=1,0,1)</ns0:f>
        <ns0:v>0</ns0:v>
      </ns0:c>
      <ns0:c r="H185" s="4">
        <ns0:f>IF(COUNTIF(RawData[Session ID],F185)=1,0,1)</ns0:f>
        <ns0:v>0</ns0:v>
      </ns0:c>
    </ns0:row>
    <ns0:row r="186">
      <ns0:c r="F186" s="4" t="inlineStr">
        <ns0:is>
          <ns0:t>SES-0185</ns0:t>
        </ns0:is>
      </ns0:c>
      <ns0:c r="G186" s="4">
        <ns0:f>IF(COUNTIF(Script_List[Script ID],'Raw Data'!B186)=1,0,1)</ns0:f>
        <ns0:v>0</ns0:v>
      </ns0:c>
      <ns0:c r="H186" s="4">
        <ns0:f>IF(COUNTIF(RawData[Session ID],F186)=1,0,1)</ns0:f>
        <ns0:v>0</ns0:v>
      </ns0:c>
    </ns0:row>
    <ns0:row r="187">
      <ns0:c r="F187" s="4" t="inlineStr">
        <ns0:is>
          <ns0:t>SES-0186</ns0:t>
        </ns0:is>
      </ns0:c>
      <ns0:c r="G187" s="4">
        <ns0:f>IF(COUNTIF(Script_List[Script ID],'Raw Data'!B187)=1,0,1)</ns0:f>
        <ns0:v>0</ns0:v>
      </ns0:c>
      <ns0:c r="H187" s="4">
        <ns0:f>IF(COUNTIF(RawData[Session ID],F187)=1,0,1)</ns0:f>
        <ns0:v>0</ns0:v>
      </ns0:c>
    </ns0:row>
    <ns0:row r="188">
      <ns0:c r="F188" s="4" t="inlineStr">
        <ns0:is>
          <ns0:t>SES-0187</ns0:t>
        </ns0:is>
      </ns0:c>
      <ns0:c r="G188" s="4">
        <ns0:f>IF(COUNTIF(Script_List[Script ID],'Raw Data'!B188)=1,0,1)</ns0:f>
        <ns0:v>0</ns0:v>
      </ns0:c>
      <ns0:c r="H188" s="4">
        <ns0:f>IF(COUNTIF(RawData[Session ID],F188)=1,0,1)</ns0:f>
        <ns0:v>0</ns0:v>
      </ns0:c>
    </ns0:row>
    <ns0:row r="189">
      <ns0:c r="F189" s="4" t="inlineStr">
        <ns0:is>
          <ns0:t>SES-0188</ns0:t>
        </ns0:is>
      </ns0:c>
      <ns0:c r="G189" s="4">
        <ns0:f>IF(COUNTIF(Script_List[Script ID],'Raw Data'!B189)=1,0,1)</ns0:f>
        <ns0:v>0</ns0:v>
      </ns0:c>
      <ns0:c r="H189" s="4">
        <ns0:f>IF(COUNTIF(RawData[Session ID],F189)=1,0,1)</ns0:f>
        <ns0:v>0</ns0:v>
      </ns0:c>
    </ns0:row>
    <ns0:row r="190">
      <ns0:c r="F190" s="4" t="inlineStr">
        <ns0:is>
          <ns0:t>SES-0189</ns0:t>
        </ns0:is>
      </ns0:c>
      <ns0:c r="G190" s="4">
        <ns0:f>IF(COUNTIF(Script_List[Script ID],'Raw Data'!B190)=1,0,1)</ns0:f>
        <ns0:v>0</ns0:v>
      </ns0:c>
      <ns0:c r="H190" s="4">
        <ns0:f>IF(COUNTIF(RawData[Session ID],F190)=1,0,1)</ns0:f>
        <ns0:v>0</ns0:v>
      </ns0:c>
    </ns0:row>
    <ns0:row r="191">
      <ns0:c r="F191" s="4" t="inlineStr">
        <ns0:is>
          <ns0:t>SES-0190</ns0:t>
        </ns0:is>
      </ns0:c>
      <ns0:c r="G191" s="4">
        <ns0:f>IF(COUNTIF(Script_List[Script ID],'Raw Data'!B191)=1,0,1)</ns0:f>
        <ns0:v>0</ns0:v>
      </ns0:c>
      <ns0:c r="H191" s="4">
        <ns0:f>IF(COUNTIF(RawData[Session ID],F191)=1,0,1)</ns0:f>
        <ns0:v>0</ns0:v>
      </ns0:c>
    </ns0:row>
    <ns0:row r="192">
      <ns0:c r="F192" s="4" t="inlineStr">
        <ns0:is>
          <ns0:t>SES-0191</ns0:t>
        </ns0:is>
      </ns0:c>
      <ns0:c r="G192" s="4">
        <ns0:f>IF(COUNTIF(Script_List[Script ID],'Raw Data'!B192)=1,0,1)</ns0:f>
        <ns0:v>0</ns0:v>
      </ns0:c>
      <ns0:c r="H192" s="4">
        <ns0:f>IF(COUNTIF(RawData[Session ID],F192)=1,0,1)</ns0:f>
        <ns0:v>0</ns0:v>
      </ns0:c>
    </ns0:row>
    <ns0:row r="193">
      <ns0:c r="F193" s="4" t="inlineStr">
        <ns0:is>
          <ns0:t>SES-0192</ns0:t>
        </ns0:is>
      </ns0:c>
      <ns0:c r="G193" s="4">
        <ns0:f>IF(COUNTIF(Script_List[Script ID],'Raw Data'!B193)=1,0,1)</ns0:f>
        <ns0:v>0</ns0:v>
      </ns0:c>
      <ns0:c r="H193" s="4">
        <ns0:f>IF(COUNTIF(RawData[Session ID],F193)=1,0,1)</ns0:f>
        <ns0:v>0</ns0:v>
      </ns0:c>
    </ns0:row>
    <ns0:row r="194">
      <ns0:c r="F194" s="4" t="inlineStr">
        <ns0:is>
          <ns0:t>SES-0193</ns0:t>
        </ns0:is>
      </ns0:c>
      <ns0:c r="G194" s="4">
        <ns0:f>IF(COUNTIF(Script_List[Script ID],'Raw Data'!B194)=1,0,1)</ns0:f>
        <ns0:v>0</ns0:v>
      </ns0:c>
      <ns0:c r="H194" s="4">
        <ns0:f>IF(COUNTIF(RawData[Session ID],F194)=1,0,1)</ns0:f>
        <ns0:v>0</ns0:v>
      </ns0:c>
    </ns0:row>
    <ns0:row r="195">
      <ns0:c r="F195" s="4" t="inlineStr">
        <ns0:is>
          <ns0:t>SES-0194</ns0:t>
        </ns0:is>
      </ns0:c>
      <ns0:c r="G195" s="4">
        <ns0:f>IF(COUNTIF(Script_List[Script ID],'Raw Data'!B195)=1,0,1)</ns0:f>
        <ns0:v>0</ns0:v>
      </ns0:c>
      <ns0:c r="H195" s="4">
        <ns0:f>IF(COUNTIF(RawData[Session ID],F195)=1,0,1)</ns0:f>
        <ns0:v>0</ns0:v>
      </ns0:c>
    </ns0:row>
    <ns0:row r="196">
      <ns0:c r="F196" s="4" t="inlineStr">
        <ns0:is>
          <ns0:t>SES-0195</ns0:t>
        </ns0:is>
      </ns0:c>
      <ns0:c r="G196" s="4">
        <ns0:f>IF(COUNTIF(Script_List[Script ID],'Raw Data'!B196)=1,0,1)</ns0:f>
        <ns0:v>0</ns0:v>
      </ns0:c>
      <ns0:c r="H196" s="4">
        <ns0:f>IF(COUNTIF(RawData[Session ID],F196)=1,0,1)</ns0:f>
        <ns0:v>0</ns0:v>
      </ns0:c>
    </ns0:row>
    <ns0:row r="197">
      <ns0:c r="F197" s="4" t="inlineStr">
        <ns0:is>
          <ns0:t>SES-0196</ns0:t>
        </ns0:is>
      </ns0:c>
      <ns0:c r="G197" s="4">
        <ns0:f>IF(COUNTIF(Script_List[Script ID],'Raw Data'!B197)=1,0,1)</ns0:f>
        <ns0:v>0</ns0:v>
      </ns0:c>
      <ns0:c r="H197" s="4">
        <ns0:f>IF(COUNTIF(RawData[Session ID],F197)=1,0,1)</ns0:f>
        <ns0:v>0</ns0:v>
      </ns0:c>
    </ns0:row>
    <ns0:row r="198">
      <ns0:c r="F198" s="4" t="inlineStr">
        <ns0:is>
          <ns0:t>SES-0197</ns0:t>
        </ns0:is>
      </ns0:c>
      <ns0:c r="G198" s="4">
        <ns0:f>IF(COUNTIF(Script_List[Script ID],'Raw Data'!B198)=1,0,1)</ns0:f>
        <ns0:v>0</ns0:v>
      </ns0:c>
      <ns0:c r="H198" s="4">
        <ns0:f>IF(COUNTIF(RawData[Session ID],F198)=1,0,1)</ns0:f>
        <ns0:v>0</ns0:v>
      </ns0:c>
    </ns0:row>
    <ns0:row r="199">
      <ns0:c r="F199" s="4" t="inlineStr">
        <ns0:is>
          <ns0:t>SES-0198</ns0:t>
        </ns0:is>
      </ns0:c>
      <ns0:c r="G199" s="4">
        <ns0:f>IF(COUNTIF(Script_List[Script ID],'Raw Data'!B199)=1,0,1)</ns0:f>
        <ns0:v>0</ns0:v>
      </ns0:c>
      <ns0:c r="H199" s="4">
        <ns0:f>IF(COUNTIF(RawData[Session ID],F199)=1,0,1)</ns0:f>
        <ns0:v>0</ns0:v>
      </ns0:c>
    </ns0:row>
    <ns0:row r="200">
      <ns0:c r="F200" s="4" t="inlineStr">
        <ns0:is>
          <ns0:t>SES-0199</ns0:t>
        </ns0:is>
      </ns0:c>
      <ns0:c r="G200" s="4">
        <ns0:f>IF(COUNTIF(Script_List[Script ID],'Raw Data'!B200)=1,0,1)</ns0:f>
        <ns0:v>0</ns0:v>
      </ns0:c>
      <ns0:c r="H200" s="4">
        <ns0:f>IF(COUNTIF(RawData[Session ID],F200)=1,0,1)</ns0:f>
        <ns0:v>0</ns0:v>
      </ns0:c>
    </ns0:row>
    <ns0:row r="201">
      <ns0:c r="F201" s="4" t="inlineStr">
        <ns0:is>
          <ns0:t>SES-0200</ns0:t>
        </ns0:is>
      </ns0:c>
      <ns0:c r="G201" s="4">
        <ns0:f>IF(COUNTIF(Script_List[Script ID],'Raw Data'!B201)=1,0,1)</ns0:f>
        <ns0:v>0</ns0:v>
      </ns0:c>
      <ns0:c r="H201" s="4">
        <ns0:f>IF(COUNTIF(RawData[Session ID],F201)=1,0,1)</ns0:f>
        <ns0:v>0</ns0:v>
      </ns0:c>
    </ns0:row>
    <ns0:row r="202">
      <ns0:c r="F202" s="4" t="inlineStr">
        <ns0:is>
          <ns0:t>SES-0201</ns0:t>
        </ns0:is>
      </ns0:c>
      <ns0:c r="G202" s="4">
        <ns0:f>IF(COUNTIF(Script_List[Script ID],'Raw Data'!B202)=1,0,1)</ns0:f>
        <ns0:v>0</ns0:v>
      </ns0:c>
      <ns0:c r="H202" s="4">
        <ns0:f>IF(COUNTIF(RawData[Session ID],F202)=1,0,1)</ns0:f>
        <ns0:v>0</ns0:v>
      </ns0:c>
    </ns0:row>
    <ns0:row r="203">
      <ns0:c r="F203" s="4" t="inlineStr">
        <ns0:is>
          <ns0:t>SES-0202</ns0:t>
        </ns0:is>
      </ns0:c>
      <ns0:c r="G203" s="4">
        <ns0:f>IF(COUNTIF(Script_List[Script ID],'Raw Data'!B203)=1,0,1)</ns0:f>
        <ns0:v>0</ns0:v>
      </ns0:c>
      <ns0:c r="H203" s="4">
        <ns0:f>IF(COUNTIF(RawData[Session ID],F203)=1,0,1)</ns0:f>
        <ns0:v>0</ns0:v>
      </ns0:c>
    </ns0:row>
    <ns0:row r="204">
      <ns0:c r="F204" s="4" t="inlineStr">
        <ns0:is>
          <ns0:t>SES-0203</ns0:t>
        </ns0:is>
      </ns0:c>
      <ns0:c r="G204" s="4">
        <ns0:f>IF(COUNTIF(Script_List[Script ID],'Raw Data'!B204)=1,0,1)</ns0:f>
        <ns0:v>0</ns0:v>
      </ns0:c>
      <ns0:c r="H204" s="4">
        <ns0:f>IF(COUNTIF(RawData[Session ID],F204)=1,0,1)</ns0:f>
        <ns0:v>0</ns0:v>
      </ns0:c>
    </ns0:row>
    <ns0:row r="205">
      <ns0:c r="F205" s="4" t="inlineStr">
        <ns0:is>
          <ns0:t>SES-0204</ns0:t>
        </ns0:is>
      </ns0:c>
      <ns0:c r="G205" s="4">
        <ns0:f>IF(COUNTIF(Script_List[Script ID],'Raw Data'!B205)=1,0,1)</ns0:f>
        <ns0:v>0</ns0:v>
      </ns0:c>
      <ns0:c r="H205" s="4">
        <ns0:f>IF(COUNTIF(RawData[Session ID],F205)=1,0,1)</ns0:f>
        <ns0:v>0</ns0:v>
      </ns0:c>
    </ns0:row>
    <ns0:row r="206">
      <ns0:c r="F206" s="4" t="inlineStr">
        <ns0:is>
          <ns0:t>SES-0205</ns0:t>
        </ns0:is>
      </ns0:c>
      <ns0:c r="G206" s="4">
        <ns0:f>IF(COUNTIF(Script_List[Script ID],'Raw Data'!B206)=1,0,1)</ns0:f>
        <ns0:v>0</ns0:v>
      </ns0:c>
      <ns0:c r="H206" s="4">
        <ns0:f>IF(COUNTIF(RawData[Session ID],F206)=1,0,1)</ns0:f>
        <ns0:v>0</ns0:v>
      </ns0:c>
    </ns0:row>
    <ns0:row r="207">
      <ns0:c r="F207" s="4" t="inlineStr">
        <ns0:is>
          <ns0:t>SES-0206</ns0:t>
        </ns0:is>
      </ns0:c>
      <ns0:c r="G207" s="4">
        <ns0:f>IF(COUNTIF(Script_List[Script ID],'Raw Data'!B207)=1,0,1)</ns0:f>
        <ns0:v>0</ns0:v>
      </ns0:c>
      <ns0:c r="H207" s="4">
        <ns0:f>IF(COUNTIF(RawData[Session ID],F207)=1,0,1)</ns0:f>
        <ns0:v>0</ns0:v>
      </ns0:c>
    </ns0:row>
    <ns0:row r="208">
      <ns0:c r="F208" s="4" t="inlineStr">
        <ns0:is>
          <ns0:t>SES-0207</ns0:t>
        </ns0:is>
      </ns0:c>
      <ns0:c r="G208" s="4">
        <ns0:f>IF(COUNTIF(Script_List[Script ID],'Raw Data'!B208)=1,0,1)</ns0:f>
        <ns0:v>0</ns0:v>
      </ns0:c>
      <ns0:c r="H208" s="4">
        <ns0:f>IF(COUNTIF(RawData[Session ID],F208)=1,0,1)</ns0:f>
        <ns0:v>0</ns0:v>
      </ns0:c>
    </ns0:row>
    <ns0:row r="209">
      <ns0:c r="F209" s="4" t="inlineStr">
        <ns0:is>
          <ns0:t>SES-0208</ns0:t>
        </ns0:is>
      </ns0:c>
      <ns0:c r="G209" s="4">
        <ns0:f>IF(COUNTIF(Script_List[Script ID],'Raw Data'!B209)=1,0,1)</ns0:f>
        <ns0:v>0</ns0:v>
      </ns0:c>
      <ns0:c r="H209" s="4">
        <ns0:f>IF(COUNTIF(RawData[Session ID],F209)=1,0,1)</ns0:f>
        <ns0:v>0</ns0:v>
      </ns0:c>
    </ns0:row>
    <ns0:row r="210">
      <ns0:c r="F210" s="4" t="inlineStr">
        <ns0:is>
          <ns0:t>SES-0209</ns0:t>
        </ns0:is>
      </ns0:c>
      <ns0:c r="G210" s="4">
        <ns0:f>IF(COUNTIF(Script_List[Script ID],'Raw Data'!B210)=1,0,1)</ns0:f>
        <ns0:v>0</ns0:v>
      </ns0:c>
      <ns0:c r="H210" s="4">
        <ns0:f>IF(COUNTIF(RawData[Session ID],F210)=1,0,1)</ns0:f>
        <ns0:v>0</ns0:v>
      </ns0:c>
    </ns0:row>
    <ns0:row r="211">
      <ns0:c r="F211" s="4" t="inlineStr">
        <ns0:is>
          <ns0:t>SES-0210</ns0:t>
        </ns0:is>
      </ns0:c>
      <ns0:c r="G211" s="4">
        <ns0:f>IF(COUNTIF(Script_List[Script ID],'Raw Data'!B211)=1,0,1)</ns0:f>
        <ns0:v>0</ns0:v>
      </ns0:c>
      <ns0:c r="H211" s="4">
        <ns0:f>IF(COUNTIF(RawData[Session ID],F211)=1,0,1)</ns0:f>
        <ns0:v>0</ns0:v>
      </ns0:c>
    </ns0:row>
    <ns0:row r="212">
      <ns0:c r="F212" s="4" t="inlineStr">
        <ns0:is>
          <ns0:t>SES-0211</ns0:t>
        </ns0:is>
      </ns0:c>
      <ns0:c r="G212" s="4">
        <ns0:f>IF(COUNTIF(Script_List[Script ID],'Raw Data'!B212)=1,0,1)</ns0:f>
        <ns0:v>0</ns0:v>
      </ns0:c>
      <ns0:c r="H212" s="4">
        <ns0:f>IF(COUNTIF(RawData[Session ID],F212)=1,0,1)</ns0:f>
        <ns0:v>0</ns0:v>
      </ns0:c>
    </ns0:row>
    <ns0:row r="213">
      <ns0:c r="F213" s="4" t="inlineStr">
        <ns0:is>
          <ns0:t>SES-0212</ns0:t>
        </ns0:is>
      </ns0:c>
      <ns0:c r="G213" s="4">
        <ns0:f>IF(COUNTIF(Script_List[Script ID],'Raw Data'!B213)=1,0,1)</ns0:f>
        <ns0:v>0</ns0:v>
      </ns0:c>
      <ns0:c r="H213" s="4">
        <ns0:f>IF(COUNTIF(RawData[Session ID],F213)=1,0,1)</ns0:f>
        <ns0:v>0</ns0:v>
      </ns0:c>
    </ns0:row>
    <ns0:row r="214">
      <ns0:c r="F214" s="4" t="inlineStr">
        <ns0:is>
          <ns0:t>SES-0213</ns0:t>
        </ns0:is>
      </ns0:c>
      <ns0:c r="G214" s="4">
        <ns0:f>IF(COUNTIF(Script_List[Script ID],'Raw Data'!B214)=1,0,1)</ns0:f>
        <ns0:v>0</ns0:v>
      </ns0:c>
      <ns0:c r="H214" s="4">
        <ns0:f>IF(COUNTIF(RawData[Session ID],F214)=1,0,1)</ns0:f>
        <ns0:v>0</ns0:v>
      </ns0:c>
    </ns0:row>
    <ns0:row r="215">
      <ns0:c r="F215" s="4" t="inlineStr">
        <ns0:is>
          <ns0:t>SES-0214</ns0:t>
        </ns0:is>
      </ns0:c>
      <ns0:c r="G215" s="4">
        <ns0:f>IF(COUNTIF(Script_List[Script ID],'Raw Data'!B215)=1,0,1)</ns0:f>
        <ns0:v>0</ns0:v>
      </ns0:c>
      <ns0:c r="H215" s="4">
        <ns0:f>IF(COUNTIF(RawData[Session ID],F215)=1,0,1)</ns0:f>
        <ns0:v>0</ns0:v>
      </ns0:c>
    </ns0:row>
    <ns0:row r="216">
      <ns0:c r="F216" s="4" t="inlineStr">
        <ns0:is>
          <ns0:t>SES-0215</ns0:t>
        </ns0:is>
      </ns0:c>
      <ns0:c r="G216" s="4">
        <ns0:f>IF(COUNTIF(Script_List[Script ID],'Raw Data'!B216)=1,0,1)</ns0:f>
        <ns0:v>0</ns0:v>
      </ns0:c>
      <ns0:c r="H216" s="4">
        <ns0:f>IF(COUNTIF(RawData[Session ID],F216)=1,0,1)</ns0:f>
        <ns0:v>0</ns0:v>
      </ns0:c>
    </ns0:row>
    <ns0:row r="217">
      <ns0:c r="F217" s="4" t="inlineStr">
        <ns0:is>
          <ns0:t>SES-0216</ns0:t>
        </ns0:is>
      </ns0:c>
      <ns0:c r="G217" s="4">
        <ns0:f>IF(COUNTIF(Script_List[Script ID],'Raw Data'!B217)=1,0,1)</ns0:f>
        <ns0:v>0</ns0:v>
      </ns0:c>
      <ns0:c r="H217" s="4">
        <ns0:f>IF(COUNTIF(RawData[Session ID],F217)=1,0,1)</ns0:f>
        <ns0:v>0</ns0:v>
      </ns0:c>
    </ns0:row>
    <ns0:row r="218">
      <ns0:c r="F218" s="4" t="inlineStr">
        <ns0:is>
          <ns0:t>SES-0217</ns0:t>
        </ns0:is>
      </ns0:c>
      <ns0:c r="G218" s="4">
        <ns0:f>IF(COUNTIF(Script_List[Script ID],'Raw Data'!B218)=1,0,1)</ns0:f>
        <ns0:v>0</ns0:v>
      </ns0:c>
      <ns0:c r="H218" s="4">
        <ns0:f>IF(COUNTIF(RawData[Session ID],F218)=1,0,1)</ns0:f>
        <ns0:v>0</ns0:v>
      </ns0:c>
    </ns0:row>
    <ns0:row r="219">
      <ns0:c r="F219" s="4" t="inlineStr">
        <ns0:is>
          <ns0:t>SES-0218</ns0:t>
        </ns0:is>
      </ns0:c>
      <ns0:c r="G219" s="4">
        <ns0:f>IF(COUNTIF(Script_List[Script ID],'Raw Data'!B219)=1,0,1)</ns0:f>
        <ns0:v>0</ns0:v>
      </ns0:c>
      <ns0:c r="H219" s="4">
        <ns0:f>IF(COUNTIF(RawData[Session ID],F219)=1,0,1)</ns0:f>
        <ns0:v>0</ns0:v>
      </ns0:c>
    </ns0:row>
    <ns0:row r="220">
      <ns0:c r="F220" s="4" t="inlineStr">
        <ns0:is>
          <ns0:t>SES-0219</ns0:t>
        </ns0:is>
      </ns0:c>
      <ns0:c r="G220" s="4">
        <ns0:f>IF(COUNTIF(Script_List[Script ID],'Raw Data'!B220)=1,0,1)</ns0:f>
        <ns0:v>0</ns0:v>
      </ns0:c>
      <ns0:c r="H220" s="4">
        <ns0:f>IF(COUNTIF(RawData[Session ID],F220)=1,0,1)</ns0:f>
        <ns0:v>0</ns0:v>
      </ns0:c>
    </ns0:row>
    <ns0:row r="221">
      <ns0:c r="F221" s="4" t="inlineStr">
        <ns0:is>
          <ns0:t>SES-0220</ns0:t>
        </ns0:is>
      </ns0:c>
      <ns0:c r="G221" s="4">
        <ns0:f>IF(COUNTIF(Script_List[Script ID],'Raw Data'!B221)=1,0,1)</ns0:f>
        <ns0:v>0</ns0:v>
      </ns0:c>
      <ns0:c r="H221" s="4">
        <ns0:f>IF(COUNTIF(RawData[Session ID],F221)=1,0,1)</ns0:f>
        <ns0:v>0</ns0:v>
      </ns0:c>
    </ns0:row>
    <ns0:row r="222">
      <ns0:c r="F222" s="4" t="inlineStr">
        <ns0:is>
          <ns0:t>SES-0221</ns0:t>
        </ns0:is>
      </ns0:c>
      <ns0:c r="G222" s="4">
        <ns0:f>IF(COUNTIF(Script_List[Script ID],'Raw Data'!B222)=1,0,1)</ns0:f>
        <ns0:v>0</ns0:v>
      </ns0:c>
      <ns0:c r="H222" s="4">
        <ns0:f>IF(COUNTIF(RawData[Session ID],F222)=1,0,1)</ns0:f>
        <ns0:v>0</ns0:v>
      </ns0:c>
    </ns0:row>
    <ns0:row r="223">
      <ns0:c r="F223" s="4" t="inlineStr">
        <ns0:is>
          <ns0:t>SES-0222</ns0:t>
        </ns0:is>
      </ns0:c>
      <ns0:c r="G223" s="4">
        <ns0:f>IF(COUNTIF(Script_List[Script ID],'Raw Data'!B223)=1,0,1)</ns0:f>
        <ns0:v>0</ns0:v>
      </ns0:c>
      <ns0:c r="H223" s="4">
        <ns0:f>IF(COUNTIF(RawData[Session ID],F223)=1,0,1)</ns0:f>
        <ns0:v>0</ns0:v>
      </ns0:c>
    </ns0:row>
    <ns0:row r="224">
      <ns0:c r="F224" s="4" t="inlineStr">
        <ns0:is>
          <ns0:t>SES-0223</ns0:t>
        </ns0:is>
      </ns0:c>
      <ns0:c r="G224" s="4">
        <ns0:f>IF(COUNTIF(Script_List[Script ID],'Raw Data'!B224)=1,0,1)</ns0:f>
        <ns0:v>0</ns0:v>
      </ns0:c>
      <ns0:c r="H224" s="4">
        <ns0:f>IF(COUNTIF(RawData[Session ID],F224)=1,0,1)</ns0:f>
        <ns0:v>0</ns0:v>
      </ns0:c>
    </ns0:row>
    <ns0:row r="225">
      <ns0:c r="F225" s="4" t="inlineStr">
        <ns0:is>
          <ns0:t>SES-0224</ns0:t>
        </ns0:is>
      </ns0:c>
      <ns0:c r="G225" s="4">
        <ns0:f>IF(COUNTIF(Script_List[Script ID],'Raw Data'!B225)=1,0,1)</ns0:f>
        <ns0:v>0</ns0:v>
      </ns0:c>
      <ns0:c r="H225" s="4">
        <ns0:f>IF(COUNTIF(RawData[Session ID],F225)=1,0,1)</ns0:f>
        <ns0:v>0</ns0:v>
      </ns0:c>
    </ns0:row>
    <ns0:row r="226">
      <ns0:c r="F226" s="4" t="inlineStr">
        <ns0:is>
          <ns0:t>SES-0225</ns0:t>
        </ns0:is>
      </ns0:c>
      <ns0:c r="G226" s="4">
        <ns0:f>IF(COUNTIF(Script_List[Script ID],'Raw Data'!B226)=1,0,1)</ns0:f>
        <ns0:v>0</ns0:v>
      </ns0:c>
      <ns0:c r="H226" s="4">
        <ns0:f>IF(COUNTIF(RawData[Session ID],F226)=1,0,1)</ns0:f>
        <ns0:v>0</ns0:v>
      </ns0:c>
    </ns0:row>
    <ns0:row r="227">
      <ns0:c r="F227" s="4" t="inlineStr">
        <ns0:is>
          <ns0:t>SES-0226</ns0:t>
        </ns0:is>
      </ns0:c>
      <ns0:c r="G227" s="4">
        <ns0:f>IF(COUNTIF(Script_List[Script ID],'Raw Data'!B227)=1,0,1)</ns0:f>
        <ns0:v>0</ns0:v>
      </ns0:c>
      <ns0:c r="H227" s="4">
        <ns0:f>IF(COUNTIF(RawData[Session ID],F227)=1,0,1)</ns0:f>
        <ns0:v>0</ns0:v>
      </ns0:c>
    </ns0:row>
    <ns0:row r="228">
      <ns0:c r="F228" s="4" t="inlineStr">
        <ns0:is>
          <ns0:t>SES-0227</ns0:t>
        </ns0:is>
      </ns0:c>
      <ns0:c r="G228" s="4">
        <ns0:f>IF(COUNTIF(Script_List[Script ID],'Raw Data'!B228)=1,0,1)</ns0:f>
        <ns0:v>0</ns0:v>
      </ns0:c>
      <ns0:c r="H228" s="4">
        <ns0:f>IF(COUNTIF(RawData[Session ID],F228)=1,0,1)</ns0:f>
        <ns0:v>0</ns0:v>
      </ns0:c>
    </ns0:row>
    <ns0:row r="229">
      <ns0:c r="F229" s="4" t="inlineStr">
        <ns0:is>
          <ns0:t>SES-0228</ns0:t>
        </ns0:is>
      </ns0:c>
      <ns0:c r="G229" s="4">
        <ns0:f>IF(COUNTIF(Script_List[Script ID],'Raw Data'!B229)=1,0,1)</ns0:f>
        <ns0:v>0</ns0:v>
      </ns0:c>
      <ns0:c r="H229" s="4">
        <ns0:f>IF(COUNTIF(RawData[Session ID],F229)=1,0,1)</ns0:f>
        <ns0:v>0</ns0:v>
      </ns0:c>
    </ns0:row>
    <ns0:row r="230">
      <ns0:c r="F230" s="4" t="inlineStr">
        <ns0:is>
          <ns0:t>SES-0229</ns0:t>
        </ns0:is>
      </ns0:c>
      <ns0:c r="G230" s="4">
        <ns0:f>IF(COUNTIF(Script_List[Script ID],'Raw Data'!B230)=1,0,1)</ns0:f>
        <ns0:v>0</ns0:v>
      </ns0:c>
      <ns0:c r="H230" s="4">
        <ns0:f>IF(COUNTIF(RawData[Session ID],F230)=1,0,1)</ns0:f>
        <ns0:v>0</ns0:v>
      </ns0:c>
    </ns0:row>
    <ns0:row r="231">
      <ns0:c r="F231" s="4" t="inlineStr">
        <ns0:is>
          <ns0:t>SES-0230</ns0:t>
        </ns0:is>
      </ns0:c>
      <ns0:c r="G231" s="4">
        <ns0:f>IF(COUNTIF(Script_List[Script ID],'Raw Data'!B231)=1,0,1)</ns0:f>
        <ns0:v>0</ns0:v>
      </ns0:c>
      <ns0:c r="H231" s="4">
        <ns0:f>IF(COUNTIF(RawData[Session ID],F231)=1,0,1)</ns0:f>
        <ns0:v>0</ns0:v>
      </ns0:c>
    </ns0:row>
    <ns0:row r="232">
      <ns0:c r="F232" s="4" t="inlineStr">
        <ns0:is>
          <ns0:t>SES-0231</ns0:t>
        </ns0:is>
      </ns0:c>
      <ns0:c r="G232" s="4">
        <ns0:f>IF(COUNTIF(Script_List[Script ID],'Raw Data'!B232)=1,0,1)</ns0:f>
        <ns0:v>0</ns0:v>
      </ns0:c>
      <ns0:c r="H232" s="4">
        <ns0:f>IF(COUNTIF(RawData[Session ID],F232)=1,0,1)</ns0:f>
        <ns0:v>0</ns0:v>
      </ns0:c>
    </ns0:row>
    <ns0:row r="233">
      <ns0:c r="F233" s="4" t="inlineStr">
        <ns0:is>
          <ns0:t>SES-0232</ns0:t>
        </ns0:is>
      </ns0:c>
      <ns0:c r="G233" s="4">
        <ns0:f>IF(COUNTIF(Script_List[Script ID],'Raw Data'!B233)=1,0,1)</ns0:f>
        <ns0:v>0</ns0:v>
      </ns0:c>
      <ns0:c r="H233" s="4">
        <ns0:f>IF(COUNTIF(RawData[Session ID],F233)=1,0,1)</ns0:f>
        <ns0:v>0</ns0:v>
      </ns0:c>
    </ns0:row>
    <ns0:row r="234">
      <ns0:c r="F234" s="4" t="inlineStr">
        <ns0:is>
          <ns0:t>SES-0233</ns0:t>
        </ns0:is>
      </ns0:c>
      <ns0:c r="G234" s="4">
        <ns0:f>IF(COUNTIF(Script_List[Script ID],'Raw Data'!B234)=1,0,1)</ns0:f>
        <ns0:v>0</ns0:v>
      </ns0:c>
      <ns0:c r="H234" s="4">
        <ns0:f>IF(COUNTIF(RawData[Session ID],F234)=1,0,1)</ns0:f>
        <ns0:v>0</ns0:v>
      </ns0:c>
    </ns0:row>
    <ns0:row r="235">
      <ns0:c r="F235" s="4" t="inlineStr">
        <ns0:is>
          <ns0:t>SES-0234</ns0:t>
        </ns0:is>
      </ns0:c>
      <ns0:c r="G235" s="4">
        <ns0:f>IF(COUNTIF(Script_List[Script ID],'Raw Data'!B235)=1,0,1)</ns0:f>
        <ns0:v>0</ns0:v>
      </ns0:c>
      <ns0:c r="H235" s="4">
        <ns0:f>IF(COUNTIF(RawData[Session ID],F235)=1,0,1)</ns0:f>
        <ns0:v>0</ns0:v>
      </ns0:c>
    </ns0:row>
    <ns0:row r="236">
      <ns0:c r="F236" s="4" t="inlineStr">
        <ns0:is>
          <ns0:t>SES-0235</ns0:t>
        </ns0:is>
      </ns0:c>
      <ns0:c r="G236" s="4">
        <ns0:f>IF(COUNTIF(Script_List[Script ID],'Raw Data'!B236)=1,0,1)</ns0:f>
        <ns0:v>0</ns0:v>
      </ns0:c>
      <ns0:c r="H236" s="4">
        <ns0:f>IF(COUNTIF(RawData[Session ID],F236)=1,0,1)</ns0:f>
        <ns0:v>0</ns0:v>
      </ns0:c>
    </ns0:row>
    <ns0:row r="237">
      <ns0:c r="F237" s="4" t="inlineStr">
        <ns0:is>
          <ns0:t>SES-0236</ns0:t>
        </ns0:is>
      </ns0:c>
      <ns0:c r="G237" s="4">
        <ns0:f>IF(COUNTIF(Script_List[Script ID],'Raw Data'!B237)=1,0,1)</ns0:f>
        <ns0:v>0</ns0:v>
      </ns0:c>
      <ns0:c r="H237" s="4">
        <ns0:f>IF(COUNTIF(RawData[Session ID],F237)=1,0,1)</ns0:f>
        <ns0:v>0</ns0:v>
      </ns0:c>
    </ns0:row>
    <ns0:row r="238">
      <ns0:c r="F238" s="4" t="inlineStr">
        <ns0:is>
          <ns0:t>SES-0237</ns0:t>
        </ns0:is>
      </ns0:c>
      <ns0:c r="G238" s="4">
        <ns0:f>IF(COUNTIF(Script_List[Script ID],'Raw Data'!B238)=1,0,1)</ns0:f>
        <ns0:v>0</ns0:v>
      </ns0:c>
      <ns0:c r="H238" s="4">
        <ns0:f>IF(COUNTIF(RawData[Session ID],F238)=1,0,1)</ns0:f>
        <ns0:v>0</ns0:v>
      </ns0:c>
    </ns0:row>
    <ns0:row r="239">
      <ns0:c r="F239" s="4" t="inlineStr">
        <ns0:is>
          <ns0:t>SES-0238</ns0:t>
        </ns0:is>
      </ns0:c>
      <ns0:c r="G239" s="4">
        <ns0:f>IF(COUNTIF(Script_List[Script ID],'Raw Data'!B239)=1,0,1)</ns0:f>
        <ns0:v>0</ns0:v>
      </ns0:c>
      <ns0:c r="H239" s="4">
        <ns0:f>IF(COUNTIF(RawData[Session ID],F239)=1,0,1)</ns0:f>
        <ns0:v>0</ns0:v>
      </ns0:c>
    </ns0:row>
    <ns0:row r="240">
      <ns0:c r="F240" s="4" t="inlineStr">
        <ns0:is>
          <ns0:t>SES-0239</ns0:t>
        </ns0:is>
      </ns0:c>
      <ns0:c r="G240" s="4">
        <ns0:f>IF(COUNTIF(Script_List[Script ID],'Raw Data'!B240)=1,0,1)</ns0:f>
        <ns0:v>0</ns0:v>
      </ns0:c>
      <ns0:c r="H240" s="4">
        <ns0:f>IF(COUNTIF(RawData[Session ID],F240)=1,0,1)</ns0:f>
        <ns0:v>0</ns0:v>
      </ns0:c>
    </ns0:row>
    <ns0:row r="241">
      <ns0:c r="F241" s="4" t="inlineStr">
        <ns0:is>
          <ns0:t>SES-0240</ns0:t>
        </ns0:is>
      </ns0:c>
      <ns0:c r="G241" s="4">
        <ns0:f>IF(COUNTIF(Script_List[Script ID],'Raw Data'!B241)=1,0,1)</ns0:f>
        <ns0:v>0</ns0:v>
      </ns0:c>
      <ns0:c r="H241" s="4">
        <ns0:f>IF(COUNTIF(RawData[Session ID],F241)=1,0,1)</ns0:f>
        <ns0:v>0</ns0:v>
      </ns0:c>
    </ns0:row>
    <ns0:row r="242">
      <ns0:c r="F242" s="4" t="inlineStr">
        <ns0:is>
          <ns0:t>SES-0241</ns0:t>
        </ns0:is>
      </ns0:c>
      <ns0:c r="G242" s="4">
        <ns0:f>IF(COUNTIF(Script_List[Script ID],'Raw Data'!B242)=1,0,1)</ns0:f>
        <ns0:v>0</ns0:v>
      </ns0:c>
      <ns0:c r="H242" s="4">
        <ns0:f>IF(COUNTIF(RawData[Session ID],F242)=1,0,1)</ns0:f>
        <ns0:v>0</ns0:v>
      </ns0:c>
    </ns0:row>
    <ns0:row r="243">
      <ns0:c r="F243" s="4" t="inlineStr">
        <ns0:is>
          <ns0:t>SES-0242</ns0:t>
        </ns0:is>
      </ns0:c>
      <ns0:c r="G243" s="4">
        <ns0:f>IF(COUNTIF(Script_List[Script ID],'Raw Data'!B243)=1,0,1)</ns0:f>
        <ns0:v>0</ns0:v>
      </ns0:c>
      <ns0:c r="H243" s="4">
        <ns0:f>IF(COUNTIF(RawData[Session ID],F243)=1,0,1)</ns0:f>
        <ns0:v>0</ns0:v>
      </ns0:c>
    </ns0:row>
    <ns0:row r="244">
      <ns0:c r="F244" s="4" t="inlineStr">
        <ns0:is>
          <ns0:t>SES-0243</ns0:t>
        </ns0:is>
      </ns0:c>
      <ns0:c r="G244" s="4">
        <ns0:f>IF(COUNTIF(Script_List[Script ID],'Raw Data'!B244)=1,0,1)</ns0:f>
        <ns0:v>0</ns0:v>
      </ns0:c>
      <ns0:c r="H244" s="4">
        <ns0:f>IF(COUNTIF(RawData[Session ID],F244)=1,0,1)</ns0:f>
        <ns0:v>0</ns0:v>
      </ns0:c>
    </ns0:row>
    <ns0:row r="245">
      <ns0:c r="F245" s="4" t="inlineStr">
        <ns0:is>
          <ns0:t>SES-0244</ns0:t>
        </ns0:is>
      </ns0:c>
      <ns0:c r="G245" s="4">
        <ns0:f>IF(COUNTIF(Script_List[Script ID],'Raw Data'!B245)=1,0,1)</ns0:f>
        <ns0:v>0</ns0:v>
      </ns0:c>
      <ns0:c r="H245" s="4">
        <ns0:f>IF(COUNTIF(RawData[Session ID],F245)=1,0,1)</ns0:f>
        <ns0:v>0</ns0:v>
      </ns0:c>
    </ns0:row>
    <ns0:row r="246">
      <ns0:c r="F246" s="4" t="inlineStr">
        <ns0:is>
          <ns0:t>SES-0245</ns0:t>
        </ns0:is>
      </ns0:c>
      <ns0:c r="G246" s="4">
        <ns0:f>IF(COUNTIF(Script_List[Script ID],'Raw Data'!B246)=1,0,1)</ns0:f>
        <ns0:v>0</ns0:v>
      </ns0:c>
      <ns0:c r="H246" s="4">
        <ns0:f>IF(COUNTIF(RawData[Session ID],F246)=1,0,1)</ns0:f>
        <ns0:v>0</ns0:v>
      </ns0:c>
    </ns0:row>
    <ns0:row r="247">
      <ns0:c r="F247" s="4" t="inlineStr">
        <ns0:is>
          <ns0:t>SES-0246</ns0:t>
        </ns0:is>
      </ns0:c>
      <ns0:c r="G247" s="4">
        <ns0:f>IF(COUNTIF(Script_List[Script ID],'Raw Data'!B247)=1,0,1)</ns0:f>
        <ns0:v>0</ns0:v>
      </ns0:c>
      <ns0:c r="H247" s="4">
        <ns0:f>IF(COUNTIF(RawData[Session ID],F247)=1,0,1)</ns0:f>
        <ns0:v>0</ns0:v>
      </ns0:c>
    </ns0:row>
    <ns0:row r="248">
      <ns0:c r="F248" s="4" t="inlineStr">
        <ns0:is>
          <ns0:t>SES-0247</ns0:t>
        </ns0:is>
      </ns0:c>
      <ns0:c r="G248" s="4">
        <ns0:f>IF(COUNTIF(Script_List[Script ID],'Raw Data'!B248)=1,0,1)</ns0:f>
        <ns0:v>0</ns0:v>
      </ns0:c>
      <ns0:c r="H248" s="4">
        <ns0:f>IF(COUNTIF(RawData[Session ID],F248)=1,0,1)</ns0:f>
        <ns0:v>0</ns0:v>
      </ns0:c>
    </ns0:row>
    <ns0:row r="249">
      <ns0:c r="F249" s="4" t="inlineStr">
        <ns0:is>
          <ns0:t>SES-0248</ns0:t>
        </ns0:is>
      </ns0:c>
      <ns0:c r="G249" s="4">
        <ns0:f>IF(COUNTIF(Script_List[Script ID],'Raw Data'!B249)=1,0,1)</ns0:f>
        <ns0:v>0</ns0:v>
      </ns0:c>
      <ns0:c r="H249" s="4">
        <ns0:f>IF(COUNTIF(RawData[Session ID],F249)=1,0,1)</ns0:f>
        <ns0:v>0</ns0:v>
      </ns0:c>
    </ns0:row>
    <ns0:row r="250">
      <ns0:c r="F250" s="4" t="inlineStr">
        <ns0:is>
          <ns0:t>SES-0249</ns0:t>
        </ns0:is>
      </ns0:c>
      <ns0:c r="G250" s="4">
        <ns0:f>IF(COUNTIF(Script_List[Script ID],'Raw Data'!B250)=1,0,1)</ns0:f>
        <ns0:v>0</ns0:v>
      </ns0:c>
      <ns0:c r="H250" s="4">
        <ns0:f>IF(COUNTIF(RawData[Session ID],F250)=1,0,1)</ns0:f>
        <ns0:v>0</ns0:v>
      </ns0:c>
    </ns0:row>
    <ns0:row r="251">
      <ns0:c r="F251" s="4" t="inlineStr">
        <ns0:is>
          <ns0:t>SES-0250</ns0:t>
        </ns0:is>
      </ns0:c>
      <ns0:c r="G251" s="4">
        <ns0:f>IF(COUNTIF(Script_List[Script ID],'Raw Data'!B251)=1,0,1)</ns0:f>
        <ns0:v>0</ns0:v>
      </ns0:c>
      <ns0:c r="H251" s="4">
        <ns0:f>IF(COUNTIF(RawData[Session ID],F251)=1,0,1)</ns0:f>
        <ns0:v>0</ns0:v>
      </ns0:c>
    </ns0:row>
    <ns0:row r="252">
      <ns0:c r="F252" s="4" t="inlineStr">
        <ns0:is>
          <ns0:t>SES-0251</ns0:t>
        </ns0:is>
      </ns0:c>
      <ns0:c r="G252" s="4">
        <ns0:f>IF(COUNTIF(Script_List[Script ID],'Raw Data'!B252)=1,0,1)</ns0:f>
        <ns0:v>0</ns0:v>
      </ns0:c>
      <ns0:c r="H252" s="4">
        <ns0:f>IF(COUNTIF(RawData[Session ID],F252)=1,0,1)</ns0:f>
        <ns0:v>0</ns0:v>
      </ns0:c>
    </ns0:row>
    <ns0:row r="253">
      <ns0:c r="F253" s="4" t="inlineStr">
        <ns0:is>
          <ns0:t>SES-0252</ns0:t>
        </ns0:is>
      </ns0:c>
      <ns0:c r="G253" s="4">
        <ns0:f>IF(COUNTIF(Script_List[Script ID],'Raw Data'!B253)=1,0,1)</ns0:f>
        <ns0:v>0</ns0:v>
      </ns0:c>
      <ns0:c r="H253" s="4">
        <ns0:f>IF(COUNTIF(RawData[Session ID],F253)=1,0,1)</ns0:f>
        <ns0:v>0</ns0:v>
      </ns0:c>
    </ns0:row>
    <ns0:row r="254">
      <ns0:c r="F254" s="4" t="inlineStr">
        <ns0:is>
          <ns0:t>SES-0253</ns0:t>
        </ns0:is>
      </ns0:c>
      <ns0:c r="G254" s="4">
        <ns0:f>IF(COUNTIF(Script_List[Script ID],'Raw Data'!B254)=1,0,1)</ns0:f>
        <ns0:v>0</ns0:v>
      </ns0:c>
      <ns0:c r="H254" s="4">
        <ns0:f>IF(COUNTIF(RawData[Session ID],F254)=1,0,1)</ns0:f>
        <ns0:v>0</ns0:v>
      </ns0:c>
    </ns0:row>
    <ns0:row r="255">
      <ns0:c r="F255" s="4" t="inlineStr">
        <ns0:is>
          <ns0:t>SES-0254</ns0:t>
        </ns0:is>
      </ns0:c>
      <ns0:c r="G255" s="4">
        <ns0:f>IF(COUNTIF(Script_List[Script ID],'Raw Data'!B255)=1,0,1)</ns0:f>
        <ns0:v>0</ns0:v>
      </ns0:c>
      <ns0:c r="H255" s="4">
        <ns0:f>IF(COUNTIF(RawData[Session ID],F255)=1,0,1)</ns0:f>
        <ns0:v>0</ns0:v>
      </ns0:c>
    </ns0:row>
    <ns0:row r="256">
      <ns0:c r="F256" s="4" t="inlineStr">
        <ns0:is>
          <ns0:t>SES-0255</ns0:t>
        </ns0:is>
      </ns0:c>
      <ns0:c r="G256" s="4">
        <ns0:f>IF(COUNTIF(Script_List[Script ID],'Raw Data'!B256)=1,0,1)</ns0:f>
        <ns0:v>0</ns0:v>
      </ns0:c>
      <ns0:c r="H256" s="4">
        <ns0:f>IF(COUNTIF(RawData[Session ID],F256)=1,0,1)</ns0:f>
        <ns0:v>0</ns0:v>
      </ns0:c>
    </ns0:row>
    <ns0:row r="257">
      <ns0:c r="F257" s="4" t="inlineStr">
        <ns0:is>
          <ns0:t>SES-0256</ns0:t>
        </ns0:is>
      </ns0:c>
      <ns0:c r="G257" s="4">
        <ns0:f>IF(COUNTIF(Script_List[Script ID],'Raw Data'!B257)=1,0,1)</ns0:f>
        <ns0:v>0</ns0:v>
      </ns0:c>
      <ns0:c r="H257" s="4">
        <ns0:f>IF(COUNTIF(RawData[Session ID],F257)=1,0,1)</ns0:f>
        <ns0:v>0</ns0:v>
      </ns0:c>
    </ns0:row>
    <ns0:row r="258">
      <ns0:c r="F258" s="4" t="inlineStr">
        <ns0:is>
          <ns0:t>SES-0257</ns0:t>
        </ns0:is>
      </ns0:c>
      <ns0:c r="G258" s="4">
        <ns0:f>IF(COUNTIF(Script_List[Script ID],'Raw Data'!B258)=1,0,1)</ns0:f>
        <ns0:v>0</ns0:v>
      </ns0:c>
      <ns0:c r="H258" s="4">
        <ns0:f>IF(COUNTIF(RawData[Session ID],F258)=1,0,1)</ns0:f>
        <ns0:v>0</ns0:v>
      </ns0:c>
    </ns0:row>
    <ns0:row r="259">
      <ns0:c r="F259" s="4" t="inlineStr">
        <ns0:is>
          <ns0:t>SES-0258</ns0:t>
        </ns0:is>
      </ns0:c>
      <ns0:c r="G259" s="4">
        <ns0:f>IF(COUNTIF(Script_List[Script ID],'Raw Data'!B259)=1,0,1)</ns0:f>
        <ns0:v>0</ns0:v>
      </ns0:c>
      <ns0:c r="H259" s="4">
        <ns0:f>IF(COUNTIF(RawData[Session ID],F259)=1,0,1)</ns0:f>
        <ns0:v>0</ns0:v>
      </ns0:c>
    </ns0:row>
    <ns0:row r="260">
      <ns0:c r="F260" s="4" t="inlineStr">
        <ns0:is>
          <ns0:t>SES-0259</ns0:t>
        </ns0:is>
      </ns0:c>
      <ns0:c r="G260" s="4">
        <ns0:f>IF(COUNTIF(Script_List[Script ID],'Raw Data'!B260)=1,0,1)</ns0:f>
        <ns0:v>0</ns0:v>
      </ns0:c>
      <ns0:c r="H260" s="4">
        <ns0:f>IF(COUNTIF(RawData[Session ID],F260)=1,0,1)</ns0:f>
        <ns0:v>0</ns0:v>
      </ns0:c>
    </ns0:row>
    <ns0:row r="261">
      <ns0:c r="F261" s="4" t="inlineStr">
        <ns0:is>
          <ns0:t>SES-0260</ns0:t>
        </ns0:is>
      </ns0:c>
      <ns0:c r="G261" s="4">
        <ns0:f>IF(COUNTIF(Script_List[Script ID],'Raw Data'!B261)=1,0,1)</ns0:f>
        <ns0:v>0</ns0:v>
      </ns0:c>
      <ns0:c r="H261" s="4">
        <ns0:f>IF(COUNTIF(RawData[Session ID],F261)=1,0,1)</ns0:f>
        <ns0:v>0</ns0:v>
      </ns0:c>
    </ns0:row>
    <ns0:row r="262">
      <ns0:c r="F262" s="4" t="inlineStr">
        <ns0:is>
          <ns0:t>SES-0261</ns0:t>
        </ns0:is>
      </ns0:c>
      <ns0:c r="G262" s="4">
        <ns0:f>IF(COUNTIF(Script_List[Script ID],'Raw Data'!B262)=1,0,1)</ns0:f>
        <ns0:v>0</ns0:v>
      </ns0:c>
      <ns0:c r="H262" s="4">
        <ns0:f>IF(COUNTIF(RawData[Session ID],F262)=1,0,1)</ns0:f>
        <ns0:v>0</ns0:v>
      </ns0:c>
    </ns0:row>
    <ns0:row r="263">
      <ns0:c r="F263" s="4" t="inlineStr">
        <ns0:is>
          <ns0:t>SES-0262</ns0:t>
        </ns0:is>
      </ns0:c>
      <ns0:c r="G263" s="4">
        <ns0:f>IF(COUNTIF(Script_List[Script ID],'Raw Data'!B263)=1,0,1)</ns0:f>
        <ns0:v>0</ns0:v>
      </ns0:c>
      <ns0:c r="H263" s="4">
        <ns0:f>IF(COUNTIF(RawData[Session ID],F263)=1,0,1)</ns0:f>
        <ns0:v>0</ns0:v>
      </ns0:c>
    </ns0:row>
    <ns0:row r="264">
      <ns0:c r="F264" s="4" t="inlineStr">
        <ns0:is>
          <ns0:t>SES-0263</ns0:t>
        </ns0:is>
      </ns0:c>
      <ns0:c r="G264" s="4">
        <ns0:f>IF(COUNTIF(Script_List[Script ID],'Raw Data'!B264)=1,0,1)</ns0:f>
        <ns0:v>0</ns0:v>
      </ns0:c>
      <ns0:c r="H264" s="4">
        <ns0:f>IF(COUNTIF(RawData[Session ID],F264)=1,0,1)</ns0:f>
        <ns0:v>0</ns0:v>
      </ns0:c>
    </ns0:row>
    <ns0:row r="265">
      <ns0:c r="F265" s="4" t="inlineStr">
        <ns0:is>
          <ns0:t>SES-0264</ns0:t>
        </ns0:is>
      </ns0:c>
      <ns0:c r="G265" s="4">
        <ns0:f>IF(COUNTIF(Script_List[Script ID],'Raw Data'!B265)=1,0,1)</ns0:f>
        <ns0:v>0</ns0:v>
      </ns0:c>
      <ns0:c r="H265" s="4">
        <ns0:f>IF(COUNTIF(RawData[Session ID],F265)=1,0,1)</ns0:f>
        <ns0:v>0</ns0:v>
      </ns0:c>
    </ns0:row>
    <ns0:row r="266">
      <ns0:c r="F266" s="4" t="inlineStr">
        <ns0:is>
          <ns0:t>SES-0265</ns0:t>
        </ns0:is>
      </ns0:c>
      <ns0:c r="G266" s="4">
        <ns0:f>IF(COUNTIF(Script_List[Script ID],'Raw Data'!B266)=1,0,1)</ns0:f>
        <ns0:v>0</ns0:v>
      </ns0:c>
      <ns0:c r="H266" s="4">
        <ns0:f>IF(COUNTIF(RawData[Session ID],F266)=1,0,1)</ns0:f>
        <ns0:v>0</ns0:v>
      </ns0:c>
    </ns0:row>
    <ns0:row r="267">
      <ns0:c r="F267" s="4" t="inlineStr">
        <ns0:is>
          <ns0:t>SES-0266</ns0:t>
        </ns0:is>
      </ns0:c>
      <ns0:c r="G267" s="4">
        <ns0:f>IF(COUNTIF(Script_List[Script ID],'Raw Data'!B267)=1,0,1)</ns0:f>
        <ns0:v>0</ns0:v>
      </ns0:c>
      <ns0:c r="H267" s="4">
        <ns0:f>IF(COUNTIF(RawData[Session ID],F267)=1,0,1)</ns0:f>
        <ns0:v>0</ns0:v>
      </ns0:c>
    </ns0:row>
    <ns0:row r="268">
      <ns0:c r="F268" s="4" t="inlineStr">
        <ns0:is>
          <ns0:t>SES-0267</ns0:t>
        </ns0:is>
      </ns0:c>
      <ns0:c r="G268" s="4">
        <ns0:f>IF(COUNTIF(Script_List[Script ID],'Raw Data'!B268)=1,0,1)</ns0:f>
        <ns0:v>0</ns0:v>
      </ns0:c>
      <ns0:c r="H268" s="4">
        <ns0:f>IF(COUNTIF(RawData[Session ID],F268)=1,0,1)</ns0:f>
        <ns0:v>0</ns0:v>
      </ns0:c>
    </ns0:row>
    <ns0:row r="269">
      <ns0:c r="F269" s="4" t="inlineStr">
        <ns0:is>
          <ns0:t>SES-0268</ns0:t>
        </ns0:is>
      </ns0:c>
      <ns0:c r="G269" s="4">
        <ns0:f>IF(COUNTIF(Script_List[Script ID],'Raw Data'!B269)=1,0,1)</ns0:f>
        <ns0:v>0</ns0:v>
      </ns0:c>
      <ns0:c r="H269" s="4">
        <ns0:f>IF(COUNTIF(RawData[Session ID],F269)=1,0,1)</ns0:f>
        <ns0:v>0</ns0:v>
      </ns0:c>
    </ns0:row>
    <ns0:row r="270">
      <ns0:c r="F270" s="4" t="inlineStr">
        <ns0:is>
          <ns0:t>SES-0269</ns0:t>
        </ns0:is>
      </ns0:c>
      <ns0:c r="G270" s="4">
        <ns0:f>IF(COUNTIF(Script_List[Script ID],'Raw Data'!B270)=1,0,1)</ns0:f>
        <ns0:v>0</ns0:v>
      </ns0:c>
      <ns0:c r="H270" s="4">
        <ns0:f>IF(COUNTIF(RawData[Session ID],F270)=1,0,1)</ns0:f>
        <ns0:v>0</ns0:v>
      </ns0:c>
    </ns0:row>
    <ns0:row r="271">
      <ns0:c r="F271" s="4" t="inlineStr">
        <ns0:is>
          <ns0:t>SES-0270</ns0:t>
        </ns0:is>
      </ns0:c>
      <ns0:c r="G271" s="4">
        <ns0:f>IF(COUNTIF(Script_List[Script ID],'Raw Data'!B271)=1,0,1)</ns0:f>
        <ns0:v>0</ns0:v>
      </ns0:c>
      <ns0:c r="H271" s="4">
        <ns0:f>IF(COUNTIF(RawData[Session ID],F271)=1,0,1)</ns0:f>
        <ns0:v>0</ns0:v>
      </ns0:c>
    </ns0:row>
    <ns0:row r="272">
      <ns0:c r="F272" s="4" t="inlineStr">
        <ns0:is>
          <ns0:t>SES-0271</ns0:t>
        </ns0:is>
      </ns0:c>
      <ns0:c r="G272" s="4">
        <ns0:f>IF(COUNTIF(Script_List[Script ID],'Raw Data'!B272)=1,0,1)</ns0:f>
        <ns0:v>0</ns0:v>
      </ns0:c>
      <ns0:c r="H272" s="4">
        <ns0:f>IF(COUNTIF(RawData[Session ID],F272)=1,0,1)</ns0:f>
        <ns0:v>0</ns0:v>
      </ns0:c>
    </ns0:row>
    <ns0:row r="273">
      <ns0:c r="F273" s="4" t="inlineStr">
        <ns0:is>
          <ns0:t>SES-0272</ns0:t>
        </ns0:is>
      </ns0:c>
      <ns0:c r="G273" s="4">
        <ns0:f>IF(COUNTIF(Script_List[Script ID],'Raw Data'!B273)=1,0,1)</ns0:f>
        <ns0:v>0</ns0:v>
      </ns0:c>
      <ns0:c r="H273" s="4">
        <ns0:f>IF(COUNTIF(RawData[Session ID],F273)=1,0,1)</ns0:f>
        <ns0:v>0</ns0:v>
      </ns0:c>
    </ns0:row>
    <ns0:row r="274">
      <ns0:c r="F274" s="4" t="inlineStr">
        <ns0:is>
          <ns0:t>SES-0273</ns0:t>
        </ns0:is>
      </ns0:c>
      <ns0:c r="G274" s="4">
        <ns0:f>IF(COUNTIF(Script_List[Script ID],'Raw Data'!B274)=1,0,1)</ns0:f>
        <ns0:v>0</ns0:v>
      </ns0:c>
      <ns0:c r="H274" s="4">
        <ns0:f>IF(COUNTIF(RawData[Session ID],F274)=1,0,1)</ns0:f>
        <ns0:v>0</ns0:v>
      </ns0:c>
    </ns0:row>
    <ns0:row r="275">
      <ns0:c r="F275" s="4" t="inlineStr">
        <ns0:is>
          <ns0:t>SES-0274</ns0:t>
        </ns0:is>
      </ns0:c>
      <ns0:c r="G275" s="4">
        <ns0:f>IF(COUNTIF(Script_List[Script ID],'Raw Data'!B275)=1,0,1)</ns0:f>
        <ns0:v>0</ns0:v>
      </ns0:c>
      <ns0:c r="H275" s="4">
        <ns0:f>IF(COUNTIF(RawData[Session ID],F275)=1,0,1)</ns0:f>
        <ns0:v>0</ns0:v>
      </ns0:c>
    </ns0:row>
    <ns0:row r="276">
      <ns0:c r="F276" s="4" t="inlineStr">
        <ns0:is>
          <ns0:t>SES-0275</ns0:t>
        </ns0:is>
      </ns0:c>
      <ns0:c r="G276" s="4">
        <ns0:f>IF(COUNTIF(Script_List[Script ID],'Raw Data'!B276)=1,0,1)</ns0:f>
        <ns0:v>0</ns0:v>
      </ns0:c>
      <ns0:c r="H276" s="4">
        <ns0:f>IF(COUNTIF(RawData[Session ID],F276)=1,0,1)</ns0:f>
        <ns0:v>0</ns0:v>
      </ns0:c>
    </ns0:row>
    <ns0:row r="277">
      <ns0:c r="F277" s="4" t="inlineStr">
        <ns0:is>
          <ns0:t>SES-0276</ns0:t>
        </ns0:is>
      </ns0:c>
      <ns0:c r="G277" s="4">
        <ns0:f>IF(COUNTIF(Script_List[Script ID],'Raw Data'!B277)=1,0,1)</ns0:f>
        <ns0:v>0</ns0:v>
      </ns0:c>
      <ns0:c r="H277" s="4">
        <ns0:f>IF(COUNTIF(RawData[Session ID],F277)=1,0,1)</ns0:f>
        <ns0:v>0</ns0:v>
      </ns0:c>
    </ns0:row>
    <ns0:row r="278">
      <ns0:c r="F278" s="4" t="inlineStr">
        <ns0:is>
          <ns0:t>SES-0277</ns0:t>
        </ns0:is>
      </ns0:c>
      <ns0:c r="G278" s="4">
        <ns0:f>IF(COUNTIF(Script_List[Script ID],'Raw Data'!B278)=1,0,1)</ns0:f>
        <ns0:v>0</ns0:v>
      </ns0:c>
      <ns0:c r="H278" s="4">
        <ns0:f>IF(COUNTIF(RawData[Session ID],F278)=1,0,1)</ns0:f>
        <ns0:v>0</ns0:v>
      </ns0:c>
    </ns0:row>
    <ns0:row r="279">
      <ns0:c r="F279" s="4" t="inlineStr">
        <ns0:is>
          <ns0:t>SES-0278</ns0:t>
        </ns0:is>
      </ns0:c>
      <ns0:c r="G279" s="4">
        <ns0:f>IF(COUNTIF(Script_List[Script ID],'Raw Data'!B279)=1,0,1)</ns0:f>
        <ns0:v>0</ns0:v>
      </ns0:c>
      <ns0:c r="H279" s="4">
        <ns0:f>IF(COUNTIF(RawData[Session ID],F279)=1,0,1)</ns0:f>
        <ns0:v>0</ns0:v>
      </ns0:c>
    </ns0:row>
    <ns0:row r="280">
      <ns0:c r="F280" s="4" t="inlineStr">
        <ns0:is>
          <ns0:t>SES-0279</ns0:t>
        </ns0:is>
      </ns0:c>
      <ns0:c r="G280" s="4">
        <ns0:f>IF(COUNTIF(Script_List[Script ID],'Raw Data'!B280)=1,0,1)</ns0:f>
        <ns0:v>0</ns0:v>
      </ns0:c>
      <ns0:c r="H280" s="4">
        <ns0:f>IF(COUNTIF(RawData[Session ID],F280)=1,0,1)</ns0:f>
        <ns0:v>0</ns0:v>
      </ns0:c>
    </ns0:row>
    <ns0:row r="281">
      <ns0:c r="F281" s="4" t="inlineStr">
        <ns0:is>
          <ns0:t>SES-0280</ns0:t>
        </ns0:is>
      </ns0:c>
      <ns0:c r="G281" s="4">
        <ns0:f>IF(COUNTIF(Script_List[Script ID],'Raw Data'!B281)=1,0,1)</ns0:f>
        <ns0:v>0</ns0:v>
      </ns0:c>
      <ns0:c r="H281" s="4">
        <ns0:f>IF(COUNTIF(RawData[Session ID],F281)=1,0,1)</ns0:f>
        <ns0:v>0</ns0:v>
      </ns0:c>
    </ns0:row>
    <ns0:row r="282">
      <ns0:c r="F282" s="4" t="inlineStr">
        <ns0:is>
          <ns0:t>SES-0281</ns0:t>
        </ns0:is>
      </ns0:c>
      <ns0:c r="G282" s="4">
        <ns0:f>IF(COUNTIF(Script_List[Script ID],'Raw Data'!B282)=1,0,1)</ns0:f>
        <ns0:v>0</ns0:v>
      </ns0:c>
      <ns0:c r="H282" s="4">
        <ns0:f>IF(COUNTIF(RawData[Session ID],F282)=1,0,1)</ns0:f>
        <ns0:v>0</ns0:v>
      </ns0:c>
    </ns0:row>
    <ns0:row r="283">
      <ns0:c r="F283" s="4" t="inlineStr">
        <ns0:is>
          <ns0:t>SES-0282</ns0:t>
        </ns0:is>
      </ns0:c>
      <ns0:c r="G283" s="4">
        <ns0:f>IF(COUNTIF(Script_List[Script ID],'Raw Data'!B283)=1,0,1)</ns0:f>
        <ns0:v>0</ns0:v>
      </ns0:c>
      <ns0:c r="H283" s="4">
        <ns0:f>IF(COUNTIF(RawData[Session ID],F283)=1,0,1)</ns0:f>
        <ns0:v>0</ns0:v>
      </ns0:c>
    </ns0:row>
    <ns0:row r="284">
      <ns0:c r="F284" s="4" t="inlineStr">
        <ns0:is>
          <ns0:t>SES-0283</ns0:t>
        </ns0:is>
      </ns0:c>
      <ns0:c r="G284" s="4">
        <ns0:f>IF(COUNTIF(Script_List[Script ID],'Raw Data'!B284)=1,0,1)</ns0:f>
        <ns0:v>0</ns0:v>
      </ns0:c>
      <ns0:c r="H284" s="4">
        <ns0:f>IF(COUNTIF(RawData[Session ID],F284)=1,0,1)</ns0:f>
        <ns0:v>0</ns0:v>
      </ns0:c>
    </ns0:row>
    <ns0:row r="285">
      <ns0:c r="F285" s="4" t="inlineStr">
        <ns0:is>
          <ns0:t>SES-0284</ns0:t>
        </ns0:is>
      </ns0:c>
      <ns0:c r="G285" s="4">
        <ns0:f>IF(COUNTIF(Script_List[Script ID],'Raw Data'!B285)=1,0,1)</ns0:f>
        <ns0:v>0</ns0:v>
      </ns0:c>
      <ns0:c r="H285" s="4">
        <ns0:f>IF(COUNTIF(RawData[Session ID],F285)=1,0,1)</ns0:f>
        <ns0:v>0</ns0:v>
      </ns0:c>
    </ns0:row>
    <ns0:row r="286">
      <ns0:c r="F286" s="4" t="inlineStr">
        <ns0:is>
          <ns0:t>SES-0285</ns0:t>
        </ns0:is>
      </ns0:c>
      <ns0:c r="G286" s="4">
        <ns0:f>IF(COUNTIF(Script_List[Script ID],'Raw Data'!B286)=1,0,1)</ns0:f>
        <ns0:v>0</ns0:v>
      </ns0:c>
      <ns0:c r="H286" s="4">
        <ns0:f>IF(COUNTIF(RawData[Session ID],F286)=1,0,1)</ns0:f>
        <ns0:v>0</ns0:v>
      </ns0:c>
    </ns0:row>
    <ns0:row r="287">
      <ns0:c r="F287" s="4" t="inlineStr">
        <ns0:is>
          <ns0:t>SES-0286</ns0:t>
        </ns0:is>
      </ns0:c>
      <ns0:c r="G287" s="4">
        <ns0:f>IF(COUNTIF(Script_List[Script ID],'Raw Data'!B287)=1,0,1)</ns0:f>
        <ns0:v>0</ns0:v>
      </ns0:c>
      <ns0:c r="H287" s="4">
        <ns0:f>IF(COUNTIF(RawData[Session ID],F287)=1,0,1)</ns0:f>
        <ns0:v>0</ns0:v>
      </ns0:c>
    </ns0:row>
    <ns0:row r="288">
      <ns0:c r="F288" s="4" t="inlineStr">
        <ns0:is>
          <ns0:t>SES-0287</ns0:t>
        </ns0:is>
      </ns0:c>
      <ns0:c r="G288" s="4">
        <ns0:f>IF(COUNTIF(Script_List[Script ID],'Raw Data'!B288)=1,0,1)</ns0:f>
        <ns0:v>0</ns0:v>
      </ns0:c>
      <ns0:c r="H288" s="4">
        <ns0:f>IF(COUNTIF(RawData[Session ID],F288)=1,0,1)</ns0:f>
        <ns0:v>0</ns0:v>
      </ns0:c>
    </ns0:row>
    <ns0:row r="289">
      <ns0:c r="F289" s="4" t="inlineStr">
        <ns0:is>
          <ns0:t>SES-0288</ns0:t>
        </ns0:is>
      </ns0:c>
      <ns0:c r="G289" s="4">
        <ns0:f>IF(COUNTIF(Script_List[Script ID],'Raw Data'!B289)=1,0,1)</ns0:f>
        <ns0:v>0</ns0:v>
      </ns0:c>
      <ns0:c r="H289" s="4">
        <ns0:f>IF(COUNTIF(RawData[Session ID],F289)=1,0,1)</ns0:f>
        <ns0:v>0</ns0:v>
      </ns0:c>
    </ns0:row>
    <ns0:row r="290">
      <ns0:c r="F290" s="4" t="inlineStr">
        <ns0:is>
          <ns0:t>SES-0289</ns0:t>
        </ns0:is>
      </ns0:c>
      <ns0:c r="G290" s="4">
        <ns0:f>IF(COUNTIF(Script_List[Script ID],'Raw Data'!B290)=1,0,1)</ns0:f>
        <ns0:v>0</ns0:v>
      </ns0:c>
      <ns0:c r="H290" s="4">
        <ns0:f>IF(COUNTIF(RawData[Session ID],F290)=1,0,1)</ns0:f>
        <ns0:v>0</ns0:v>
      </ns0:c>
    </ns0:row>
    <ns0:row r="291">
      <ns0:c r="F291" s="4" t="inlineStr">
        <ns0:is>
          <ns0:t>SES-0290</ns0:t>
        </ns0:is>
      </ns0:c>
      <ns0:c r="G291" s="4">
        <ns0:f>IF(COUNTIF(Script_List[Script ID],'Raw Data'!B291)=1,0,1)</ns0:f>
        <ns0:v>0</ns0:v>
      </ns0:c>
      <ns0:c r="H291" s="4">
        <ns0:f>IF(COUNTIF(RawData[Session ID],F291)=1,0,1)</ns0:f>
        <ns0:v>0</ns0:v>
      </ns0:c>
    </ns0:row>
    <ns0:row r="292">
      <ns0:c r="F292" s="4" t="inlineStr">
        <ns0:is>
          <ns0:t>SES-0291</ns0:t>
        </ns0:is>
      </ns0:c>
      <ns0:c r="G292" s="4">
        <ns0:f>IF(COUNTIF(Script_List[Script ID],'Raw Data'!B292)=1,0,1)</ns0:f>
        <ns0:v>0</ns0:v>
      </ns0:c>
      <ns0:c r="H292" s="4">
        <ns0:f>IF(COUNTIF(RawData[Session ID],F292)=1,0,1)</ns0:f>
        <ns0:v>0</ns0:v>
      </ns0:c>
    </ns0:row>
    <ns0:row r="293">
      <ns0:c r="F293" s="4" t="inlineStr">
        <ns0:is>
          <ns0:t>SES-0292</ns0:t>
        </ns0:is>
      </ns0:c>
      <ns0:c r="G293" s="4">
        <ns0:f>IF(COUNTIF(Script_List[Script ID],'Raw Data'!B293)=1,0,1)</ns0:f>
        <ns0:v>0</ns0:v>
      </ns0:c>
      <ns0:c r="H293" s="4">
        <ns0:f>IF(COUNTIF(RawData[Session ID],F293)=1,0,1)</ns0:f>
        <ns0:v>0</ns0:v>
      </ns0:c>
    </ns0:row>
    <ns0:row r="294">
      <ns0:c r="F294" s="4" t="inlineStr">
        <ns0:is>
          <ns0:t>SES-0293</ns0:t>
        </ns0:is>
      </ns0:c>
      <ns0:c r="G294" s="4">
        <ns0:f>IF(COUNTIF(Script_List[Script ID],'Raw Data'!B294)=1,0,1)</ns0:f>
        <ns0:v>0</ns0:v>
      </ns0:c>
      <ns0:c r="H294" s="4">
        <ns0:f>IF(COUNTIF(RawData[Session ID],F294)=1,0,1)</ns0:f>
        <ns0:v>0</ns0:v>
      </ns0:c>
    </ns0:row>
    <ns0:row r="295">
      <ns0:c r="F295" s="4" t="inlineStr">
        <ns0:is>
          <ns0:t>SES-0294</ns0:t>
        </ns0:is>
      </ns0:c>
      <ns0:c r="G295" s="4">
        <ns0:f>IF(COUNTIF(Script_List[Script ID],'Raw Data'!B295)=1,0,1)</ns0:f>
        <ns0:v>0</ns0:v>
      </ns0:c>
      <ns0:c r="H295" s="4">
        <ns0:f>IF(COUNTIF(RawData[Session ID],F295)=1,0,1)</ns0:f>
        <ns0:v>0</ns0:v>
      </ns0:c>
    </ns0:row>
    <ns0:row r="296">
      <ns0:c r="F296" s="4" t="inlineStr">
        <ns0:is>
          <ns0:t>SES-0295</ns0:t>
        </ns0:is>
      </ns0:c>
      <ns0:c r="G296" s="4">
        <ns0:f>IF(COUNTIF(Script_List[Script ID],'Raw Data'!B296)=1,0,1)</ns0:f>
        <ns0:v>0</ns0:v>
      </ns0:c>
      <ns0:c r="H296" s="4">
        <ns0:f>IF(COUNTIF(RawData[Session ID],F296)=1,0,1)</ns0:f>
        <ns0:v>0</ns0:v>
      </ns0:c>
    </ns0:row>
    <ns0:row r="297">
      <ns0:c r="F297" s="4" t="inlineStr">
        <ns0:is>
          <ns0:t>SES-0296</ns0:t>
        </ns0:is>
      </ns0:c>
      <ns0:c r="G297" s="4">
        <ns0:f>IF(COUNTIF(Script_List[Script ID],'Raw Data'!B297)=1,0,1)</ns0:f>
        <ns0:v>0</ns0:v>
      </ns0:c>
      <ns0:c r="H297" s="4">
        <ns0:f>IF(COUNTIF(RawData[Session ID],F297)=1,0,1)</ns0:f>
        <ns0:v>0</ns0:v>
      </ns0:c>
    </ns0:row>
    <ns0:row r="298">
      <ns0:c r="F298" s="4" t="inlineStr">
        <ns0:is>
          <ns0:t>SES-0297</ns0:t>
        </ns0:is>
      </ns0:c>
      <ns0:c r="G298" s="4">
        <ns0:f>IF(COUNTIF(Script_List[Script ID],'Raw Data'!B298)=1,0,1)</ns0:f>
        <ns0:v>0</ns0:v>
      </ns0:c>
      <ns0:c r="H298" s="4">
        <ns0:f>IF(COUNTIF(RawData[Session ID],F298)=1,0,1)</ns0:f>
        <ns0:v>0</ns0:v>
      </ns0:c>
    </ns0:row>
    <ns0:row r="299">
      <ns0:c r="F299" s="4" t="inlineStr">
        <ns0:is>
          <ns0:t>SES-0298</ns0:t>
        </ns0:is>
      </ns0:c>
      <ns0:c r="G299" s="4">
        <ns0:f>IF(COUNTIF(Script_List[Script ID],'Raw Data'!B299)=1,0,1)</ns0:f>
        <ns0:v>0</ns0:v>
      </ns0:c>
      <ns0:c r="H299" s="4">
        <ns0:f>IF(COUNTIF(RawData[Session ID],F299)=1,0,1)</ns0:f>
        <ns0:v>0</ns0:v>
      </ns0:c>
    </ns0:row>
    <ns0:row r="300">
      <ns0:c r="F300" s="4" t="inlineStr">
        <ns0:is>
          <ns0:t>SES-0299</ns0:t>
        </ns0:is>
      </ns0:c>
      <ns0:c r="G300" s="4">
        <ns0:f>IF(COUNTIF(Script_List[Script ID],'Raw Data'!B300)=1,0,1)</ns0:f>
        <ns0:v>0</ns0:v>
      </ns0:c>
      <ns0:c r="H300" s="4">
        <ns0:f>IF(COUNTIF(RawData[Session ID],F300)=1,0,1)</ns0:f>
        <ns0:v>0</ns0:v>
      </ns0:c>
    </ns0:row>
    <ns0:row r="301">
      <ns0:c r="F301" s="4" t="inlineStr">
        <ns0:is>
          <ns0:t>SES-0300</ns0:t>
        </ns0:is>
      </ns0:c>
      <ns0:c r="G301" s="4">
        <ns0:f>IF(COUNTIF(Script_List[Script ID],'Raw Data'!B301)=1,0,1)</ns0:f>
        <ns0:v>0</ns0:v>
      </ns0:c>
      <ns0:c r="H301" s="4">
        <ns0:f>IF(COUNTIF(RawData[Session ID],F301)=1,0,1)</ns0:f>
        <ns0:v>0</ns0:v>
      </ns0:c>
    </ns0:row>
    <ns0:row r="302">
      <ns0:c r="F302" s="4" t="inlineStr">
        <ns0:is>
          <ns0:t>SES-0301</ns0:t>
        </ns0:is>
      </ns0:c>
      <ns0:c r="G302" s="4">
        <ns0:f>IF(COUNTIF(Script_List[Script ID],'Raw Data'!B302)=1,0,1)</ns0:f>
        <ns0:v>0</ns0:v>
      </ns0:c>
      <ns0:c r="H302" s="4">
        <ns0:f>IF(COUNTIF(RawData[Session ID],F302)=1,0,1)</ns0:f>
        <ns0:v>0</ns0:v>
      </ns0:c>
    </ns0:row>
    <ns0:row r="303">
      <ns0:c r="F303" s="4" t="inlineStr">
        <ns0:is>
          <ns0:t>SES-0302</ns0:t>
        </ns0:is>
      </ns0:c>
      <ns0:c r="G303" s="4">
        <ns0:f>IF(COUNTIF(Script_List[Script ID],'Raw Data'!B303)=1,0,1)</ns0:f>
        <ns0:v>0</ns0:v>
      </ns0:c>
      <ns0:c r="H303" s="4">
        <ns0:f>IF(COUNTIF(RawData[Session ID],F303)=1,0,1)</ns0:f>
        <ns0:v>0</ns0:v>
      </ns0:c>
    </ns0:row>
    <ns0:row r="304">
      <ns0:c r="F304" s="4" t="inlineStr">
        <ns0:is>
          <ns0:t>SES-0303</ns0:t>
        </ns0:is>
      </ns0:c>
      <ns0:c r="G304" s="4">
        <ns0:f>IF(COUNTIF(Script_List[Script ID],'Raw Data'!B304)=1,0,1)</ns0:f>
        <ns0:v>0</ns0:v>
      </ns0:c>
      <ns0:c r="H304" s="4">
        <ns0:f>IF(COUNTIF(RawData[Session ID],F304)=1,0,1)</ns0:f>
        <ns0:v>0</ns0:v>
      </ns0:c>
    </ns0:row>
    <ns0:row r="305">
      <ns0:c r="F305" s="4" t="inlineStr">
        <ns0:is>
          <ns0:t>SES-0304</ns0:t>
        </ns0:is>
      </ns0:c>
      <ns0:c r="G305" s="4">
        <ns0:f>IF(COUNTIF(Script_List[Script ID],'Raw Data'!B305)=1,0,1)</ns0:f>
        <ns0:v>0</ns0:v>
      </ns0:c>
      <ns0:c r="H305" s="4">
        <ns0:f>IF(COUNTIF(RawData[Session ID],F305)=1,0,1)</ns0:f>
        <ns0:v>0</ns0:v>
      </ns0:c>
    </ns0:row>
    <ns0:row r="306">
      <ns0:c r="F306" s="4" t="inlineStr">
        <ns0:is>
          <ns0:t>SES-0305</ns0:t>
        </ns0:is>
      </ns0:c>
      <ns0:c r="G306" s="4">
        <ns0:f>IF(COUNTIF(Script_List[Script ID],'Raw Data'!B306)=1,0,1)</ns0:f>
        <ns0:v>0</ns0:v>
      </ns0:c>
      <ns0:c r="H306" s="4">
        <ns0:f>IF(COUNTIF(RawData[Session ID],F306)=1,0,1)</ns0:f>
        <ns0:v>0</ns0:v>
      </ns0:c>
    </ns0:row>
    <ns0:row r="307">
      <ns0:c r="F307" s="4" t="inlineStr">
        <ns0:is>
          <ns0:t>SES-0306</ns0:t>
        </ns0:is>
      </ns0:c>
      <ns0:c r="G307" s="4">
        <ns0:f>IF(COUNTIF(Script_List[Script ID],'Raw Data'!B307)=1,0,1)</ns0:f>
        <ns0:v>0</ns0:v>
      </ns0:c>
      <ns0:c r="H307" s="4">
        <ns0:f>IF(COUNTIF(RawData[Session ID],F307)=1,0,1)</ns0:f>
        <ns0:v>0</ns0:v>
      </ns0:c>
    </ns0:row>
    <ns0:row r="308">
      <ns0:c r="F308" s="4" t="inlineStr">
        <ns0:is>
          <ns0:t>SES-0307</ns0:t>
        </ns0:is>
      </ns0:c>
      <ns0:c r="G308" s="4">
        <ns0:f>IF(COUNTIF(Script_List[Script ID],'Raw Data'!B308)=1,0,1)</ns0:f>
        <ns0:v>0</ns0:v>
      </ns0:c>
      <ns0:c r="H308" s="4">
        <ns0:f>IF(COUNTIF(RawData[Session ID],F308)=1,0,1)</ns0:f>
        <ns0:v>0</ns0:v>
      </ns0:c>
    </ns0:row>
    <ns0:row r="309">
      <ns0:c r="F309" s="4" t="inlineStr">
        <ns0:is>
          <ns0:t>SES-0308</ns0:t>
        </ns0:is>
      </ns0:c>
      <ns0:c r="G309" s="4">
        <ns0:f>IF(COUNTIF(Script_List[Script ID],'Raw Data'!B309)=1,0,1)</ns0:f>
        <ns0:v>0</ns0:v>
      </ns0:c>
      <ns0:c r="H309" s="4">
        <ns0:f>IF(COUNTIF(RawData[Session ID],F309)=1,0,1)</ns0:f>
        <ns0:v>0</ns0:v>
      </ns0:c>
    </ns0:row>
    <ns0:row r="310">
      <ns0:c r="F310" s="4" t="inlineStr">
        <ns0:is>
          <ns0:t>SES-0309</ns0:t>
        </ns0:is>
      </ns0:c>
      <ns0:c r="G310" s="4">
        <ns0:f>IF(COUNTIF(Script_List[Script ID],'Raw Data'!B310)=1,0,1)</ns0:f>
        <ns0:v>0</ns0:v>
      </ns0:c>
      <ns0:c r="H310" s="4">
        <ns0:f>IF(COUNTIF(RawData[Session ID],F310)=1,0,1)</ns0:f>
        <ns0:v>0</ns0:v>
      </ns0:c>
    </ns0:row>
    <ns0:row r="311">
      <ns0:c r="F311" s="4" t="inlineStr">
        <ns0:is>
          <ns0:t>SES-0310</ns0:t>
        </ns0:is>
      </ns0:c>
      <ns0:c r="G311" s="4">
        <ns0:f>IF(COUNTIF(Script_List[Script ID],'Raw Data'!B311)=1,0,1)</ns0:f>
        <ns0:v>0</ns0:v>
      </ns0:c>
      <ns0:c r="H311" s="4">
        <ns0:f>IF(COUNTIF(RawData[Session ID],F311)=1,0,1)</ns0:f>
        <ns0:v>0</ns0:v>
      </ns0:c>
    </ns0:row>
    <ns0:row r="312">
      <ns0:c r="F312" s="4" t="inlineStr">
        <ns0:is>
          <ns0:t>SES-0311</ns0:t>
        </ns0:is>
      </ns0:c>
      <ns0:c r="G312" s="4">
        <ns0:f>IF(COUNTIF(Script_List[Script ID],'Raw Data'!B312)=1,0,1)</ns0:f>
        <ns0:v>0</ns0:v>
      </ns0:c>
      <ns0:c r="H312" s="4">
        <ns0:f>IF(COUNTIF(RawData[Session ID],F312)=1,0,1)</ns0:f>
        <ns0:v>0</ns0:v>
      </ns0:c>
    </ns0:row>
    <ns0:row r="313">
      <ns0:c r="F313" s="4" t="inlineStr">
        <ns0:is>
          <ns0:t>SES-0312</ns0:t>
        </ns0:is>
      </ns0:c>
      <ns0:c r="G313" s="4">
        <ns0:f>IF(COUNTIF(Script_List[Script ID],'Raw Data'!B313)=1,0,1)</ns0:f>
        <ns0:v>0</ns0:v>
      </ns0:c>
      <ns0:c r="H313" s="4">
        <ns0:f>IF(COUNTIF(RawData[Session ID],F313)=1,0,1)</ns0:f>
        <ns0:v>0</ns0:v>
      </ns0:c>
    </ns0:row>
    <ns0:row r="314">
      <ns0:c r="F314" s="4" t="inlineStr">
        <ns0:is>
          <ns0:t>SES-0313</ns0:t>
        </ns0:is>
      </ns0:c>
      <ns0:c r="G314" s="4">
        <ns0:f>IF(COUNTIF(Script_List[Script ID],'Raw Data'!B314)=1,0,1)</ns0:f>
        <ns0:v>0</ns0:v>
      </ns0:c>
      <ns0:c r="H314" s="4">
        <ns0:f>IF(COUNTIF(RawData[Session ID],F314)=1,0,1)</ns0:f>
        <ns0:v>0</ns0:v>
      </ns0:c>
    </ns0:row>
    <ns0:row r="315">
      <ns0:c r="F315" s="4" t="inlineStr">
        <ns0:is>
          <ns0:t>SES-0314</ns0:t>
        </ns0:is>
      </ns0:c>
      <ns0:c r="G315" s="4">
        <ns0:f>IF(COUNTIF(Script_List[Script ID],'Raw Data'!B315)=1,0,1)</ns0:f>
        <ns0:v>0</ns0:v>
      </ns0:c>
      <ns0:c r="H315" s="4">
        <ns0:f>IF(COUNTIF(RawData[Session ID],F315)=1,0,1)</ns0:f>
        <ns0:v>0</ns0:v>
      </ns0:c>
    </ns0:row>
    <ns0:row r="316">
      <ns0:c r="F316" s="4" t="inlineStr">
        <ns0:is>
          <ns0:t>SES-0315</ns0:t>
        </ns0:is>
      </ns0:c>
      <ns0:c r="G316" s="4">
        <ns0:f>IF(COUNTIF(Script_List[Script ID],'Raw Data'!B316)=1,0,1)</ns0:f>
        <ns0:v>0</ns0:v>
      </ns0:c>
      <ns0:c r="H316" s="4">
        <ns0:f>IF(COUNTIF(RawData[Session ID],F316)=1,0,1)</ns0:f>
        <ns0:v>0</ns0:v>
      </ns0:c>
    </ns0:row>
    <ns0:row r="317">
      <ns0:c r="F317" s="4" t="inlineStr">
        <ns0:is>
          <ns0:t>SES-0316</ns0:t>
        </ns0:is>
      </ns0:c>
      <ns0:c r="G317" s="4">
        <ns0:f>IF(COUNTIF(Script_List[Script ID],'Raw Data'!B317)=1,0,1)</ns0:f>
        <ns0:v>0</ns0:v>
      </ns0:c>
      <ns0:c r="H317" s="4">
        <ns0:f>IF(COUNTIF(RawData[Session ID],F317)=1,0,1)</ns0:f>
        <ns0:v>0</ns0:v>
      </ns0:c>
    </ns0:row>
    <ns0:row r="318">
      <ns0:c r="F318" s="4" t="inlineStr">
        <ns0:is>
          <ns0:t>SES-0317</ns0:t>
        </ns0:is>
      </ns0:c>
      <ns0:c r="G318" s="4">
        <ns0:f>IF(COUNTIF(Script_List[Script ID],'Raw Data'!B318)=1,0,1)</ns0:f>
        <ns0:v>0</ns0:v>
      </ns0:c>
      <ns0:c r="H318" s="4">
        <ns0:f>IF(COUNTIF(RawData[Session ID],F318)=1,0,1)</ns0:f>
        <ns0:v>0</ns0:v>
      </ns0:c>
    </ns0:row>
    <ns0:row r="319">
      <ns0:c r="F319" s="4" t="inlineStr">
        <ns0:is>
          <ns0:t>SES-0318</ns0:t>
        </ns0:is>
      </ns0:c>
      <ns0:c r="G319" s="4">
        <ns0:f>IF(COUNTIF(Script_List[Script ID],'Raw Data'!B319)=1,0,1)</ns0:f>
        <ns0:v>0</ns0:v>
      </ns0:c>
      <ns0:c r="H319" s="4">
        <ns0:f>IF(COUNTIF(RawData[Session ID],F319)=1,0,1)</ns0:f>
        <ns0:v>0</ns0:v>
      </ns0:c>
    </ns0:row>
    <ns0:row r="320">
      <ns0:c r="F320" s="4" t="inlineStr">
        <ns0:is>
          <ns0:t>SES-0319</ns0:t>
        </ns0:is>
      </ns0:c>
      <ns0:c r="G320" s="4">
        <ns0:f>IF(COUNTIF(Script_List[Script ID],'Raw Data'!B320)=1,0,1)</ns0:f>
        <ns0:v>0</ns0:v>
      </ns0:c>
      <ns0:c r="H320" s="4">
        <ns0:f>IF(COUNTIF(RawData[Session ID],F320)=1,0,1)</ns0:f>
        <ns0:v>0</ns0:v>
      </ns0:c>
    </ns0:row>
    <ns0:row r="321">
      <ns0:c r="F321" s="4" t="inlineStr">
        <ns0:is>
          <ns0:t>SES-0320</ns0:t>
        </ns0:is>
      </ns0:c>
      <ns0:c r="G321" s="4">
        <ns0:f>IF(COUNTIF(Script_List[Script ID],'Raw Data'!B321)=1,0,1)</ns0:f>
        <ns0:v>0</ns0:v>
      </ns0:c>
      <ns0:c r="H321" s="4">
        <ns0:f>IF(COUNTIF(RawData[Session ID],F321)=1,0,1)</ns0:f>
        <ns0:v>0</ns0:v>
      </ns0:c>
    </ns0:row>
    <ns0:row r="322">
      <ns0:c r="F322" s="4" t="inlineStr">
        <ns0:is>
          <ns0:t>SES-0321</ns0:t>
        </ns0:is>
      </ns0:c>
      <ns0:c r="G322" s="4">
        <ns0:f>IF(COUNTIF(Script_List[Script ID],'Raw Data'!B322)=1,0,1)</ns0:f>
        <ns0:v>0</ns0:v>
      </ns0:c>
      <ns0:c r="H322" s="4">
        <ns0:f>IF(COUNTIF(RawData[Session ID],F322)=1,0,1)</ns0:f>
        <ns0:v>0</ns0:v>
      </ns0:c>
    </ns0:row>
    <ns0:row r="323">
      <ns0:c r="F323" s="4" t="inlineStr">
        <ns0:is>
          <ns0:t>SES-0322</ns0:t>
        </ns0:is>
      </ns0:c>
      <ns0:c r="G323" s="4">
        <ns0:f>IF(COUNTIF(Script_List[Script ID],'Raw Data'!B323)=1,0,1)</ns0:f>
        <ns0:v>0</ns0:v>
      </ns0:c>
      <ns0:c r="H323" s="4">
        <ns0:f>IF(COUNTIF(RawData[Session ID],F323)=1,0,1)</ns0:f>
        <ns0:v>0</ns0:v>
      </ns0:c>
    </ns0:row>
    <ns0:row r="324">
      <ns0:c r="F324" s="4" t="inlineStr">
        <ns0:is>
          <ns0:t>SES-0323</ns0:t>
        </ns0:is>
      </ns0:c>
      <ns0:c r="G324" s="4">
        <ns0:f>IF(COUNTIF(Script_List[Script ID],'Raw Data'!B324)=1,0,1)</ns0:f>
        <ns0:v>0</ns0:v>
      </ns0:c>
      <ns0:c r="H324" s="4">
        <ns0:f>IF(COUNTIF(RawData[Session ID],F324)=1,0,1)</ns0:f>
        <ns0:v>0</ns0:v>
      </ns0:c>
    </ns0:row>
    <ns0:row r="325">
      <ns0:c r="F325" s="4" t="inlineStr">
        <ns0:is>
          <ns0:t>SES-0324</ns0:t>
        </ns0:is>
      </ns0:c>
      <ns0:c r="G325" s="4">
        <ns0:f>IF(COUNTIF(Script_List[Script ID],'Raw Data'!B325)=1,0,1)</ns0:f>
        <ns0:v>0</ns0:v>
      </ns0:c>
      <ns0:c r="H325" s="4">
        <ns0:f>IF(COUNTIF(RawData[Session ID],F325)=1,0,1)</ns0:f>
        <ns0:v>0</ns0:v>
      </ns0:c>
    </ns0:row>
    <ns0:row r="326">
      <ns0:c r="F326" s="4" t="inlineStr">
        <ns0:is>
          <ns0:t>SES-0325</ns0:t>
        </ns0:is>
      </ns0:c>
      <ns0:c r="G326" s="4">
        <ns0:f>IF(COUNTIF(Script_List[Script ID],'Raw Data'!B326)=1,0,1)</ns0:f>
        <ns0:v>0</ns0:v>
      </ns0:c>
      <ns0:c r="H326" s="4">
        <ns0:f>IF(COUNTIF(RawData[Session ID],F326)=1,0,1)</ns0:f>
        <ns0:v>0</ns0:v>
      </ns0:c>
    </ns0:row>
    <ns0:row r="327">
      <ns0:c r="F327" s="4" t="inlineStr">
        <ns0:is>
          <ns0:t>SES-0326</ns0:t>
        </ns0:is>
      </ns0:c>
      <ns0:c r="G327" s="4">
        <ns0:f>IF(COUNTIF(Script_List[Script ID],'Raw Data'!B327)=1,0,1)</ns0:f>
        <ns0:v>0</ns0:v>
      </ns0:c>
      <ns0:c r="H327" s="4">
        <ns0:f>IF(COUNTIF(RawData[Session ID],F327)=1,0,1)</ns0:f>
        <ns0:v>0</ns0:v>
      </ns0:c>
    </ns0:row>
    <ns0:row r="328">
      <ns0:c r="F328" s="4" t="inlineStr">
        <ns0:is>
          <ns0:t>SES-0327</ns0:t>
        </ns0:is>
      </ns0:c>
      <ns0:c r="G328" s="4">
        <ns0:f>IF(COUNTIF(Script_List[Script ID],'Raw Data'!B328)=1,0,1)</ns0:f>
        <ns0:v>0</ns0:v>
      </ns0:c>
      <ns0:c r="H328" s="4">
        <ns0:f>IF(COUNTIF(RawData[Session ID],F328)=1,0,1)</ns0:f>
        <ns0:v>0</ns0:v>
      </ns0:c>
    </ns0:row>
    <ns0:row r="329">
      <ns0:c r="F329" s="4" t="inlineStr">
        <ns0:is>
          <ns0:t>SES-0328</ns0:t>
        </ns0:is>
      </ns0:c>
      <ns0:c r="G329" s="4">
        <ns0:f>IF(COUNTIF(Script_List[Script ID],'Raw Data'!B329)=1,0,1)</ns0:f>
        <ns0:v>0</ns0:v>
      </ns0:c>
      <ns0:c r="H329" s="4">
        <ns0:f>IF(COUNTIF(RawData[Session ID],F329)=1,0,1)</ns0:f>
        <ns0:v>0</ns0:v>
      </ns0:c>
    </ns0:row>
    <ns0:row r="330">
      <ns0:c r="F330" s="4" t="inlineStr">
        <ns0:is>
          <ns0:t>SES-0329</ns0:t>
        </ns0:is>
      </ns0:c>
      <ns0:c r="G330" s="4">
        <ns0:f>IF(COUNTIF(Script_List[Script ID],'Raw Data'!B330)=1,0,1)</ns0:f>
        <ns0:v>0</ns0:v>
      </ns0:c>
      <ns0:c r="H330" s="4">
        <ns0:f>IF(COUNTIF(RawData[Session ID],F330)=1,0,1)</ns0:f>
        <ns0:v>0</ns0:v>
      </ns0:c>
    </ns0:row>
    <ns0:row r="331">
      <ns0:c r="F331" s="4" t="inlineStr">
        <ns0:is>
          <ns0:t>SES-0330</ns0:t>
        </ns0:is>
      </ns0:c>
      <ns0:c r="G331" s="4">
        <ns0:f>IF(COUNTIF(Script_List[Script ID],'Raw Data'!B331)=1,0,1)</ns0:f>
        <ns0:v>0</ns0:v>
      </ns0:c>
      <ns0:c r="H331" s="4">
        <ns0:f>IF(COUNTIF(RawData[Session ID],F331)=1,0,1)</ns0:f>
        <ns0:v>0</ns0:v>
      </ns0:c>
    </ns0:row>
    <ns0:row r="332">
      <ns0:c r="F332" s="4" t="inlineStr">
        <ns0:is>
          <ns0:t>SES-0331</ns0:t>
        </ns0:is>
      </ns0:c>
      <ns0:c r="G332" s="4">
        <ns0:f>IF(COUNTIF(Script_List[Script ID],'Raw Data'!B332)=1,0,1)</ns0:f>
        <ns0:v>0</ns0:v>
      </ns0:c>
      <ns0:c r="H332" s="4">
        <ns0:f>IF(COUNTIF(RawData[Session ID],F332)=1,0,1)</ns0:f>
        <ns0:v>0</ns0:v>
      </ns0:c>
    </ns0:row>
    <ns0:row r="333">
      <ns0:c r="F333" s="4" t="inlineStr">
        <ns0:is>
          <ns0:t>SES-0332</ns0:t>
        </ns0:is>
      </ns0:c>
      <ns0:c r="G333" s="4">
        <ns0:f>IF(COUNTIF(Script_List[Script ID],'Raw Data'!B333)=1,0,1)</ns0:f>
        <ns0:v>0</ns0:v>
      </ns0:c>
      <ns0:c r="H333" s="4">
        <ns0:f>IF(COUNTIF(RawData[Session ID],F333)=1,0,1)</ns0:f>
        <ns0:v>0</ns0:v>
      </ns0:c>
    </ns0:row>
    <ns0:row r="334">
      <ns0:c r="F334" s="4" t="inlineStr">
        <ns0:is>
          <ns0:t>SES-0333</ns0:t>
        </ns0:is>
      </ns0:c>
      <ns0:c r="G334" s="4">
        <ns0:f>IF(COUNTIF(Script_List[Script ID],'Raw Data'!B334)=1,0,1)</ns0:f>
        <ns0:v>0</ns0:v>
      </ns0:c>
      <ns0:c r="H334" s="4">
        <ns0:f>IF(COUNTIF(RawData[Session ID],F334)=1,0,1)</ns0:f>
        <ns0:v>0</ns0:v>
      </ns0:c>
    </ns0:row>
    <ns0:row r="335">
      <ns0:c r="F335" s="4" t="inlineStr">
        <ns0:is>
          <ns0:t>SES-0334</ns0:t>
        </ns0:is>
      </ns0:c>
      <ns0:c r="G335" s="4">
        <ns0:f>IF(COUNTIF(Script_List[Script ID],'Raw Data'!B335)=1,0,1)</ns0:f>
        <ns0:v>0</ns0:v>
      </ns0:c>
      <ns0:c r="H335" s="4">
        <ns0:f>IF(COUNTIF(RawData[Session ID],F335)=1,0,1)</ns0:f>
        <ns0:v>0</ns0:v>
      </ns0:c>
    </ns0:row>
    <ns0:row r="336">
      <ns0:c r="F336" s="4" t="inlineStr">
        <ns0:is>
          <ns0:t>SES-0335</ns0:t>
        </ns0:is>
      </ns0:c>
      <ns0:c r="G336" s="4">
        <ns0:f>IF(COUNTIF(Script_List[Script ID],'Raw Data'!B336)=1,0,1)</ns0:f>
        <ns0:v>0</ns0:v>
      </ns0:c>
      <ns0:c r="H336" s="4">
        <ns0:f>IF(COUNTIF(RawData[Session ID],F336)=1,0,1)</ns0:f>
        <ns0:v>0</ns0:v>
      </ns0:c>
    </ns0:row>
    <ns0:row r="337">
      <ns0:c r="F337" s="4" t="inlineStr">
        <ns0:is>
          <ns0:t>SES-0336</ns0:t>
        </ns0:is>
      </ns0:c>
      <ns0:c r="G337" s="4">
        <ns0:f>IF(COUNTIF(Script_List[Script ID],'Raw Data'!B337)=1,0,1)</ns0:f>
        <ns0:v>0</ns0:v>
      </ns0:c>
      <ns0:c r="H337" s="4">
        <ns0:f>IF(COUNTIF(RawData[Session ID],F337)=1,0,1)</ns0:f>
        <ns0:v>0</ns0:v>
      </ns0:c>
    </ns0:row>
    <ns0:row r="338">
      <ns0:c r="F338" s="4" t="inlineStr">
        <ns0:is>
          <ns0:t>SES-0337</ns0:t>
        </ns0:is>
      </ns0:c>
      <ns0:c r="G338" s="4">
        <ns0:f>IF(COUNTIF(Script_List[Script ID],'Raw Data'!B338)=1,0,1)</ns0:f>
        <ns0:v>0</ns0:v>
      </ns0:c>
      <ns0:c r="H338" s="4">
        <ns0:f>IF(COUNTIF(RawData[Session ID],F338)=1,0,1)</ns0:f>
        <ns0:v>0</ns0:v>
      </ns0:c>
    </ns0:row>
    <ns0:row r="339">
      <ns0:c r="F339" s="4" t="inlineStr">
        <ns0:is>
          <ns0:t>SES-0338</ns0:t>
        </ns0:is>
      </ns0:c>
      <ns0:c r="G339" s="4">
        <ns0:f>IF(COUNTIF(Script_List[Script ID],'Raw Data'!B339)=1,0,1)</ns0:f>
        <ns0:v>0</ns0:v>
      </ns0:c>
      <ns0:c r="H339" s="4">
        <ns0:f>IF(COUNTIF(RawData[Session ID],F339)=1,0,1)</ns0:f>
        <ns0:v>0</ns0:v>
      </ns0:c>
    </ns0:row>
    <ns0:row r="340">
      <ns0:c r="F340" s="4" t="inlineStr">
        <ns0:is>
          <ns0:t>SES-0339</ns0:t>
        </ns0:is>
      </ns0:c>
      <ns0:c r="G340" s="4">
        <ns0:f>IF(COUNTIF(Script_List[Script ID],'Raw Data'!B340)=1,0,1)</ns0:f>
        <ns0:v>0</ns0:v>
      </ns0:c>
      <ns0:c r="H340" s="4">
        <ns0:f>IF(COUNTIF(RawData[Session ID],F340)=1,0,1)</ns0:f>
        <ns0:v>0</ns0:v>
      </ns0:c>
    </ns0:row>
    <ns0:row r="341">
      <ns0:c r="F341" s="4" t="inlineStr">
        <ns0:is>
          <ns0:t>SES-0340</ns0:t>
        </ns0:is>
      </ns0:c>
      <ns0:c r="G341" s="4">
        <ns0:f>IF(COUNTIF(Script_List[Script ID],'Raw Data'!B341)=1,0,1)</ns0:f>
        <ns0:v>0</ns0:v>
      </ns0:c>
      <ns0:c r="H341" s="4">
        <ns0:f>IF(COUNTIF(RawData[Session ID],F341)=1,0,1)</ns0:f>
        <ns0:v>0</ns0:v>
      </ns0:c>
    </ns0:row>
    <ns0:row r="342">
      <ns0:c r="F342" s="4" t="inlineStr">
        <ns0:is>
          <ns0:t>SES-0341</ns0:t>
        </ns0:is>
      </ns0:c>
      <ns0:c r="G342" s="4">
        <ns0:f>IF(COUNTIF(Script_List[Script ID],'Raw Data'!B342)=1,0,1)</ns0:f>
        <ns0:v>0</ns0:v>
      </ns0:c>
      <ns0:c r="H342" s="4">
        <ns0:f>IF(COUNTIF(RawData[Session ID],F342)=1,0,1)</ns0:f>
        <ns0:v>0</ns0:v>
      </ns0:c>
    </ns0:row>
    <ns0:row r="343">
      <ns0:c r="F343" s="4" t="inlineStr">
        <ns0:is>
          <ns0:t>SES-0342</ns0:t>
        </ns0:is>
      </ns0:c>
      <ns0:c r="G343" s="4">
        <ns0:f>IF(COUNTIF(Script_List[Script ID],'Raw Data'!B343)=1,0,1)</ns0:f>
        <ns0:v>0</ns0:v>
      </ns0:c>
      <ns0:c r="H343" s="4">
        <ns0:f>IF(COUNTIF(RawData[Session ID],F343)=1,0,1)</ns0:f>
        <ns0:v>0</ns0:v>
      </ns0:c>
    </ns0:row>
    <ns0:row r="344">
      <ns0:c r="F344" s="4" t="inlineStr">
        <ns0:is>
          <ns0:t>SES-0343</ns0:t>
        </ns0:is>
      </ns0:c>
      <ns0:c r="G344" s="4">
        <ns0:f>IF(COUNTIF(Script_List[Script ID],'Raw Data'!B344)=1,0,1)</ns0:f>
        <ns0:v>0</ns0:v>
      </ns0:c>
      <ns0:c r="H344" s="4">
        <ns0:f>IF(COUNTIF(RawData[Session ID],F344)=1,0,1)</ns0:f>
        <ns0:v>0</ns0:v>
      </ns0:c>
    </ns0:row>
    <ns0:row r="345">
      <ns0:c r="F345" s="4" t="inlineStr">
        <ns0:is>
          <ns0:t>SES-0344</ns0:t>
        </ns0:is>
      </ns0:c>
      <ns0:c r="G345" s="4">
        <ns0:f>IF(COUNTIF(Script_List[Script ID],'Raw Data'!B345)=1,0,1)</ns0:f>
        <ns0:v>0</ns0:v>
      </ns0:c>
      <ns0:c r="H345" s="4">
        <ns0:f>IF(COUNTIF(RawData[Session ID],F345)=1,0,1)</ns0:f>
        <ns0:v>0</ns0:v>
      </ns0:c>
    </ns0:row>
    <ns0:row r="346">
      <ns0:c r="F346" s="4" t="inlineStr">
        <ns0:is>
          <ns0:t>SES-0345</ns0:t>
        </ns0:is>
      </ns0:c>
      <ns0:c r="G346" s="4">
        <ns0:f>IF(COUNTIF(Script_List[Script ID],'Raw Data'!B346)=1,0,1)</ns0:f>
        <ns0:v>0</ns0:v>
      </ns0:c>
      <ns0:c r="H346" s="4">
        <ns0:f>IF(COUNTIF(RawData[Session ID],F346)=1,0,1)</ns0:f>
        <ns0:v>0</ns0:v>
      </ns0:c>
    </ns0:row>
    <ns0:row r="347">
      <ns0:c r="F347" s="4" t="inlineStr">
        <ns0:is>
          <ns0:t>SES-0346</ns0:t>
        </ns0:is>
      </ns0:c>
      <ns0:c r="G347" s="4">
        <ns0:f>IF(COUNTIF(Script_List[Script ID],'Raw Data'!B347)=1,0,1)</ns0:f>
        <ns0:v>0</ns0:v>
      </ns0:c>
      <ns0:c r="H347" s="4">
        <ns0:f>IF(COUNTIF(RawData[Session ID],F347)=1,0,1)</ns0:f>
        <ns0:v>0</ns0:v>
      </ns0:c>
    </ns0:row>
    <ns0:row r="348">
      <ns0:c r="F348" s="4" t="inlineStr">
        <ns0:is>
          <ns0:t>SES-0347</ns0:t>
        </ns0:is>
      </ns0:c>
      <ns0:c r="G348" s="4">
        <ns0:f>IF(COUNTIF(Script_List[Script ID],'Raw Data'!B348)=1,0,1)</ns0:f>
        <ns0:v>0</ns0:v>
      </ns0:c>
      <ns0:c r="H348" s="4">
        <ns0:f>IF(COUNTIF(RawData[Session ID],F348)=1,0,1)</ns0:f>
        <ns0:v>0</ns0:v>
      </ns0:c>
    </ns0:row>
    <ns0:row r="349">
      <ns0:c r="F349" s="4" t="inlineStr">
        <ns0:is>
          <ns0:t>SES-0348</ns0:t>
        </ns0:is>
      </ns0:c>
      <ns0:c r="G349" s="4">
        <ns0:f>IF(COUNTIF(Script_List[Script ID],'Raw Data'!B349)=1,0,1)</ns0:f>
        <ns0:v>0</ns0:v>
      </ns0:c>
      <ns0:c r="H349" s="4">
        <ns0:f>IF(COUNTIF(RawData[Session ID],F349)=1,0,1)</ns0:f>
        <ns0:v>0</ns0:v>
      </ns0:c>
    </ns0:row>
    <ns0:row r="350">
      <ns0:c r="F350" s="4" t="inlineStr">
        <ns0:is>
          <ns0:t>SES-0349</ns0:t>
        </ns0:is>
      </ns0:c>
      <ns0:c r="G350" s="4">
        <ns0:f>IF(COUNTIF(Script_List[Script ID],'Raw Data'!B350)=1,0,1)</ns0:f>
        <ns0:v>0</ns0:v>
      </ns0:c>
      <ns0:c r="H350" s="4">
        <ns0:f>IF(COUNTIF(RawData[Session ID],F350)=1,0,1)</ns0:f>
        <ns0:v>0</ns0:v>
      </ns0:c>
    </ns0:row>
    <ns0:row r="351">
      <ns0:c r="F351" s="4" t="inlineStr">
        <ns0:is>
          <ns0:t>SES-0350</ns0:t>
        </ns0:is>
      </ns0:c>
      <ns0:c r="G351" s="4">
        <ns0:f>IF(COUNTIF(Script_List[Script ID],'Raw Data'!B351)=1,0,1)</ns0:f>
        <ns0:v>0</ns0:v>
      </ns0:c>
      <ns0:c r="H351" s="4">
        <ns0:f>IF(COUNTIF(RawData[Session ID],F351)=1,0,1)</ns0:f>
        <ns0:v>0</ns0:v>
      </ns0:c>
    </ns0:row>
    <ns0:row r="352">
      <ns0:c r="F352" s="4" t="inlineStr">
        <ns0:is>
          <ns0:t>SES-0351</ns0:t>
        </ns0:is>
      </ns0:c>
      <ns0:c r="G352" s="4">
        <ns0:f>IF(COUNTIF(Script_List[Script ID],'Raw Data'!B352)=1,0,1)</ns0:f>
        <ns0:v>0</ns0:v>
      </ns0:c>
      <ns0:c r="H352" s="4">
        <ns0:f>IF(COUNTIF(RawData[Session ID],F352)=1,0,1)</ns0:f>
        <ns0:v>0</ns0:v>
      </ns0:c>
    </ns0:row>
    <ns0:row r="353">
      <ns0:c r="F353" s="4" t="inlineStr">
        <ns0:is>
          <ns0:t>SES-0352</ns0:t>
        </ns0:is>
      </ns0:c>
      <ns0:c r="G353" s="4">
        <ns0:f>IF(COUNTIF(Script_List[Script ID],'Raw Data'!B353)=1,0,1)</ns0:f>
        <ns0:v>0</ns0:v>
      </ns0:c>
      <ns0:c r="H353" s="4">
        <ns0:f>IF(COUNTIF(RawData[Session ID],F353)=1,0,1)</ns0:f>
        <ns0:v>0</ns0:v>
      </ns0:c>
    </ns0:row>
    <ns0:row r="354">
      <ns0:c r="F354" s="4" t="inlineStr">
        <ns0:is>
          <ns0:t>SES-0353</ns0:t>
        </ns0:is>
      </ns0:c>
      <ns0:c r="G354" s="4">
        <ns0:f>IF(COUNTIF(Script_List[Script ID],'Raw Data'!B354)=1,0,1)</ns0:f>
        <ns0:v>0</ns0:v>
      </ns0:c>
      <ns0:c r="H354" s="4">
        <ns0:f>IF(COUNTIF(RawData[Session ID],F354)=1,0,1)</ns0:f>
        <ns0:v>0</ns0:v>
      </ns0:c>
    </ns0:row>
    <ns0:row r="355">
      <ns0:c r="F355" s="4" t="inlineStr">
        <ns0:is>
          <ns0:t>SES-0354</ns0:t>
        </ns0:is>
      </ns0:c>
      <ns0:c r="G355" s="4">
        <ns0:f>IF(COUNTIF(Script_List[Script ID],'Raw Data'!B355)=1,0,1)</ns0:f>
        <ns0:v>0</ns0:v>
      </ns0:c>
      <ns0:c r="H355" s="4">
        <ns0:f>IF(COUNTIF(RawData[Session ID],F355)=1,0,1)</ns0:f>
        <ns0:v>0</ns0:v>
      </ns0:c>
    </ns0:row>
    <ns0:row r="356">
      <ns0:c r="F356" s="4" t="inlineStr">
        <ns0:is>
          <ns0:t>SES-0355</ns0:t>
        </ns0:is>
      </ns0:c>
      <ns0:c r="G356" s="4">
        <ns0:f>IF(COUNTIF(Script_List[Script ID],'Raw Data'!B356)=1,0,1)</ns0:f>
        <ns0:v>0</ns0:v>
      </ns0:c>
      <ns0:c r="H356" s="4">
        <ns0:f>IF(COUNTIF(RawData[Session ID],F356)=1,0,1)</ns0:f>
        <ns0:v>0</ns0:v>
      </ns0:c>
    </ns0:row>
    <ns0:row r="357">
      <ns0:c r="F357" s="4" t="inlineStr">
        <ns0:is>
          <ns0:t>SES-0356</ns0:t>
        </ns0:is>
      </ns0:c>
      <ns0:c r="G357" s="4">
        <ns0:f>IF(COUNTIF(Script_List[Script ID],'Raw Data'!B357)=1,0,1)</ns0:f>
        <ns0:v>0</ns0:v>
      </ns0:c>
      <ns0:c r="H357" s="4">
        <ns0:f>IF(COUNTIF(RawData[Session ID],F357)=1,0,1)</ns0:f>
        <ns0:v>0</ns0:v>
      </ns0:c>
    </ns0:row>
    <ns0:row r="358">
      <ns0:c r="F358" s="4" t="inlineStr">
        <ns0:is>
          <ns0:t>SES-0357</ns0:t>
        </ns0:is>
      </ns0:c>
      <ns0:c r="G358" s="4">
        <ns0:f>IF(COUNTIF(Script_List[Script ID],'Raw Data'!B358)=1,0,1)</ns0:f>
        <ns0:v>0</ns0:v>
      </ns0:c>
      <ns0:c r="H358" s="4">
        <ns0:f>IF(COUNTIF(RawData[Session ID],F358)=1,0,1)</ns0:f>
        <ns0:v>0</ns0:v>
      </ns0:c>
    </ns0:row>
    <ns0:row r="359">
      <ns0:c r="F359" s="4" t="inlineStr">
        <ns0:is>
          <ns0:t>SES-0358</ns0:t>
        </ns0:is>
      </ns0:c>
      <ns0:c r="G359" s="4">
        <ns0:f>IF(COUNTIF(Script_List[Script ID],'Raw Data'!B359)=1,0,1)</ns0:f>
        <ns0:v>0</ns0:v>
      </ns0:c>
      <ns0:c r="H359" s="4">
        <ns0:f>IF(COUNTIF(RawData[Session ID],F359)=1,0,1)</ns0:f>
        <ns0:v>0</ns0:v>
      </ns0:c>
    </ns0:row>
    <ns0:row r="360">
      <ns0:c r="F360" s="4" t="inlineStr">
        <ns0:is>
          <ns0:t>SES-0359</ns0:t>
        </ns0:is>
      </ns0:c>
      <ns0:c r="G360" s="4">
        <ns0:f>IF(COUNTIF(Script_List[Script ID],'Raw Data'!B360)=1,0,1)</ns0:f>
        <ns0:v>0</ns0:v>
      </ns0:c>
      <ns0:c r="H360" s="4">
        <ns0:f>IF(COUNTIF(RawData[Session ID],F360)=1,0,1)</ns0:f>
        <ns0:v>0</ns0:v>
      </ns0:c>
    </ns0:row>
    <ns0:row r="361">
      <ns0:c r="F361" s="4" t="inlineStr">
        <ns0:is>
          <ns0:t>SES-0360</ns0:t>
        </ns0:is>
      </ns0:c>
      <ns0:c r="G361" s="4">
        <ns0:f>IF(COUNTIF(Script_List[Script ID],'Raw Data'!B361)=1,0,1)</ns0:f>
        <ns0:v>0</ns0:v>
      </ns0:c>
      <ns0:c r="H361" s="4">
        <ns0:f>IF(COUNTIF(RawData[Session ID],F361)=1,0,1)</ns0:f>
        <ns0:v>0</ns0:v>
      </ns0:c>
    </ns0:row>
    <ns0:row r="362">
      <ns0:c r="F362" s="4" t="inlineStr">
        <ns0:is>
          <ns0:t>SES-0361</ns0:t>
        </ns0:is>
      </ns0:c>
      <ns0:c r="G362" s="4">
        <ns0:f>IF(COUNTIF(Script_List[Script ID],'Raw Data'!B362)=1,0,1)</ns0:f>
        <ns0:v>0</ns0:v>
      </ns0:c>
      <ns0:c r="H362" s="4">
        <ns0:f>IF(COUNTIF(RawData[Session ID],F362)=1,0,1)</ns0:f>
        <ns0:v>0</ns0:v>
      </ns0:c>
    </ns0:row>
    <ns0:row r="363">
      <ns0:c r="F363" s="4" t="inlineStr">
        <ns0:is>
          <ns0:t>SES-0362</ns0:t>
        </ns0:is>
      </ns0:c>
      <ns0:c r="G363" s="4">
        <ns0:f>IF(COUNTIF(Script_List[Script ID],'Raw Data'!B363)=1,0,1)</ns0:f>
        <ns0:v>0</ns0:v>
      </ns0:c>
      <ns0:c r="H363" s="4">
        <ns0:f>IF(COUNTIF(RawData[Session ID],F363)=1,0,1)</ns0:f>
        <ns0:v>0</ns0:v>
      </ns0:c>
    </ns0:row>
    <ns0:row r="364">
      <ns0:c r="F364" s="4" t="inlineStr">
        <ns0:is>
          <ns0:t>SES-0363</ns0:t>
        </ns0:is>
      </ns0:c>
      <ns0:c r="G364" s="4">
        <ns0:f>IF(COUNTIF(Script_List[Script ID],'Raw Data'!B364)=1,0,1)</ns0:f>
        <ns0:v>0</ns0:v>
      </ns0:c>
      <ns0:c r="H364" s="4">
        <ns0:f>IF(COUNTIF(RawData[Session ID],F364)=1,0,1)</ns0:f>
        <ns0:v>0</ns0:v>
      </ns0:c>
    </ns0:row>
    <ns0:row r="365">
      <ns0:c r="F365" s="4" t="inlineStr">
        <ns0:is>
          <ns0:t>SES-0364</ns0:t>
        </ns0:is>
      </ns0:c>
      <ns0:c r="G365" s="4">
        <ns0:f>IF(COUNTIF(Script_List[Script ID],'Raw Data'!B365)=1,0,1)</ns0:f>
        <ns0:v>0</ns0:v>
      </ns0:c>
      <ns0:c r="H365" s="4">
        <ns0:f>IF(COUNTIF(RawData[Session ID],F365)=1,0,1)</ns0:f>
        <ns0:v>0</ns0:v>
      </ns0:c>
    </ns0:row>
    <ns0:row r="366">
      <ns0:c r="F366" s="4" t="inlineStr">
        <ns0:is>
          <ns0:t>SES-0365</ns0:t>
        </ns0:is>
      </ns0:c>
      <ns0:c r="G366" s="4">
        <ns0:f>IF(COUNTIF(Script_List[Script ID],'Raw Data'!B366)=1,0,1)</ns0:f>
        <ns0:v>0</ns0:v>
      </ns0:c>
      <ns0:c r="H366" s="4">
        <ns0:f>IF(COUNTIF(RawData[Session ID],F366)=1,0,1)</ns0:f>
        <ns0:v>0</ns0:v>
      </ns0:c>
    </ns0:row>
    <ns0:row r="367">
      <ns0:c r="F367" s="4" t="inlineStr">
        <ns0:is>
          <ns0:t>SES-0366</ns0:t>
        </ns0:is>
      </ns0:c>
      <ns0:c r="G367" s="4">
        <ns0:f>IF(COUNTIF(Script_List[Script ID],'Raw Data'!B367)=1,0,1)</ns0:f>
        <ns0:v>0</ns0:v>
      </ns0:c>
      <ns0:c r="H367" s="4">
        <ns0:f>IF(COUNTIF(RawData[Session ID],F367)=1,0,1)</ns0:f>
        <ns0:v>0</ns0:v>
      </ns0:c>
    </ns0:row>
    <ns0:row r="368">
      <ns0:c r="F368" s="4" t="inlineStr">
        <ns0:is>
          <ns0:t>SES-0367</ns0:t>
        </ns0:is>
      </ns0:c>
      <ns0:c r="G368" s="4">
        <ns0:f>IF(COUNTIF(Script_List[Script ID],'Raw Data'!B368)=1,0,1)</ns0:f>
        <ns0:v>0</ns0:v>
      </ns0:c>
      <ns0:c r="H368" s="4">
        <ns0:f>IF(COUNTIF(RawData[Session ID],F368)=1,0,1)</ns0:f>
        <ns0:v>0</ns0:v>
      </ns0:c>
    </ns0:row>
    <ns0:row r="369">
      <ns0:c r="F369" s="4" t="inlineStr">
        <ns0:is>
          <ns0:t>SES-0368</ns0:t>
        </ns0:is>
      </ns0:c>
      <ns0:c r="G369" s="4">
        <ns0:f>IF(COUNTIF(Script_List[Script ID],'Raw Data'!B369)=1,0,1)</ns0:f>
        <ns0:v>0</ns0:v>
      </ns0:c>
      <ns0:c r="H369" s="4">
        <ns0:f>IF(COUNTIF(RawData[Session ID],F369)=1,0,1)</ns0:f>
        <ns0:v>0</ns0:v>
      </ns0:c>
    </ns0:row>
    <ns0:row r="370">
      <ns0:c r="F370" s="4" t="inlineStr">
        <ns0:is>
          <ns0:t>SES-0369</ns0:t>
        </ns0:is>
      </ns0:c>
      <ns0:c r="G370" s="4">
        <ns0:f>IF(COUNTIF(Script_List[Script ID],'Raw Data'!B370)=1,0,1)</ns0:f>
        <ns0:v>0</ns0:v>
      </ns0:c>
      <ns0:c r="H370" s="4">
        <ns0:f>IF(COUNTIF(RawData[Session ID],F370)=1,0,1)</ns0:f>
        <ns0:v>0</ns0:v>
      </ns0:c>
    </ns0:row>
    <ns0:row r="371">
      <ns0:c r="F371" s="4" t="inlineStr">
        <ns0:is>
          <ns0:t>SES-0370</ns0:t>
        </ns0:is>
      </ns0:c>
      <ns0:c r="G371" s="4">
        <ns0:f>IF(COUNTIF(Script_List[Script ID],'Raw Data'!B371)=1,0,1)</ns0:f>
        <ns0:v>0</ns0:v>
      </ns0:c>
      <ns0:c r="H371" s="4">
        <ns0:f>IF(COUNTIF(RawData[Session ID],F371)=1,0,1)</ns0:f>
        <ns0:v>0</ns0:v>
      </ns0:c>
    </ns0:row>
    <ns0:row r="372">
      <ns0:c r="F372" s="4" t="inlineStr">
        <ns0:is>
          <ns0:t>SES-0371</ns0:t>
        </ns0:is>
      </ns0:c>
      <ns0:c r="G372" s="4">
        <ns0:f>IF(COUNTIF(Script_List[Script ID],'Raw Data'!B372)=1,0,1)</ns0:f>
        <ns0:v>0</ns0:v>
      </ns0:c>
      <ns0:c r="H372" s="4">
        <ns0:f>IF(COUNTIF(RawData[Session ID],F372)=1,0,1)</ns0:f>
        <ns0:v>0</ns0:v>
      </ns0:c>
    </ns0:row>
    <ns0:row r="373">
      <ns0:c r="F373" s="4" t="inlineStr">
        <ns0:is>
          <ns0:t>SES-0372</ns0:t>
        </ns0:is>
      </ns0:c>
      <ns0:c r="G373" s="4">
        <ns0:f>IF(COUNTIF(Script_List[Script ID],'Raw Data'!B373)=1,0,1)</ns0:f>
        <ns0:v>0</ns0:v>
      </ns0:c>
      <ns0:c r="H373" s="4">
        <ns0:f>IF(COUNTIF(RawData[Session ID],F373)=1,0,1)</ns0:f>
        <ns0:v>0</ns0:v>
      </ns0:c>
    </ns0:row>
    <ns0:row r="374">
      <ns0:c r="F374" s="4" t="inlineStr">
        <ns0:is>
          <ns0:t>SES-0373</ns0:t>
        </ns0:is>
      </ns0:c>
      <ns0:c r="G374" s="4">
        <ns0:f>IF(COUNTIF(Script_List[Script ID],'Raw Data'!B374)=1,0,1)</ns0:f>
        <ns0:v>0</ns0:v>
      </ns0:c>
      <ns0:c r="H374" s="4">
        <ns0:f>IF(COUNTIF(RawData[Session ID],F374)=1,0,1)</ns0:f>
        <ns0:v>0</ns0:v>
      </ns0:c>
    </ns0:row>
    <ns0:row r="375">
      <ns0:c r="F375" s="4" t="inlineStr">
        <ns0:is>
          <ns0:t>SES-0374</ns0:t>
        </ns0:is>
      </ns0:c>
      <ns0:c r="G375" s="4">
        <ns0:f>IF(COUNTIF(Script_List[Script ID],'Raw Data'!B375)=1,0,1)</ns0:f>
        <ns0:v>0</ns0:v>
      </ns0:c>
      <ns0:c r="H375" s="4">
        <ns0:f>IF(COUNTIF(RawData[Session ID],F375)=1,0,1)</ns0:f>
        <ns0:v>0</ns0:v>
      </ns0:c>
    </ns0:row>
    <ns0:row r="376">
      <ns0:c r="F376" s="4" t="inlineStr">
        <ns0:is>
          <ns0:t>SES-0375</ns0:t>
        </ns0:is>
      </ns0:c>
      <ns0:c r="G376" s="4">
        <ns0:f>IF(COUNTIF(Script_List[Script ID],'Raw Data'!B376)=1,0,1)</ns0:f>
        <ns0:v>0</ns0:v>
      </ns0:c>
      <ns0:c r="H376" s="4">
        <ns0:f>IF(COUNTIF(RawData[Session ID],F376)=1,0,1)</ns0:f>
        <ns0:v>0</ns0:v>
      </ns0:c>
    </ns0:row>
    <ns0:row r="377">
      <ns0:c r="F377" s="4" t="inlineStr">
        <ns0:is>
          <ns0:t>SES-0376</ns0:t>
        </ns0:is>
      </ns0:c>
      <ns0:c r="G377" s="4">
        <ns0:f>IF(COUNTIF(Script_List[Script ID],'Raw Data'!B377)=1,0,1)</ns0:f>
        <ns0:v>0</ns0:v>
      </ns0:c>
      <ns0:c r="H377" s="4">
        <ns0:f>IF(COUNTIF(RawData[Session ID],F377)=1,0,1)</ns0:f>
        <ns0:v>0</ns0:v>
      </ns0:c>
    </ns0:row>
    <ns0:row r="378">
      <ns0:c r="F378" s="4" t="inlineStr">
        <ns0:is>
          <ns0:t>SES-0377</ns0:t>
        </ns0:is>
      </ns0:c>
      <ns0:c r="G378" s="4">
        <ns0:f>IF(COUNTIF(Script_List[Script ID],'Raw Data'!B378)=1,0,1)</ns0:f>
        <ns0:v>0</ns0:v>
      </ns0:c>
      <ns0:c r="H378" s="4">
        <ns0:f>IF(COUNTIF(RawData[Session ID],F378)=1,0,1)</ns0:f>
        <ns0:v>0</ns0:v>
      </ns0:c>
    </ns0:row>
    <ns0:row r="379">
      <ns0:c r="F379" s="4" t="inlineStr">
        <ns0:is>
          <ns0:t>SES-0378</ns0:t>
        </ns0:is>
      </ns0:c>
      <ns0:c r="G379" s="4">
        <ns0:f>IF(COUNTIF(Script_List[Script ID],'Raw Data'!B379)=1,0,1)</ns0:f>
        <ns0:v>0</ns0:v>
      </ns0:c>
      <ns0:c r="H379" s="4">
        <ns0:f>IF(COUNTIF(RawData[Session ID],F379)=1,0,1)</ns0:f>
        <ns0:v>0</ns0:v>
      </ns0:c>
    </ns0:row>
    <ns0:row r="380">
      <ns0:c r="F380" s="4" t="inlineStr">
        <ns0:is>
          <ns0:t>SES-0379</ns0:t>
        </ns0:is>
      </ns0:c>
      <ns0:c r="G380" s="4">
        <ns0:f>IF(COUNTIF(Script_List[Script ID],'Raw Data'!B380)=1,0,1)</ns0:f>
        <ns0:v>0</ns0:v>
      </ns0:c>
      <ns0:c r="H380" s="4">
        <ns0:f>IF(COUNTIF(RawData[Session ID],F380)=1,0,1)</ns0:f>
        <ns0:v>0</ns0:v>
      </ns0:c>
    </ns0:row>
    <ns0:row r="381">
      <ns0:c r="F381" s="4" t="inlineStr">
        <ns0:is>
          <ns0:t>SES-0380</ns0:t>
        </ns0:is>
      </ns0:c>
      <ns0:c r="G381" s="4">
        <ns0:f>IF(COUNTIF(Script_List[Script ID],'Raw Data'!B381)=1,0,1)</ns0:f>
        <ns0:v>0</ns0:v>
      </ns0:c>
      <ns0:c r="H381" s="4">
        <ns0:f>IF(COUNTIF(RawData[Session ID],F381)=1,0,1)</ns0:f>
        <ns0:v>0</ns0:v>
      </ns0:c>
    </ns0:row>
    <ns0:row r="382">
      <ns0:c r="F382" s="4" t="inlineStr">
        <ns0:is>
          <ns0:t>SES-0381</ns0:t>
        </ns0:is>
      </ns0:c>
      <ns0:c r="G382" s="4">
        <ns0:f>IF(COUNTIF(Script_List[Script ID],'Raw Data'!B382)=1,0,1)</ns0:f>
        <ns0:v>0</ns0:v>
      </ns0:c>
      <ns0:c r="H382" s="4">
        <ns0:f>IF(COUNTIF(RawData[Session ID],F382)=1,0,1)</ns0:f>
        <ns0:v>0</ns0:v>
      </ns0:c>
    </ns0:row>
    <ns0:row r="383">
      <ns0:c r="F383" s="4" t="inlineStr">
        <ns0:is>
          <ns0:t>SES-0382</ns0:t>
        </ns0:is>
      </ns0:c>
      <ns0:c r="G383" s="4">
        <ns0:f>IF(COUNTIF(Script_List[Script ID],'Raw Data'!B383)=1,0,1)</ns0:f>
        <ns0:v>0</ns0:v>
      </ns0:c>
      <ns0:c r="H383" s="4">
        <ns0:f>IF(COUNTIF(RawData[Session ID],F383)=1,0,1)</ns0:f>
        <ns0:v>0</ns0:v>
      </ns0:c>
    </ns0:row>
    <ns0:row r="384">
      <ns0:c r="F384" s="4" t="inlineStr">
        <ns0:is>
          <ns0:t>SES-0383</ns0:t>
        </ns0:is>
      </ns0:c>
      <ns0:c r="G384" s="4">
        <ns0:f>IF(COUNTIF(Script_List[Script ID],'Raw Data'!B384)=1,0,1)</ns0:f>
        <ns0:v>0</ns0:v>
      </ns0:c>
      <ns0:c r="H384" s="4">
        <ns0:f>IF(COUNTIF(RawData[Session ID],F384)=1,0,1)</ns0:f>
        <ns0:v>0</ns0:v>
      </ns0:c>
    </ns0:row>
    <ns0:row r="385">
      <ns0:c r="F385" s="4" t="inlineStr">
        <ns0:is>
          <ns0:t>SES-0384</ns0:t>
        </ns0:is>
      </ns0:c>
      <ns0:c r="G385" s="4">
        <ns0:f>IF(COUNTIF(Script_List[Script ID],'Raw Data'!B385)=1,0,1)</ns0:f>
        <ns0:v>0</ns0:v>
      </ns0:c>
      <ns0:c r="H385" s="4">
        <ns0:f>IF(COUNTIF(RawData[Session ID],F385)=1,0,1)</ns0:f>
        <ns0:v>0</ns0:v>
      </ns0:c>
    </ns0:row>
    <ns0:row r="386">
      <ns0:c r="F386" s="4" t="inlineStr">
        <ns0:is>
          <ns0:t>SES-0385</ns0:t>
        </ns0:is>
      </ns0:c>
      <ns0:c r="G386" s="4">
        <ns0:f>IF(COUNTIF(Script_List[Script ID],'Raw Data'!B386)=1,0,1)</ns0:f>
        <ns0:v>0</ns0:v>
      </ns0:c>
      <ns0:c r="H386" s="4">
        <ns0:f>IF(COUNTIF(RawData[Session ID],F386)=1,0,1)</ns0:f>
        <ns0:v>0</ns0:v>
      </ns0:c>
    </ns0:row>
    <ns0:row r="387">
      <ns0:c r="F387" s="4" t="inlineStr">
        <ns0:is>
          <ns0:t>SES-0386</ns0:t>
        </ns0:is>
      </ns0:c>
      <ns0:c r="G387" s="4">
        <ns0:f>IF(COUNTIF(Script_List[Script ID],'Raw Data'!B387)=1,0,1)</ns0:f>
        <ns0:v>0</ns0:v>
      </ns0:c>
      <ns0:c r="H387" s="4">
        <ns0:f>IF(COUNTIF(RawData[Session ID],F387)=1,0,1)</ns0:f>
        <ns0:v>0</ns0:v>
      </ns0:c>
    </ns0:row>
    <ns0:row r="388">
      <ns0:c r="F388" s="4" t="inlineStr">
        <ns0:is>
          <ns0:t>SES-0387</ns0:t>
        </ns0:is>
      </ns0:c>
      <ns0:c r="G388" s="4">
        <ns0:f>IF(COUNTIF(Script_List[Script ID],'Raw Data'!B388)=1,0,1)</ns0:f>
        <ns0:v>0</ns0:v>
      </ns0:c>
      <ns0:c r="H388" s="4">
        <ns0:f>IF(COUNTIF(RawData[Session ID],F388)=1,0,1)</ns0:f>
        <ns0:v>0</ns0:v>
      </ns0:c>
    </ns0:row>
    <ns0:row r="389">
      <ns0:c r="F389" s="4" t="inlineStr">
        <ns0:is>
          <ns0:t>SES-0388</ns0:t>
        </ns0:is>
      </ns0:c>
      <ns0:c r="G389" s="4">
        <ns0:f>IF(COUNTIF(Script_List[Script ID],'Raw Data'!B389)=1,0,1)</ns0:f>
        <ns0:v>0</ns0:v>
      </ns0:c>
      <ns0:c r="H389" s="4">
        <ns0:f>IF(COUNTIF(RawData[Session ID],F389)=1,0,1)</ns0:f>
        <ns0:v>0</ns0:v>
      </ns0:c>
    </ns0:row>
    <ns0:row r="390">
      <ns0:c r="F390" s="4" t="inlineStr">
        <ns0:is>
          <ns0:t>SES-0389</ns0:t>
        </ns0:is>
      </ns0:c>
      <ns0:c r="G390" s="4">
        <ns0:f>IF(COUNTIF(Script_List[Script ID],'Raw Data'!B390)=1,0,1)</ns0:f>
        <ns0:v>0</ns0:v>
      </ns0:c>
      <ns0:c r="H390" s="4">
        <ns0:f>IF(COUNTIF(RawData[Session ID],F390)=1,0,1)</ns0:f>
        <ns0:v>0</ns0:v>
      </ns0:c>
    </ns0:row>
    <ns0:row r="391">
      <ns0:c r="F391" s="4" t="inlineStr">
        <ns0:is>
          <ns0:t>SES-0390</ns0:t>
        </ns0:is>
      </ns0:c>
      <ns0:c r="G391" s="4">
        <ns0:f>IF(COUNTIF(Script_List[Script ID],'Raw Data'!B391)=1,0,1)</ns0:f>
        <ns0:v>0</ns0:v>
      </ns0:c>
      <ns0:c r="H391" s="4">
        <ns0:f>IF(COUNTIF(RawData[Session ID],F391)=1,0,1)</ns0:f>
        <ns0:v>0</ns0:v>
      </ns0:c>
    </ns0:row>
    <ns0:row r="392">
      <ns0:c r="F392" s="4" t="inlineStr">
        <ns0:is>
          <ns0:t>SES-0391</ns0:t>
        </ns0:is>
      </ns0:c>
      <ns0:c r="G392" s="4">
        <ns0:f>IF(COUNTIF(Script_List[Script ID],'Raw Data'!B392)=1,0,1)</ns0:f>
        <ns0:v>0</ns0:v>
      </ns0:c>
      <ns0:c r="H392" s="4">
        <ns0:f>IF(COUNTIF(RawData[Session ID],F392)=1,0,1)</ns0:f>
        <ns0:v>0</ns0:v>
      </ns0:c>
    </ns0:row>
    <ns0:row r="393">
      <ns0:c r="F393" s="4" t="inlineStr">
        <ns0:is>
          <ns0:t>SES-0392</ns0:t>
        </ns0:is>
      </ns0:c>
      <ns0:c r="G393" s="4">
        <ns0:f>IF(COUNTIF(Script_List[Script ID],'Raw Data'!B393)=1,0,1)</ns0:f>
        <ns0:v>0</ns0:v>
      </ns0:c>
      <ns0:c r="H393" s="4">
        <ns0:f>IF(COUNTIF(RawData[Session ID],F393)=1,0,1)</ns0:f>
        <ns0:v>0</ns0:v>
      </ns0:c>
    </ns0:row>
    <ns0:row r="394">
      <ns0:c r="F394" s="4" t="inlineStr">
        <ns0:is>
          <ns0:t>SES-0393</ns0:t>
        </ns0:is>
      </ns0:c>
      <ns0:c r="G394" s="4">
        <ns0:f>IF(COUNTIF(Script_List[Script ID],'Raw Data'!B394)=1,0,1)</ns0:f>
        <ns0:v>0</ns0:v>
      </ns0:c>
      <ns0:c r="H394" s="4">
        <ns0:f>IF(COUNTIF(RawData[Session ID],F394)=1,0,1)</ns0:f>
        <ns0:v>0</ns0:v>
      </ns0:c>
    </ns0:row>
    <ns0:row r="395">
      <ns0:c r="F395" s="4" t="inlineStr">
        <ns0:is>
          <ns0:t>SES-0394</ns0:t>
        </ns0:is>
      </ns0:c>
      <ns0:c r="G395" s="4">
        <ns0:f>IF(COUNTIF(Script_List[Script ID],'Raw Data'!B395)=1,0,1)</ns0:f>
        <ns0:v>0</ns0:v>
      </ns0:c>
      <ns0:c r="H395" s="4">
        <ns0:f>IF(COUNTIF(RawData[Session ID],F395)=1,0,1)</ns0:f>
        <ns0:v>0</ns0:v>
      </ns0:c>
    </ns0:row>
    <ns0:row r="396">
      <ns0:c r="F396" s="4" t="inlineStr">
        <ns0:is>
          <ns0:t>SES-0395</ns0:t>
        </ns0:is>
      </ns0:c>
      <ns0:c r="G396" s="4">
        <ns0:f>IF(COUNTIF(Script_List[Script ID],'Raw Data'!B396)=1,0,1)</ns0:f>
        <ns0:v>0</ns0:v>
      </ns0:c>
      <ns0:c r="H396" s="4">
        <ns0:f>IF(COUNTIF(RawData[Session ID],F396)=1,0,1)</ns0:f>
        <ns0:v>0</ns0:v>
      </ns0:c>
    </ns0:row>
    <ns0:row r="397">
      <ns0:c r="F397" s="4" t="inlineStr">
        <ns0:is>
          <ns0:t>SES-0396</ns0:t>
        </ns0:is>
      </ns0:c>
      <ns0:c r="G397" s="4">
        <ns0:f>IF(COUNTIF(Script_List[Script ID],'Raw Data'!B397)=1,0,1)</ns0:f>
        <ns0:v>0</ns0:v>
      </ns0:c>
      <ns0:c r="H397" s="4">
        <ns0:f>IF(COUNTIF(RawData[Session ID],F397)=1,0,1)</ns0:f>
        <ns0:v>0</ns0:v>
      </ns0:c>
    </ns0:row>
    <ns0:row r="398">
      <ns0:c r="F398" s="4" t="inlineStr">
        <ns0:is>
          <ns0:t>SES-0397</ns0:t>
        </ns0:is>
      </ns0:c>
      <ns0:c r="G398" s="4">
        <ns0:f>IF(COUNTIF(Script_List[Script ID],'Raw Data'!B398)=1,0,1)</ns0:f>
        <ns0:v>0</ns0:v>
      </ns0:c>
      <ns0:c r="H398" s="4">
        <ns0:f>IF(COUNTIF(RawData[Session ID],F398)=1,0,1)</ns0:f>
        <ns0:v>0</ns0:v>
      </ns0:c>
    </ns0:row>
    <ns0:row r="399">
      <ns0:c r="F399" s="4" t="inlineStr">
        <ns0:is>
          <ns0:t>SES-0398</ns0:t>
        </ns0:is>
      </ns0:c>
      <ns0:c r="G399" s="4">
        <ns0:f>IF(COUNTIF(Script_List[Script ID],'Raw Data'!B399)=1,0,1)</ns0:f>
        <ns0:v>0</ns0:v>
      </ns0:c>
      <ns0:c r="H399" s="4">
        <ns0:f>IF(COUNTIF(RawData[Session ID],F399)=1,0,1)</ns0:f>
        <ns0:v>0</ns0:v>
      </ns0:c>
    </ns0:row>
    <ns0:row r="400">
      <ns0:c r="F400" s="4" t="inlineStr">
        <ns0:is>
          <ns0:t>SES-0399</ns0:t>
        </ns0:is>
      </ns0:c>
      <ns0:c r="G400" s="4">
        <ns0:f>IF(COUNTIF(Script_List[Script ID],'Raw Data'!B400)=1,0,1)</ns0:f>
        <ns0:v>0</ns0:v>
      </ns0:c>
      <ns0:c r="H400" s="4">
        <ns0:f>IF(COUNTIF(RawData[Session ID],F400)=1,0,1)</ns0:f>
        <ns0:v>0</ns0:v>
      </ns0:c>
    </ns0:row>
    <ns0:row r="401">
      <ns0:c r="F401" s="4" t="inlineStr">
        <ns0:is>
          <ns0:t>SES-0400</ns0:t>
        </ns0:is>
      </ns0:c>
      <ns0:c r="G401" s="4">
        <ns0:f>IF(COUNTIF(Script_List[Script ID],'Raw Data'!B401)=1,0,1)</ns0:f>
        <ns0:v>0</ns0:v>
      </ns0:c>
      <ns0:c r="H401" s="4">
        <ns0:f>IF(COUNTIF(RawData[Session ID],F401)=1,0,1)</ns0:f>
        <ns0:v>0</ns0:v>
      </ns0:c>
    </ns0:row>
    <ns0:row r="402">
      <ns0:c r="F402" s="4" t="inlineStr">
        <ns0:is>
          <ns0:t>SES-0401</ns0:t>
        </ns0:is>
      </ns0:c>
      <ns0:c r="G402" s="4">
        <ns0:f>IF(COUNTIF(Script_List[Script ID],'Raw Data'!B402)=1,0,1)</ns0:f>
        <ns0:v>0</ns0:v>
      </ns0:c>
      <ns0:c r="H402" s="4">
        <ns0:f>IF(COUNTIF(RawData[Session ID],F402)=1,0,1)</ns0:f>
        <ns0:v>0</ns0:v>
      </ns0:c>
    </ns0:row>
    <ns0:row r="403">
      <ns0:c r="F403" s="4" t="inlineStr">
        <ns0:is>
          <ns0:t>SES-0402</ns0:t>
        </ns0:is>
      </ns0:c>
      <ns0:c r="G403" s="4">
        <ns0:f>IF(COUNTIF(Script_List[Script ID],'Raw Data'!B403)=1,0,1)</ns0:f>
        <ns0:v>0</ns0:v>
      </ns0:c>
      <ns0:c r="H403" s="4">
        <ns0:f>IF(COUNTIF(RawData[Session ID],F403)=1,0,1)</ns0:f>
        <ns0:v>0</ns0:v>
      </ns0:c>
    </ns0:row>
    <ns0:row r="404">
      <ns0:c r="F404" s="4" t="inlineStr">
        <ns0:is>
          <ns0:t>SES-0403</ns0:t>
        </ns0:is>
      </ns0:c>
      <ns0:c r="G404" s="4">
        <ns0:f>IF(COUNTIF(Script_List[Script ID],'Raw Data'!B404)=1,0,1)</ns0:f>
        <ns0:v>0</ns0:v>
      </ns0:c>
      <ns0:c r="H404" s="4">
        <ns0:f>IF(COUNTIF(RawData[Session ID],F404)=1,0,1)</ns0:f>
        <ns0:v>0</ns0:v>
      </ns0:c>
    </ns0:row>
    <ns0:row r="405">
      <ns0:c r="F405" s="4" t="inlineStr">
        <ns0:is>
          <ns0:t>SES-0404</ns0:t>
        </ns0:is>
      </ns0:c>
      <ns0:c r="G405" s="4">
        <ns0:f>IF(COUNTIF(Script_List[Script ID],'Raw Data'!B405)=1,0,1)</ns0:f>
        <ns0:v>0</ns0:v>
      </ns0:c>
      <ns0:c r="H405" s="4">
        <ns0:f>IF(COUNTIF(RawData[Session ID],F405)=1,0,1)</ns0:f>
        <ns0:v>0</ns0:v>
      </ns0:c>
    </ns0:row>
    <ns0:row r="406">
      <ns0:c r="F406" s="4" t="inlineStr">
        <ns0:is>
          <ns0:t>SES-0405</ns0:t>
        </ns0:is>
      </ns0:c>
      <ns0:c r="G406" s="4">
        <ns0:f>IF(COUNTIF(Script_List[Script ID],'Raw Data'!B406)=1,0,1)</ns0:f>
        <ns0:v>0</ns0:v>
      </ns0:c>
      <ns0:c r="H406" s="4">
        <ns0:f>IF(COUNTIF(RawData[Session ID],F406)=1,0,1)</ns0:f>
        <ns0:v>0</ns0:v>
      </ns0:c>
    </ns0:row>
    <ns0:row r="407">
      <ns0:c r="F407" s="4" t="inlineStr">
        <ns0:is>
          <ns0:t>SES-0406</ns0:t>
        </ns0:is>
      </ns0:c>
      <ns0:c r="G407" s="4">
        <ns0:f>IF(COUNTIF(Script_List[Script ID],'Raw Data'!B407)=1,0,1)</ns0:f>
        <ns0:v>0</ns0:v>
      </ns0:c>
      <ns0:c r="H407" s="4">
        <ns0:f>IF(COUNTIF(RawData[Session ID],F407)=1,0,1)</ns0:f>
        <ns0:v>0</ns0:v>
      </ns0:c>
    </ns0:row>
    <ns0:row r="408">
      <ns0:c r="F408" s="4" t="inlineStr">
        <ns0:is>
          <ns0:t>SES-0407</ns0:t>
        </ns0:is>
      </ns0:c>
      <ns0:c r="G408" s="4">
        <ns0:f>IF(COUNTIF(Script_List[Script ID],'Raw Data'!B408)=1,0,1)</ns0:f>
        <ns0:v>0</ns0:v>
      </ns0:c>
      <ns0:c r="H408" s="4">
        <ns0:f>IF(COUNTIF(RawData[Session ID],F408)=1,0,1)</ns0:f>
        <ns0:v>0</ns0:v>
      </ns0:c>
    </ns0:row>
    <ns0:row r="409">
      <ns0:c r="F409" s="4" t="inlineStr">
        <ns0:is>
          <ns0:t>SES-0408</ns0:t>
        </ns0:is>
      </ns0:c>
      <ns0:c r="G409" s="4">
        <ns0:f>IF(COUNTIF(Script_List[Script ID],'Raw Data'!B409)=1,0,1)</ns0:f>
        <ns0:v>0</ns0:v>
      </ns0:c>
      <ns0:c r="H409" s="4">
        <ns0:f>IF(COUNTIF(RawData[Session ID],F409)=1,0,1)</ns0:f>
        <ns0:v>0</ns0:v>
      </ns0:c>
    </ns0:row>
    <ns0:row r="410">
      <ns0:c r="F410" s="4" t="inlineStr">
        <ns0:is>
          <ns0:t>SES-0409</ns0:t>
        </ns0:is>
      </ns0:c>
      <ns0:c r="G410" s="4">
        <ns0:f>IF(COUNTIF(Script_List[Script ID],'Raw Data'!B410)=1,0,1)</ns0:f>
        <ns0:v>0</ns0:v>
      </ns0:c>
      <ns0:c r="H410" s="4">
        <ns0:f>IF(COUNTIF(RawData[Session ID],F410)=1,0,1)</ns0:f>
        <ns0:v>0</ns0:v>
      </ns0:c>
    </ns0:row>
    <ns0:row r="411">
      <ns0:c r="F411" s="4" t="inlineStr">
        <ns0:is>
          <ns0:t>SES-0410</ns0:t>
        </ns0:is>
      </ns0:c>
      <ns0:c r="G411" s="4">
        <ns0:f>IF(COUNTIF(Script_List[Script ID],'Raw Data'!B411)=1,0,1)</ns0:f>
        <ns0:v>0</ns0:v>
      </ns0:c>
      <ns0:c r="H411" s="4">
        <ns0:f>IF(COUNTIF(RawData[Session ID],F411)=1,0,1)</ns0:f>
        <ns0:v>0</ns0:v>
      </ns0:c>
    </ns0:row>
    <ns0:row r="412">
      <ns0:c r="F412" s="4" t="inlineStr">
        <ns0:is>
          <ns0:t>SES-0411</ns0:t>
        </ns0:is>
      </ns0:c>
      <ns0:c r="G412" s="4">
        <ns0:f>IF(COUNTIF(Script_List[Script ID],'Raw Data'!B412)=1,0,1)</ns0:f>
        <ns0:v>0</ns0:v>
      </ns0:c>
      <ns0:c r="H412" s="4">
        <ns0:f>IF(COUNTIF(RawData[Session ID],F412)=1,0,1)</ns0:f>
        <ns0:v>0</ns0:v>
      </ns0:c>
    </ns0:row>
    <ns0:row r="413">
      <ns0:c r="F413" s="4" t="inlineStr">
        <ns0:is>
          <ns0:t>SES-0412</ns0:t>
        </ns0:is>
      </ns0:c>
      <ns0:c r="G413" s="4">
        <ns0:f>IF(COUNTIF(Script_List[Script ID],'Raw Data'!B413)=1,0,1)</ns0:f>
        <ns0:v>0</ns0:v>
      </ns0:c>
      <ns0:c r="H413" s="4">
        <ns0:f>IF(COUNTIF(RawData[Session ID],F413)=1,0,1)</ns0:f>
        <ns0:v>0</ns0:v>
      </ns0:c>
    </ns0:row>
    <ns0:row r="414">
      <ns0:c r="F414" s="4" t="inlineStr">
        <ns0:is>
          <ns0:t>SES-0413</ns0:t>
        </ns0:is>
      </ns0:c>
      <ns0:c r="G414" s="4">
        <ns0:f>IF(COUNTIF(Script_List[Script ID],'Raw Data'!B414)=1,0,1)</ns0:f>
        <ns0:v>0</ns0:v>
      </ns0:c>
      <ns0:c r="H414" s="4">
        <ns0:f>IF(COUNTIF(RawData[Session ID],F414)=1,0,1)</ns0:f>
        <ns0:v>0</ns0:v>
      </ns0:c>
    </ns0:row>
    <ns0:row r="415">
      <ns0:c r="F415" s="4" t="inlineStr">
        <ns0:is>
          <ns0:t>SES-0414</ns0:t>
        </ns0:is>
      </ns0:c>
      <ns0:c r="G415" s="4">
        <ns0:f>IF(COUNTIF(Script_List[Script ID],'Raw Data'!B415)=1,0,1)</ns0:f>
        <ns0:v>0</ns0:v>
      </ns0:c>
      <ns0:c r="H415" s="4">
        <ns0:f>IF(COUNTIF(RawData[Session ID],F415)=1,0,1)</ns0:f>
        <ns0:v>0</ns0:v>
      </ns0:c>
    </ns0:row>
    <ns0:row r="416">
      <ns0:c r="F416" s="4" t="inlineStr">
        <ns0:is>
          <ns0:t>SES-0415</ns0:t>
        </ns0:is>
      </ns0:c>
      <ns0:c r="G416" s="4">
        <ns0:f>IF(COUNTIF(Script_List[Script ID],'Raw Data'!B416)=1,0,1)</ns0:f>
        <ns0:v>0</ns0:v>
      </ns0:c>
      <ns0:c r="H416" s="4">
        <ns0:f>IF(COUNTIF(RawData[Session ID],F416)=1,0,1)</ns0:f>
        <ns0:v>0</ns0:v>
      </ns0:c>
    </ns0:row>
    <ns0:row r="417">
      <ns0:c r="F417" s="4" t="inlineStr">
        <ns0:is>
          <ns0:t>SES-0416</ns0:t>
        </ns0:is>
      </ns0:c>
      <ns0:c r="G417" s="4">
        <ns0:f>IF(COUNTIF(Script_List[Script ID],'Raw Data'!B417)=1,0,1)</ns0:f>
        <ns0:v>0</ns0:v>
      </ns0:c>
      <ns0:c r="H417" s="4">
        <ns0:f>IF(COUNTIF(RawData[Session ID],F417)=1,0,1)</ns0:f>
        <ns0:v>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2026-10-14T21:34:25Z</dcterms:created>
  <dcterms:modified xmlns:dcterms="http://purl.org/dc/terms/" xmlns:xsi="http://www.w3.org/2001/XMLSchema-instance" xsi:type="dcterms:W3CDTF">2026-10-14T21:34:25Z</dcterms:modified>
</cp:coreProperties>
</file>