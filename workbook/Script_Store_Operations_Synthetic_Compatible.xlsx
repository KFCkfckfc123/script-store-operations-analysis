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shboard" sheetId="2" r:id="rId2"/>
    <sheet name="Assumptions" sheetId="3" r:id="rId3"/>
    <sheet name="Script List" sheetId="4" r:id="rId4"/>
    <sheet name="Raw Data" sheetId="5" r:id="rId5"/>
    <sheet name="Analysis" sheetId="6" r:id="rId6"/>
    <sheet name="Checks" sheetId="7" r:id="rId7"/>
  </sheets>
  <definedNames>
    <definedName name="_xlnm.Print_Area" localSheetId="1">Dashboard!$A$1:$L$50</definedName>
  </definedNames>
  <calcPr calcId="124519" fullCalcOnLoad="1"/>
</workbook>
</file>

<file path=xl/sharedStrings.xml><?xml version="1.0" encoding="utf-8"?>
<sst xmlns="http://schemas.openxmlformats.org/spreadsheetml/2006/main" count="3656" uniqueCount="869">
  <si>
    <t>Script Store Operations Analysis</t>
  </si>
  <si>
    <t>Synthetic public workbook. No original pivot caches were copied.</t>
  </si>
  <si>
    <t>Start with Dashboard, then inspect Raw Data, Script_List, Assumptions and Checks.</t>
  </si>
  <si>
    <t>Raw Data: one operated session per row; Script_List: one fictional script per row.</t>
  </si>
  <si>
    <t>Five native PivotTables are rebuilt from synthetic caches on Pivot_Analysis.</t>
  </si>
  <si>
    <t>After changing inputs: allow Excel calculation, then Data &gt; Refresh All for PivotTables.</t>
  </si>
  <si>
    <t>Charts use formula helpers; top-20 and scatter membership reflect this 416-session snapshot.</t>
  </si>
  <si>
    <t>If adding new scripts, extend helper ranges and recalculate median cutoffs before reviewing segments.</t>
  </si>
  <si>
    <t>Standard DM Wage is a supplied total wage input; tips are outside store economics.</t>
  </si>
  <si>
    <t>No claim of actual business impact. See GitHub documentation for decisions and limits.</t>
  </si>
  <si>
    <t>Validation: independent numerical controls checked; native Excel refresh still requires a user check.</t>
  </si>
  <si>
    <t>Script Store Performance Dashboard</t>
  </si>
  <si>
    <t>Synthetic data | Sep 2025–Oct 8, 2026 | Estimated contribution is not net profit</t>
  </si>
  <si>
    <t>Sessions</t>
  </si>
  <si>
    <t>Estimated Revenue</t>
  </si>
  <si>
    <t>Estimated Contribution</t>
  </si>
  <si>
    <t>Scripts Opened</t>
  </si>
  <si>
    <t>Month</t>
  </si>
  <si>
    <t>Edition</t>
  </si>
  <si>
    <t>Contribution / Session</t>
  </si>
  <si>
    <t>城限</t>
  </si>
  <si>
    <t>独家</t>
  </si>
  <si>
    <t>盒装</t>
  </si>
  <si>
    <t>Opened Script</t>
  </si>
  <si>
    <t>Frequency cutoff X</t>
  </si>
  <si>
    <t>Cutoff Y</t>
  </si>
  <si>
    <t>Contribution cutoff X</t>
  </si>
  <si>
    <t>SYN-002</t>
  </si>
  <si>
    <t>SYN-003</t>
  </si>
  <si>
    <t>SYN-005</t>
  </si>
  <si>
    <t>SYN-006</t>
  </si>
  <si>
    <t>SYN-008</t>
  </si>
  <si>
    <t>SYN-009</t>
  </si>
  <si>
    <t>SYN-010</t>
  </si>
  <si>
    <t>SYN-011</t>
  </si>
  <si>
    <t>SYN-012</t>
  </si>
  <si>
    <t>SYN-013</t>
  </si>
  <si>
    <t>SYN-014</t>
  </si>
  <si>
    <t>SYN-015</t>
  </si>
  <si>
    <t>Verified synthetic findings</t>
  </si>
  <si>
    <t>SYN-016</t>
  </si>
  <si>
    <t>Full-month counts range from 29 to 32; seven months tie at 32.</t>
  </si>
  <si>
    <t>SYN-017</t>
  </si>
  <si>
    <t>City-limited $505.50/session; exclusive $527.86; boxed $430.96.</t>
  </si>
  <si>
    <t>SYN-018</t>
  </si>
  <si>
    <t>136 of 160 scripts opened; October is partial (8 sessions).</t>
  </si>
  <si>
    <t>SYN-019</t>
  </si>
  <si>
    <t>SYN-020</t>
  </si>
  <si>
    <t>Contribution excludes rent, utilities, taxes and other operating expenses.</t>
  </si>
  <si>
    <t>SYN-022</t>
  </si>
  <si>
    <t>SYN-023</t>
  </si>
  <si>
    <t>SYN-025</t>
  </si>
  <si>
    <t>SYN-026</t>
  </si>
  <si>
    <t>SYN-028</t>
  </si>
  <si>
    <t>SYN-029</t>
  </si>
  <si>
    <t>SYN-030</t>
  </si>
  <si>
    <t>SYN-031</t>
  </si>
  <si>
    <t>SYN-032</t>
  </si>
  <si>
    <t>SYN-033</t>
  </si>
  <si>
    <t>SYN-034</t>
  </si>
  <si>
    <t>SYN-035</t>
  </si>
  <si>
    <t>SYN-036</t>
  </si>
  <si>
    <t>SYN-037</t>
  </si>
  <si>
    <t>SYN-038</t>
  </si>
  <si>
    <t>SYN-039</t>
  </si>
  <si>
    <t>SYN-040</t>
  </si>
  <si>
    <t>SYN-042</t>
  </si>
  <si>
    <t>SYN-043</t>
  </si>
  <si>
    <t>SYN-045</t>
  </si>
  <si>
    <t>SYN-046</t>
  </si>
  <si>
    <t>SYN-048</t>
  </si>
  <si>
    <t>SYN-049</t>
  </si>
  <si>
    <t>SYN-050</t>
  </si>
  <si>
    <t>SYN-051</t>
  </si>
  <si>
    <t>SYN-052</t>
  </si>
  <si>
    <t>SYN-053</t>
  </si>
  <si>
    <t>SYN-054</t>
  </si>
  <si>
    <t>SYN-055</t>
  </si>
  <si>
    <t>SYN-056</t>
  </si>
  <si>
    <t>SYN-057</t>
  </si>
  <si>
    <t>SYN-058</t>
  </si>
  <si>
    <t>SYN-059</t>
  </si>
  <si>
    <t>SYN-060</t>
  </si>
  <si>
    <t>SYN-062</t>
  </si>
  <si>
    <t>SYN-063</t>
  </si>
  <si>
    <t>SYN-065</t>
  </si>
  <si>
    <t>SYN-066</t>
  </si>
  <si>
    <t>SYN-068</t>
  </si>
  <si>
    <t>SYN-069</t>
  </si>
  <si>
    <t>SYN-070</t>
  </si>
  <si>
    <t>SYN-071</t>
  </si>
  <si>
    <t>SYN-072</t>
  </si>
  <si>
    <t>SYN-073</t>
  </si>
  <si>
    <t>SYN-074</t>
  </si>
  <si>
    <t>SYN-075</t>
  </si>
  <si>
    <t>SYN-076</t>
  </si>
  <si>
    <t>SYN-077</t>
  </si>
  <si>
    <t>SYN-078</t>
  </si>
  <si>
    <t>SYN-079</t>
  </si>
  <si>
    <t>SYN-080</t>
  </si>
  <si>
    <t>SYN-082</t>
  </si>
  <si>
    <t>SYN-083</t>
  </si>
  <si>
    <t>SYN-085</t>
  </si>
  <si>
    <t>SYN-086</t>
  </si>
  <si>
    <t>SYN-088</t>
  </si>
  <si>
    <t>SYN-089</t>
  </si>
  <si>
    <t>SYN-090</t>
  </si>
  <si>
    <t>SYN-091</t>
  </si>
  <si>
    <t>SYN-092</t>
  </si>
  <si>
    <t>SYN-093</t>
  </si>
  <si>
    <t>SYN-094</t>
  </si>
  <si>
    <t>SYN-095</t>
  </si>
  <si>
    <t>SYN-096</t>
  </si>
  <si>
    <t>SYN-097</t>
  </si>
  <si>
    <t>SYN-098</t>
  </si>
  <si>
    <t>SYN-099</t>
  </si>
  <si>
    <t>SYN-100</t>
  </si>
  <si>
    <t>SYN-102</t>
  </si>
  <si>
    <t>SYN-103</t>
  </si>
  <si>
    <t>SYN-105</t>
  </si>
  <si>
    <t>SYN-106</t>
  </si>
  <si>
    <t>SYN-108</t>
  </si>
  <si>
    <t>SYN-109</t>
  </si>
  <si>
    <t>SYN-110</t>
  </si>
  <si>
    <t>SYN-111</t>
  </si>
  <si>
    <t>SYN-112</t>
  </si>
  <si>
    <t>SYN-113</t>
  </si>
  <si>
    <t>SYN-114</t>
  </si>
  <si>
    <t>SYN-115</t>
  </si>
  <si>
    <t>SYN-116</t>
  </si>
  <si>
    <t>SYN-117</t>
  </si>
  <si>
    <t>SYN-118</t>
  </si>
  <si>
    <t>SYN-119</t>
  </si>
  <si>
    <t>SYN-120</t>
  </si>
  <si>
    <t>SYN-122</t>
  </si>
  <si>
    <t>SYN-123</t>
  </si>
  <si>
    <t>SYN-125</t>
  </si>
  <si>
    <t>SYN-126</t>
  </si>
  <si>
    <t>SYN-128</t>
  </si>
  <si>
    <t>SYN-129</t>
  </si>
  <si>
    <t>SYN-130</t>
  </si>
  <si>
    <t>SYN-131</t>
  </si>
  <si>
    <t>SYN-132</t>
  </si>
  <si>
    <t>SYN-133</t>
  </si>
  <si>
    <t>SYN-134</t>
  </si>
  <si>
    <t>SYN-135</t>
  </si>
  <si>
    <t>SYN-136</t>
  </si>
  <si>
    <t>SYN-137</t>
  </si>
  <si>
    <t>SYN-138</t>
  </si>
  <si>
    <t>SYN-139</t>
  </si>
  <si>
    <t>SYN-140</t>
  </si>
  <si>
    <t>SYN-142</t>
  </si>
  <si>
    <t>SYN-143</t>
  </si>
  <si>
    <t>SYN-145</t>
  </si>
  <si>
    <t>SYN-146</t>
  </si>
  <si>
    <t>SYN-148</t>
  </si>
  <si>
    <t>SYN-149</t>
  </si>
  <si>
    <t>SYN-150</t>
  </si>
  <si>
    <t>SYN-151</t>
  </si>
  <si>
    <t>SYN-152</t>
  </si>
  <si>
    <t>SYN-153</t>
  </si>
  <si>
    <t>SYN-154</t>
  </si>
  <si>
    <t>SYN-155</t>
  </si>
  <si>
    <t>SYN-156</t>
  </si>
  <si>
    <t>SYN-157</t>
  </si>
  <si>
    <t>SYN-158</t>
  </si>
  <si>
    <t>SYN-159</t>
  </si>
  <si>
    <t>SYN-160</t>
  </si>
  <si>
    <t>Assumption</t>
  </si>
  <si>
    <t>Value</t>
  </si>
  <si>
    <t>RMB Per USD</t>
  </si>
  <si>
    <t>Opened-script session median</t>
  </si>
  <si>
    <t>Opened-script contribution median</t>
  </si>
  <si>
    <t>Analysis start</t>
  </si>
  <si>
    <t>Analysis end</t>
  </si>
  <si>
    <t>Percentage wage factor</t>
  </si>
  <si>
    <t>Wage rule</t>
  </si>
  <si>
    <t>Script wage inputs are total session wages; no extra DM-count multiplication.</t>
  </si>
  <si>
    <t>Acquisition convention</t>
  </si>
  <si>
    <t>USD acquisition costs rounded to whole dollars.</t>
  </si>
  <si>
    <t>Threshold population</t>
  </si>
  <si>
    <t>Opened scripts only. Median ties classified as high.</t>
  </si>
  <si>
    <t>Partial month</t>
  </si>
  <si>
    <t>October 2026 contains October 1–8 only.</t>
  </si>
  <si>
    <t>Script ID</t>
  </si>
  <si>
    <t>Script Name</t>
  </si>
  <si>
    <t>Script Type</t>
  </si>
  <si>
    <t>DM</t>
  </si>
  <si>
    <t>Players</t>
  </si>
  <si>
    <t>Price Per Player</t>
  </si>
  <si>
    <t>Estimated Gross Revenue</t>
  </si>
  <si>
    <t>Standard DM Wage</t>
  </si>
  <si>
    <t>Script Edition</t>
  </si>
  <si>
    <t>Rating</t>
  </si>
  <si>
    <t>Cost Low(RMB)</t>
  </si>
  <si>
    <t>Cost Base(RMB)</t>
  </si>
  <si>
    <t>Cost High(RMB)</t>
  </si>
  <si>
    <t>Cost Low(USD)</t>
  </si>
  <si>
    <t>Cost Base(USD)</t>
  </si>
  <si>
    <t>Cost High(USD)</t>
  </si>
  <si>
    <t>Observed Session Count</t>
  </si>
  <si>
    <t>Cumulative Estimated Contribution</t>
  </si>
  <si>
    <t>Surplus - Low Cost</t>
  </si>
  <si>
    <t>Surplus - Base Cost</t>
  </si>
  <si>
    <t>Surplus - High Cost</t>
  </si>
  <si>
    <t>Cost Recovery Status</t>
  </si>
  <si>
    <t>Average Contribution per Session</t>
  </si>
  <si>
    <t>Open Session Count</t>
  </si>
  <si>
    <t>Avg Contribution(Opened Only)</t>
  </si>
  <si>
    <t>Strategy Segment</t>
  </si>
  <si>
    <t>SYN-001</t>
  </si>
  <si>
    <t>Synthetic Script 001</t>
  </si>
  <si>
    <t>情感</t>
  </si>
  <si>
    <t>Synthetic Script 002</t>
  </si>
  <si>
    <t>推理</t>
  </si>
  <si>
    <t>Synthetic Script 003</t>
  </si>
  <si>
    <t>SYN-004</t>
  </si>
  <si>
    <t>Synthetic Script 004</t>
  </si>
  <si>
    <t>欢乐</t>
  </si>
  <si>
    <t>Synthetic Script 005</t>
  </si>
  <si>
    <t>Synthetic Script 006</t>
  </si>
  <si>
    <t>SYN-007</t>
  </si>
  <si>
    <t>Synthetic Script 007</t>
  </si>
  <si>
    <t>机制</t>
  </si>
  <si>
    <t>Synthetic Script 008</t>
  </si>
  <si>
    <t>Synthetic Script 009</t>
  </si>
  <si>
    <t>Synthetic Script 010</t>
  </si>
  <si>
    <t>Synthetic Script 011</t>
  </si>
  <si>
    <t>Synthetic Script 012</t>
  </si>
  <si>
    <t>Synthetic Script 013</t>
  </si>
  <si>
    <t>Synthetic Script 014</t>
  </si>
  <si>
    <t>Synthetic Script 015</t>
  </si>
  <si>
    <t>Synthetic Script 016</t>
  </si>
  <si>
    <t>Synthetic Script 017</t>
  </si>
  <si>
    <t>Synthetic Script 018</t>
  </si>
  <si>
    <t>Synthetic Script 019</t>
  </si>
  <si>
    <t>Synthetic Script 020</t>
  </si>
  <si>
    <t>SYN-021</t>
  </si>
  <si>
    <t>Synthetic Script 021</t>
  </si>
  <si>
    <t>Synthetic Script 022</t>
  </si>
  <si>
    <t>Synthetic Script 023</t>
  </si>
  <si>
    <t>SYN-024</t>
  </si>
  <si>
    <t>Synthetic Script 024</t>
  </si>
  <si>
    <t>Synthetic Script 025</t>
  </si>
  <si>
    <t>Synthetic Script 026</t>
  </si>
  <si>
    <t>SYN-027</t>
  </si>
  <si>
    <t>Synthetic Script 027</t>
  </si>
  <si>
    <t>Synthetic Script 028</t>
  </si>
  <si>
    <t>Synthetic Script 029</t>
  </si>
  <si>
    <t>Synthetic Script 030</t>
  </si>
  <si>
    <t>Synthetic Script 031</t>
  </si>
  <si>
    <t>Synthetic Script 032</t>
  </si>
  <si>
    <t>Synthetic Script 033</t>
  </si>
  <si>
    <t>Synthetic Script 034</t>
  </si>
  <si>
    <t>Synthetic Script 035</t>
  </si>
  <si>
    <t>Synthetic Script 036</t>
  </si>
  <si>
    <t>Synthetic Script 037</t>
  </si>
  <si>
    <t>Synthetic Script 038</t>
  </si>
  <si>
    <t>Synthetic Script 039</t>
  </si>
  <si>
    <t>Synthetic Script 040</t>
  </si>
  <si>
    <t>SYN-041</t>
  </si>
  <si>
    <t>Synthetic Script 041</t>
  </si>
  <si>
    <t>Synthetic Script 042</t>
  </si>
  <si>
    <t>Synthetic Script 043</t>
  </si>
  <si>
    <t>SYN-044</t>
  </si>
  <si>
    <t>Synthetic Script 044</t>
  </si>
  <si>
    <t>Synthetic Script 045</t>
  </si>
  <si>
    <t>Synthetic Script 046</t>
  </si>
  <si>
    <t>SYN-047</t>
  </si>
  <si>
    <t>Synthetic Script 047</t>
  </si>
  <si>
    <t>Synthetic Script 048</t>
  </si>
  <si>
    <t>Synthetic Script 049</t>
  </si>
  <si>
    <t>Synthetic Script 050</t>
  </si>
  <si>
    <t>Synthetic Script 051</t>
  </si>
  <si>
    <t>Synthetic Script 052</t>
  </si>
  <si>
    <t>Synthetic Script 053</t>
  </si>
  <si>
    <t>Synthetic Script 054</t>
  </si>
  <si>
    <t>Synthetic Script 055</t>
  </si>
  <si>
    <t>Synthetic Script 056</t>
  </si>
  <si>
    <t>Synthetic Script 057</t>
  </si>
  <si>
    <t>Synthetic Script 058</t>
  </si>
  <si>
    <t>Synthetic Script 059</t>
  </si>
  <si>
    <t>Synthetic Script 060</t>
  </si>
  <si>
    <t>SYN-061</t>
  </si>
  <si>
    <t>Synthetic Script 061</t>
  </si>
  <si>
    <t>Synthetic Script 062</t>
  </si>
  <si>
    <t>Synthetic Script 063</t>
  </si>
  <si>
    <t>SYN-064</t>
  </si>
  <si>
    <t>Synthetic Script 064</t>
  </si>
  <si>
    <t>Synthetic Script 065</t>
  </si>
  <si>
    <t>Synthetic Script 066</t>
  </si>
  <si>
    <t>SYN-067</t>
  </si>
  <si>
    <t>Synthetic Script 067</t>
  </si>
  <si>
    <t>Synthetic Script 068</t>
  </si>
  <si>
    <t>Synthetic Script 069</t>
  </si>
  <si>
    <t>Synthetic Script 070</t>
  </si>
  <si>
    <t>Synthetic Script 071</t>
  </si>
  <si>
    <t>Synthetic Script 072</t>
  </si>
  <si>
    <t>Synthetic Script 073</t>
  </si>
  <si>
    <t>Synthetic Script 074</t>
  </si>
  <si>
    <t>Synthetic Script 075</t>
  </si>
  <si>
    <t>Synthetic Script 076</t>
  </si>
  <si>
    <t>Synthetic Script 077</t>
  </si>
  <si>
    <t>Synthetic Script 078</t>
  </si>
  <si>
    <t>Synthetic Script 079</t>
  </si>
  <si>
    <t>Synthetic Script 080</t>
  </si>
  <si>
    <t>SYN-081</t>
  </si>
  <si>
    <t>Synthetic Script 081</t>
  </si>
  <si>
    <t>Synthetic Script 082</t>
  </si>
  <si>
    <t>Synthetic Script 083</t>
  </si>
  <si>
    <t>SYN-084</t>
  </si>
  <si>
    <t>Synthetic Script 084</t>
  </si>
  <si>
    <t>Synthetic Script 085</t>
  </si>
  <si>
    <t>Synthetic Script 086</t>
  </si>
  <si>
    <t>SYN-087</t>
  </si>
  <si>
    <t>Synthetic Script 087</t>
  </si>
  <si>
    <t>Synthetic Script 088</t>
  </si>
  <si>
    <t>Synthetic Script 089</t>
  </si>
  <si>
    <t>Synthetic Script 090</t>
  </si>
  <si>
    <t>Synthetic Script 091</t>
  </si>
  <si>
    <t>Synthetic Script 092</t>
  </si>
  <si>
    <t>Synthetic Script 093</t>
  </si>
  <si>
    <t>Synthetic Script 094</t>
  </si>
  <si>
    <t>Synthetic Script 095</t>
  </si>
  <si>
    <t>Synthetic Script 096</t>
  </si>
  <si>
    <t>Synthetic Script 097</t>
  </si>
  <si>
    <t>Synthetic Script 098</t>
  </si>
  <si>
    <t>Synthetic Script 099</t>
  </si>
  <si>
    <t>Synthetic Script 100</t>
  </si>
  <si>
    <t>SYN-101</t>
  </si>
  <si>
    <t>Synthetic Script 101</t>
  </si>
  <si>
    <t>Synthetic Script 102</t>
  </si>
  <si>
    <t>Synthetic Script 103</t>
  </si>
  <si>
    <t>SYN-104</t>
  </si>
  <si>
    <t>Synthetic Script 104</t>
  </si>
  <si>
    <t>Synthetic Script 105</t>
  </si>
  <si>
    <t>Synthetic Script 106</t>
  </si>
  <si>
    <t>SYN-107</t>
  </si>
  <si>
    <t>Synthetic Script 107</t>
  </si>
  <si>
    <t>Synthetic Script 108</t>
  </si>
  <si>
    <t>Synthetic Script 109</t>
  </si>
  <si>
    <t>Synthetic Script 110</t>
  </si>
  <si>
    <t>Synthetic Script 111</t>
  </si>
  <si>
    <t>Synthetic Script 112</t>
  </si>
  <si>
    <t>Synthetic Script 113</t>
  </si>
  <si>
    <t>Synthetic Script 114</t>
  </si>
  <si>
    <t>Synthetic Script 115</t>
  </si>
  <si>
    <t>Synthetic Script 116</t>
  </si>
  <si>
    <t>Synthetic Script 117</t>
  </si>
  <si>
    <t>Synthetic Script 118</t>
  </si>
  <si>
    <t>Synthetic Script 119</t>
  </si>
  <si>
    <t>Synthetic Script 120</t>
  </si>
  <si>
    <t>SYN-121</t>
  </si>
  <si>
    <t>Synthetic Script 121</t>
  </si>
  <si>
    <t>Synthetic Script 122</t>
  </si>
  <si>
    <t>Synthetic Script 123</t>
  </si>
  <si>
    <t>SYN-124</t>
  </si>
  <si>
    <t>Synthetic Script 124</t>
  </si>
  <si>
    <t>Synthetic Script 125</t>
  </si>
  <si>
    <t>Synthetic Script 126</t>
  </si>
  <si>
    <t>SYN-127</t>
  </si>
  <si>
    <t>Synthetic Script 127</t>
  </si>
  <si>
    <t>Synthetic Script 128</t>
  </si>
  <si>
    <t>Synthetic Script 129</t>
  </si>
  <si>
    <t>Synthetic Script 130</t>
  </si>
  <si>
    <t>Synthetic Script 131</t>
  </si>
  <si>
    <t>Synthetic Script 132</t>
  </si>
  <si>
    <t>Synthetic Script 133</t>
  </si>
  <si>
    <t>Synthetic Script 134</t>
  </si>
  <si>
    <t>Synthetic Script 135</t>
  </si>
  <si>
    <t>Synthetic Script 136</t>
  </si>
  <si>
    <t>Synthetic Script 137</t>
  </si>
  <si>
    <t>Synthetic Script 138</t>
  </si>
  <si>
    <t>Synthetic Script 139</t>
  </si>
  <si>
    <t>Synthetic Script 140</t>
  </si>
  <si>
    <t>SYN-141</t>
  </si>
  <si>
    <t>Synthetic Script 141</t>
  </si>
  <si>
    <t>Synthetic Script 142</t>
  </si>
  <si>
    <t>Synthetic Script 143</t>
  </si>
  <si>
    <t>SYN-144</t>
  </si>
  <si>
    <t>Synthetic Script 144</t>
  </si>
  <si>
    <t>Synthetic Script 145</t>
  </si>
  <si>
    <t>Synthetic Script 146</t>
  </si>
  <si>
    <t>SYN-147</t>
  </si>
  <si>
    <t>Synthetic Script 147</t>
  </si>
  <si>
    <t>Synthetic Script 148</t>
  </si>
  <si>
    <t>Synthetic Script 149</t>
  </si>
  <si>
    <t>Synthetic Script 150</t>
  </si>
  <si>
    <t>Synthetic Script 151</t>
  </si>
  <si>
    <t>Synthetic Script 152</t>
  </si>
  <si>
    <t>Synthetic Script 153</t>
  </si>
  <si>
    <t>Synthetic Script 154</t>
  </si>
  <si>
    <t>Synthetic Script 155</t>
  </si>
  <si>
    <t>Synthetic Script 156</t>
  </si>
  <si>
    <t>Synthetic Script 157</t>
  </si>
  <si>
    <t>Synthetic Script 158</t>
  </si>
  <si>
    <t>Synthetic Script 159</t>
  </si>
  <si>
    <t>Synthetic Script 160</t>
  </si>
  <si>
    <t>Session ID</t>
  </si>
  <si>
    <t>Date</t>
  </si>
  <si>
    <t>DM Count</t>
  </si>
  <si>
    <t>Month Start</t>
  </si>
  <si>
    <t>Report Month</t>
  </si>
  <si>
    <t>SES-0001</t>
  </si>
  <si>
    <t>SES-0002</t>
  </si>
  <si>
    <t>SES-0003</t>
  </si>
  <si>
    <t>SES-0004</t>
  </si>
  <si>
    <t>SES-0005</t>
  </si>
  <si>
    <t>SES-0006</t>
  </si>
  <si>
    <t>SES-0007</t>
  </si>
  <si>
    <t>SES-0008</t>
  </si>
  <si>
    <t>SES-0009</t>
  </si>
  <si>
    <t>SES-0010</t>
  </si>
  <si>
    <t>SES-0011</t>
  </si>
  <si>
    <t>SES-0012</t>
  </si>
  <si>
    <t>SES-0013</t>
  </si>
  <si>
    <t>SES-0014</t>
  </si>
  <si>
    <t>SES-0015</t>
  </si>
  <si>
    <t>SES-0016</t>
  </si>
  <si>
    <t>SES-0017</t>
  </si>
  <si>
    <t>SES-0018</t>
  </si>
  <si>
    <t>SES-0019</t>
  </si>
  <si>
    <t>SES-0020</t>
  </si>
  <si>
    <t>SES-0021</t>
  </si>
  <si>
    <t>SES-0022</t>
  </si>
  <si>
    <t>SES-0023</t>
  </si>
  <si>
    <t>SES-0024</t>
  </si>
  <si>
    <t>SES-0025</t>
  </si>
  <si>
    <t>SES-0026</t>
  </si>
  <si>
    <t>SES-0027</t>
  </si>
  <si>
    <t>SES-0028</t>
  </si>
  <si>
    <t>SES-0029</t>
  </si>
  <si>
    <t>SES-0030</t>
  </si>
  <si>
    <t>SES-0031</t>
  </si>
  <si>
    <t>SES-0032</t>
  </si>
  <si>
    <t>SES-0033</t>
  </si>
  <si>
    <t>SES-0034</t>
  </si>
  <si>
    <t>SES-0035</t>
  </si>
  <si>
    <t>SES-0036</t>
  </si>
  <si>
    <t>SES-0037</t>
  </si>
  <si>
    <t>SES-0038</t>
  </si>
  <si>
    <t>SES-0039</t>
  </si>
  <si>
    <t>SES-0040</t>
  </si>
  <si>
    <t>SES-0041</t>
  </si>
  <si>
    <t>SES-0042</t>
  </si>
  <si>
    <t>SES-0043</t>
  </si>
  <si>
    <t>SES-0044</t>
  </si>
  <si>
    <t>SES-0045</t>
  </si>
  <si>
    <t>SES-0046</t>
  </si>
  <si>
    <t>SES-0047</t>
  </si>
  <si>
    <t>SES-0048</t>
  </si>
  <si>
    <t>SES-0049</t>
  </si>
  <si>
    <t>SES-0050</t>
  </si>
  <si>
    <t>SES-0051</t>
  </si>
  <si>
    <t>SES-0052</t>
  </si>
  <si>
    <t>SES-0053</t>
  </si>
  <si>
    <t>SES-0054</t>
  </si>
  <si>
    <t>SES-0055</t>
  </si>
  <si>
    <t>SES-0056</t>
  </si>
  <si>
    <t>SES-0057</t>
  </si>
  <si>
    <t>SES-0058</t>
  </si>
  <si>
    <t>SES-0059</t>
  </si>
  <si>
    <t>SES-0060</t>
  </si>
  <si>
    <t>SES-0061</t>
  </si>
  <si>
    <t>SES-0062</t>
  </si>
  <si>
    <t>SES-0063</t>
  </si>
  <si>
    <t>SES-0064</t>
  </si>
  <si>
    <t>SES-0065</t>
  </si>
  <si>
    <t>SES-0066</t>
  </si>
  <si>
    <t>SES-0067</t>
  </si>
  <si>
    <t>SES-0068</t>
  </si>
  <si>
    <t>SES-0069</t>
  </si>
  <si>
    <t>SES-0070</t>
  </si>
  <si>
    <t>SES-0071</t>
  </si>
  <si>
    <t>SES-0072</t>
  </si>
  <si>
    <t>SES-0073</t>
  </si>
  <si>
    <t>SES-0074</t>
  </si>
  <si>
    <t>SES-0075</t>
  </si>
  <si>
    <t>SES-0076</t>
  </si>
  <si>
    <t>SES-0077</t>
  </si>
  <si>
    <t>SES-0078</t>
  </si>
  <si>
    <t>SES-0079</t>
  </si>
  <si>
    <t>SES-0080</t>
  </si>
  <si>
    <t>SES-0081</t>
  </si>
  <si>
    <t>SES-0082</t>
  </si>
  <si>
    <t>SES-0083</t>
  </si>
  <si>
    <t>SES-0084</t>
  </si>
  <si>
    <t>SES-0085</t>
  </si>
  <si>
    <t>SES-0086</t>
  </si>
  <si>
    <t>SES-0087</t>
  </si>
  <si>
    <t>SES-0088</t>
  </si>
  <si>
    <t>SES-0089</t>
  </si>
  <si>
    <t>SES-0090</t>
  </si>
  <si>
    <t>SES-0091</t>
  </si>
  <si>
    <t>SES-0092</t>
  </si>
  <si>
    <t>SES-0093</t>
  </si>
  <si>
    <t>SES-0094</t>
  </si>
  <si>
    <t>SES-0095</t>
  </si>
  <si>
    <t>SES-0096</t>
  </si>
  <si>
    <t>SES-0097</t>
  </si>
  <si>
    <t>SES-0098</t>
  </si>
  <si>
    <t>SES-0099</t>
  </si>
  <si>
    <t>SES-0100</t>
  </si>
  <si>
    <t>SES-0101</t>
  </si>
  <si>
    <t>SES-0102</t>
  </si>
  <si>
    <t>SES-0103</t>
  </si>
  <si>
    <t>SES-0104</t>
  </si>
  <si>
    <t>SES-0105</t>
  </si>
  <si>
    <t>SES-0106</t>
  </si>
  <si>
    <t>SES-0107</t>
  </si>
  <si>
    <t>SES-0108</t>
  </si>
  <si>
    <t>SES-0109</t>
  </si>
  <si>
    <t>SES-0110</t>
  </si>
  <si>
    <t>SES-0111</t>
  </si>
  <si>
    <t>SES-0112</t>
  </si>
  <si>
    <t>SES-0113</t>
  </si>
  <si>
    <t>SES-0114</t>
  </si>
  <si>
    <t>SES-0115</t>
  </si>
  <si>
    <t>SES-0116</t>
  </si>
  <si>
    <t>SES-0117</t>
  </si>
  <si>
    <t>SES-0118</t>
  </si>
  <si>
    <t>SES-0119</t>
  </si>
  <si>
    <t>SES-0120</t>
  </si>
  <si>
    <t>SES-0121</t>
  </si>
  <si>
    <t>SES-0122</t>
  </si>
  <si>
    <t>SES-0123</t>
  </si>
  <si>
    <t>SES-0124</t>
  </si>
  <si>
    <t>SES-0125</t>
  </si>
  <si>
    <t>SES-0126</t>
  </si>
  <si>
    <t>SES-0127</t>
  </si>
  <si>
    <t>SES-0128</t>
  </si>
  <si>
    <t>SES-0129</t>
  </si>
  <si>
    <t>SES-0130</t>
  </si>
  <si>
    <t>SES-0131</t>
  </si>
  <si>
    <t>SES-0132</t>
  </si>
  <si>
    <t>SES-0133</t>
  </si>
  <si>
    <t>SES-0134</t>
  </si>
  <si>
    <t>SES-0135</t>
  </si>
  <si>
    <t>SES-0136</t>
  </si>
  <si>
    <t>SES-0137</t>
  </si>
  <si>
    <t>SES-0138</t>
  </si>
  <si>
    <t>SES-0139</t>
  </si>
  <si>
    <t>SES-0140</t>
  </si>
  <si>
    <t>SES-0141</t>
  </si>
  <si>
    <t>SES-0142</t>
  </si>
  <si>
    <t>SES-0143</t>
  </si>
  <si>
    <t>SES-0144</t>
  </si>
  <si>
    <t>SES-0145</t>
  </si>
  <si>
    <t>SES-0146</t>
  </si>
  <si>
    <t>SES-0147</t>
  </si>
  <si>
    <t>SES-0148</t>
  </si>
  <si>
    <t>SES-0149</t>
  </si>
  <si>
    <t>SES-0150</t>
  </si>
  <si>
    <t>SES-0151</t>
  </si>
  <si>
    <t>SES-0152</t>
  </si>
  <si>
    <t>SES-0153</t>
  </si>
  <si>
    <t>SES-0154</t>
  </si>
  <si>
    <t>SES-0155</t>
  </si>
  <si>
    <t>SES-0156</t>
  </si>
  <si>
    <t>SES-0157</t>
  </si>
  <si>
    <t>SES-0158</t>
  </si>
  <si>
    <t>SES-0159</t>
  </si>
  <si>
    <t>SES-0160</t>
  </si>
  <si>
    <t>SES-0161</t>
  </si>
  <si>
    <t>SES-0162</t>
  </si>
  <si>
    <t>SES-0163</t>
  </si>
  <si>
    <t>SES-0164</t>
  </si>
  <si>
    <t>SES-0165</t>
  </si>
  <si>
    <t>SES-0166</t>
  </si>
  <si>
    <t>SES-0167</t>
  </si>
  <si>
    <t>SES-0168</t>
  </si>
  <si>
    <t>SES-0169</t>
  </si>
  <si>
    <t>SES-0170</t>
  </si>
  <si>
    <t>SES-0171</t>
  </si>
  <si>
    <t>SES-0172</t>
  </si>
  <si>
    <t>SES-0173</t>
  </si>
  <si>
    <t>SES-0174</t>
  </si>
  <si>
    <t>SES-0175</t>
  </si>
  <si>
    <t>SES-0176</t>
  </si>
  <si>
    <t>SES-0177</t>
  </si>
  <si>
    <t>SES-0178</t>
  </si>
  <si>
    <t>SES-0179</t>
  </si>
  <si>
    <t>SES-0180</t>
  </si>
  <si>
    <t>SES-0181</t>
  </si>
  <si>
    <t>SES-0182</t>
  </si>
  <si>
    <t>SES-0183</t>
  </si>
  <si>
    <t>SES-0184</t>
  </si>
  <si>
    <t>SES-0185</t>
  </si>
  <si>
    <t>SES-0186</t>
  </si>
  <si>
    <t>SES-0187</t>
  </si>
  <si>
    <t>SES-0188</t>
  </si>
  <si>
    <t>SES-0189</t>
  </si>
  <si>
    <t>SES-0190</t>
  </si>
  <si>
    <t>SES-0191</t>
  </si>
  <si>
    <t>SES-0192</t>
  </si>
  <si>
    <t>SES-0193</t>
  </si>
  <si>
    <t>SES-0194</t>
  </si>
  <si>
    <t>SES-0195</t>
  </si>
  <si>
    <t>SES-0196</t>
  </si>
  <si>
    <t>SES-0197</t>
  </si>
  <si>
    <t>SES-0198</t>
  </si>
  <si>
    <t>SES-0199</t>
  </si>
  <si>
    <t>SES-0200</t>
  </si>
  <si>
    <t>SES-0201</t>
  </si>
  <si>
    <t>SES-0202</t>
  </si>
  <si>
    <t>SES-0203</t>
  </si>
  <si>
    <t>SES-0204</t>
  </si>
  <si>
    <t>SES-0205</t>
  </si>
  <si>
    <t>SES-0206</t>
  </si>
  <si>
    <t>SES-0207</t>
  </si>
  <si>
    <t>SES-0208</t>
  </si>
  <si>
    <t>SES-0209</t>
  </si>
  <si>
    <t>SES-0210</t>
  </si>
  <si>
    <t>SES-0211</t>
  </si>
  <si>
    <t>SES-0212</t>
  </si>
  <si>
    <t>SES-0213</t>
  </si>
  <si>
    <t>SES-0214</t>
  </si>
  <si>
    <t>SES-0215</t>
  </si>
  <si>
    <t>SES-0216</t>
  </si>
  <si>
    <t>SES-0217</t>
  </si>
  <si>
    <t>SES-0218</t>
  </si>
  <si>
    <t>SES-0219</t>
  </si>
  <si>
    <t>SES-0220</t>
  </si>
  <si>
    <t>SES-0221</t>
  </si>
  <si>
    <t>SES-0222</t>
  </si>
  <si>
    <t>SES-0223</t>
  </si>
  <si>
    <t>SES-0224</t>
  </si>
  <si>
    <t>SES-0225</t>
  </si>
  <si>
    <t>SES-0226</t>
  </si>
  <si>
    <t>SES-0227</t>
  </si>
  <si>
    <t>SES-0228</t>
  </si>
  <si>
    <t>SES-0229</t>
  </si>
  <si>
    <t>SES-0230</t>
  </si>
  <si>
    <t>SES-0231</t>
  </si>
  <si>
    <t>SES-0232</t>
  </si>
  <si>
    <t>SES-0233</t>
  </si>
  <si>
    <t>SES-0234</t>
  </si>
  <si>
    <t>SES-0235</t>
  </si>
  <si>
    <t>SES-0236</t>
  </si>
  <si>
    <t>SES-0237</t>
  </si>
  <si>
    <t>SES-0238</t>
  </si>
  <si>
    <t>SES-0239</t>
  </si>
  <si>
    <t>SES-0240</t>
  </si>
  <si>
    <t>SES-0241</t>
  </si>
  <si>
    <t>SES-0242</t>
  </si>
  <si>
    <t>SES-0243</t>
  </si>
  <si>
    <t>SES-0244</t>
  </si>
  <si>
    <t>SES-0245</t>
  </si>
  <si>
    <t>SES-0246</t>
  </si>
  <si>
    <t>SES-0247</t>
  </si>
  <si>
    <t>SES-0248</t>
  </si>
  <si>
    <t>SES-0249</t>
  </si>
  <si>
    <t>SES-0250</t>
  </si>
  <si>
    <t>SES-0251</t>
  </si>
  <si>
    <t>SES-0252</t>
  </si>
  <si>
    <t>SES-0253</t>
  </si>
  <si>
    <t>SES-0254</t>
  </si>
  <si>
    <t>SES-0255</t>
  </si>
  <si>
    <t>SES-0256</t>
  </si>
  <si>
    <t>SES-0257</t>
  </si>
  <si>
    <t>SES-0258</t>
  </si>
  <si>
    <t>SES-0259</t>
  </si>
  <si>
    <t>SES-0260</t>
  </si>
  <si>
    <t>SES-0261</t>
  </si>
  <si>
    <t>SES-0262</t>
  </si>
  <si>
    <t>SES-0263</t>
  </si>
  <si>
    <t>SES-0264</t>
  </si>
  <si>
    <t>SES-0265</t>
  </si>
  <si>
    <t>SES-0266</t>
  </si>
  <si>
    <t>SES-0267</t>
  </si>
  <si>
    <t>SES-0268</t>
  </si>
  <si>
    <t>SES-0269</t>
  </si>
  <si>
    <t>SES-0270</t>
  </si>
  <si>
    <t>SES-0271</t>
  </si>
  <si>
    <t>SES-0272</t>
  </si>
  <si>
    <t>SES-0273</t>
  </si>
  <si>
    <t>SES-0274</t>
  </si>
  <si>
    <t>SES-0275</t>
  </si>
  <si>
    <t>SES-0276</t>
  </si>
  <si>
    <t>SES-0277</t>
  </si>
  <si>
    <t>SES-0278</t>
  </si>
  <si>
    <t>SES-0279</t>
  </si>
  <si>
    <t>SES-0280</t>
  </si>
  <si>
    <t>SES-0281</t>
  </si>
  <si>
    <t>SES-0282</t>
  </si>
  <si>
    <t>SES-0283</t>
  </si>
  <si>
    <t>SES-0284</t>
  </si>
  <si>
    <t>SES-0285</t>
  </si>
  <si>
    <t>SES-0286</t>
  </si>
  <si>
    <t>SES-0287</t>
  </si>
  <si>
    <t>SES-0288</t>
  </si>
  <si>
    <t>SES-0289</t>
  </si>
  <si>
    <t>SES-0290</t>
  </si>
  <si>
    <t>SES-0291</t>
  </si>
  <si>
    <t>SES-0292</t>
  </si>
  <si>
    <t>SES-0293</t>
  </si>
  <si>
    <t>SES-0294</t>
  </si>
  <si>
    <t>SES-0295</t>
  </si>
  <si>
    <t>SES-0296</t>
  </si>
  <si>
    <t>SES-0297</t>
  </si>
  <si>
    <t>SES-0298</t>
  </si>
  <si>
    <t>SES-0299</t>
  </si>
  <si>
    <t>SES-0300</t>
  </si>
  <si>
    <t>SES-0301</t>
  </si>
  <si>
    <t>SES-0302</t>
  </si>
  <si>
    <t>SES-0303</t>
  </si>
  <si>
    <t>SES-0304</t>
  </si>
  <si>
    <t>SES-0305</t>
  </si>
  <si>
    <t>SES-0306</t>
  </si>
  <si>
    <t>SES-0307</t>
  </si>
  <si>
    <t>SES-0308</t>
  </si>
  <si>
    <t>SES-0309</t>
  </si>
  <si>
    <t>SES-0310</t>
  </si>
  <si>
    <t>SES-0311</t>
  </si>
  <si>
    <t>SES-0312</t>
  </si>
  <si>
    <t>SES-0313</t>
  </si>
  <si>
    <t>SES-0314</t>
  </si>
  <si>
    <t>SES-0315</t>
  </si>
  <si>
    <t>SES-0316</t>
  </si>
  <si>
    <t>SES-0317</t>
  </si>
  <si>
    <t>SES-0318</t>
  </si>
  <si>
    <t>SES-0319</t>
  </si>
  <si>
    <t>SES-0320</t>
  </si>
  <si>
    <t>SES-0321</t>
  </si>
  <si>
    <t>SES-0322</t>
  </si>
  <si>
    <t>SES-0323</t>
  </si>
  <si>
    <t>SES-0324</t>
  </si>
  <si>
    <t>SES-0325</t>
  </si>
  <si>
    <t>SES-0326</t>
  </si>
  <si>
    <t>SES-0327</t>
  </si>
  <si>
    <t>SES-0328</t>
  </si>
  <si>
    <t>SES-0329</t>
  </si>
  <si>
    <t>SES-0330</t>
  </si>
  <si>
    <t>SES-0331</t>
  </si>
  <si>
    <t>SES-0332</t>
  </si>
  <si>
    <t>SES-0333</t>
  </si>
  <si>
    <t>SES-0334</t>
  </si>
  <si>
    <t>SES-0335</t>
  </si>
  <si>
    <t>SES-0336</t>
  </si>
  <si>
    <t>SES-0337</t>
  </si>
  <si>
    <t>SES-0338</t>
  </si>
  <si>
    <t>SES-0339</t>
  </si>
  <si>
    <t>SES-0340</t>
  </si>
  <si>
    <t>SES-0341</t>
  </si>
  <si>
    <t>SES-0342</t>
  </si>
  <si>
    <t>SES-0343</t>
  </si>
  <si>
    <t>SES-0344</t>
  </si>
  <si>
    <t>SES-0345</t>
  </si>
  <si>
    <t>SES-0346</t>
  </si>
  <si>
    <t>SES-0347</t>
  </si>
  <si>
    <t>SES-0348</t>
  </si>
  <si>
    <t>SES-0349</t>
  </si>
  <si>
    <t>SES-0350</t>
  </si>
  <si>
    <t>SES-0351</t>
  </si>
  <si>
    <t>SES-0352</t>
  </si>
  <si>
    <t>SES-0353</t>
  </si>
  <si>
    <t>SES-0354</t>
  </si>
  <si>
    <t>SES-0355</t>
  </si>
  <si>
    <t>SES-0356</t>
  </si>
  <si>
    <t>SES-0357</t>
  </si>
  <si>
    <t>SES-0358</t>
  </si>
  <si>
    <t>SES-0359</t>
  </si>
  <si>
    <t>SES-0360</t>
  </si>
  <si>
    <t>SES-0361</t>
  </si>
  <si>
    <t>SES-0362</t>
  </si>
  <si>
    <t>SES-0363</t>
  </si>
  <si>
    <t>SES-0364</t>
  </si>
  <si>
    <t>SES-0365</t>
  </si>
  <si>
    <t>SES-0366</t>
  </si>
  <si>
    <t>SES-0367</t>
  </si>
  <si>
    <t>SES-0368</t>
  </si>
  <si>
    <t>SES-0369</t>
  </si>
  <si>
    <t>SES-0370</t>
  </si>
  <si>
    <t>SES-0371</t>
  </si>
  <si>
    <t>SES-0372</t>
  </si>
  <si>
    <t>SES-0373</t>
  </si>
  <si>
    <t>SES-0374</t>
  </si>
  <si>
    <t>SES-0375</t>
  </si>
  <si>
    <t>SES-0376</t>
  </si>
  <si>
    <t>SES-0377</t>
  </si>
  <si>
    <t>SES-0378</t>
  </si>
  <si>
    <t>SES-0379</t>
  </si>
  <si>
    <t>SES-0380</t>
  </si>
  <si>
    <t>SES-0381</t>
  </si>
  <si>
    <t>SES-0382</t>
  </si>
  <si>
    <t>SES-0383</t>
  </si>
  <si>
    <t>SES-0384</t>
  </si>
  <si>
    <t>SES-0385</t>
  </si>
  <si>
    <t>SES-0386</t>
  </si>
  <si>
    <t>SES-0387</t>
  </si>
  <si>
    <t>SES-0388</t>
  </si>
  <si>
    <t>SES-0389</t>
  </si>
  <si>
    <t>SES-0390</t>
  </si>
  <si>
    <t>SES-0391</t>
  </si>
  <si>
    <t>SES-0392</t>
  </si>
  <si>
    <t>SES-0393</t>
  </si>
  <si>
    <t>SES-0394</t>
  </si>
  <si>
    <t>SES-0395</t>
  </si>
  <si>
    <t>SES-0396</t>
  </si>
  <si>
    <t>SES-0397</t>
  </si>
  <si>
    <t>SES-0398</t>
  </si>
  <si>
    <t>SES-0399</t>
  </si>
  <si>
    <t>SES-0400</t>
  </si>
  <si>
    <t>SES-0401</t>
  </si>
  <si>
    <t>SES-0402</t>
  </si>
  <si>
    <t>SES-0403</t>
  </si>
  <si>
    <t>SES-0404</t>
  </si>
  <si>
    <t>SES-0405</t>
  </si>
  <si>
    <t>SES-0406</t>
  </si>
  <si>
    <t>SES-0407</t>
  </si>
  <si>
    <t>SES-0408</t>
  </si>
  <si>
    <t>SES-0409</t>
  </si>
  <si>
    <t>SES-0410</t>
  </si>
  <si>
    <t>SES-0411</t>
  </si>
  <si>
    <t>SES-0412</t>
  </si>
  <si>
    <t>SES-0413</t>
  </si>
  <si>
    <t>SES-0414</t>
  </si>
  <si>
    <t>SES-0415</t>
  </si>
  <si>
    <t>SES-0416</t>
  </si>
  <si>
    <t>Synthetic analysis summaries; Refresh All after changing inputs</t>
  </si>
  <si>
    <t>Opened Script ID</t>
  </si>
  <si>
    <t>Observed Sessions</t>
  </si>
  <si>
    <t>Average Contribution</t>
  </si>
  <si>
    <t>Script</t>
  </si>
  <si>
    <t>Session Count</t>
  </si>
  <si>
    <t>Grand Total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</si>
  <si>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</si>
  <si>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</si>
  <si>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</si>
  <si>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</si>
  <si>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</si>
  <si>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</si>
  <si>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</si>
  <si>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</si>
  <si>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</si>
  <si>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</si>
  <si>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Script Count</t>
  </si>
  <si>
    <t>Base Cost</t>
  </si>
  <si>
    <t>Contribution</t>
  </si>
  <si>
    <t>2026-07</t>
  </si>
  <si>
    <t>Not Opened</t>
  </si>
  <si>
    <t>2026-08</t>
  </si>
  <si>
    <t>Recovered - All Scenarios</t>
  </si>
  <si>
    <t>2026-09</t>
  </si>
  <si>
    <t>Recovered - Low &amp; Base</t>
  </si>
  <si>
    <t>2026-10</t>
  </si>
  <si>
    <t>High Frequency / High Contribution</t>
  </si>
  <si>
    <t>High Frequency / Low Contribution</t>
  </si>
  <si>
    <t>Low Frequency / High Contribution</t>
  </si>
  <si>
    <t>Low Frequency / Low Contribution</t>
  </si>
  <si>
    <t>Check</t>
  </si>
  <si>
    <t>Calculated</t>
  </si>
  <si>
    <t>Expected</t>
  </si>
  <si>
    <t>Difference</t>
  </si>
  <si>
    <t>Unmatched ID</t>
  </si>
  <si>
    <t>Duplicate ID</t>
  </si>
  <si>
    <t>Session count</t>
  </si>
  <si>
    <t>Revenue</t>
  </si>
  <si>
    <t>Script count</t>
  </si>
  <si>
    <t>Opened scripts</t>
  </si>
  <si>
    <t>Unmatched script IDs</t>
  </si>
  <si>
    <t>Duplicate session IDs</t>
  </si>
  <si>
    <t>Script/session count difference</t>
  </si>
  <si>
    <t>Script/session contribution difference</t>
  </si>
  <si>
    <t>Formula analysis summaries; native PivotTables omitted in compatibility edition</t>
  </si>
  <si>
    <t>Synthetic compatibility edition. Formula summaries replace native PivotTables.</t>
  </si>
  <si>
    <t>Analysis contains live COUNTIF / SUMIF / AVERAGEIF summaries; no pivot caches.</t>
  </si>
  <si>
    <t>Enable automatic calculation. Native PivotTables can be recreated in Excel from SessionRecords.</t>
  </si>
  <si>
    <t>Numerical and formula tests passed. Desktop Excel opening still requires confirmation.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</si>
</sst>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$#,##0"/>
    <numFmt numFmtId="166" formatCode="mmm yy"/>
    <numFmt numFmtId="167" formatCode="#,##0.00"/>
    <numFmt numFmtId="168" formatCode="yyyy-mm-dd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6"/>
      <color rgb="FF19546B"/>
      <name val="Arial"/>
      <family val="2"/>
    </font>
    <font>
      <b/>
      <sz val="20"/>
      <color rgb="FF19546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9546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0" borderId="0" xfId="0" applyFont="1"/>
    <xf numFmtId="164" fontId="4" fillId="0" borderId="0" xfId="0" applyNumberFormat="1" applyFont="1"/>
    <xf numFmtId="165" fontId="4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Sessions (October partial)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Monthly sessions</c:v>
          </c:tx>
          <c:spPr>
            <a:ln>
              <a:solidFill>
                <a:srgbClr val="19546B"/>
              </a:solidFill>
            </a:ln>
          </c:spPr>
          <c:marker>
            <c:symbol val="circle"/>
            <c:size val="4"/>
          </c:marker>
          <c:cat>
            <c:numRef>
              <c:f>Dashboard!$P$9:$P$22</c:f>
              <c:numCache>
                <c:formatCode>General</c:formatCode>
                <c:ptCount val="14"/>
                <c:pt idx="0">
                  <c:v>45901</c:v>
                </c:pt>
                <c:pt idx="1">
                  <c:v>45931</c:v>
                </c:pt>
                <c:pt idx="2">
                  <c:v>45962</c:v>
                </c:pt>
                <c:pt idx="3">
                  <c:v>45992</c:v>
                </c:pt>
                <c:pt idx="4">
                  <c:v>46023</c:v>
                </c:pt>
                <c:pt idx="5">
                  <c:v>46054</c:v>
                </c:pt>
                <c:pt idx="6">
                  <c:v>46082</c:v>
                </c:pt>
                <c:pt idx="7">
                  <c:v>46113</c:v>
                </c:pt>
                <c:pt idx="8">
                  <c:v>46143</c:v>
                </c:pt>
                <c:pt idx="9">
                  <c:v>46174</c:v>
                </c:pt>
                <c:pt idx="10">
                  <c:v>46204</c:v>
                </c:pt>
                <c:pt idx="11">
                  <c:v>46235</c:v>
                </c:pt>
                <c:pt idx="12">
                  <c:v>46266</c:v>
                </c:pt>
                <c:pt idx="13">
                  <c:v>46296</c:v>
                </c:pt>
              </c:numCache>
            </c:numRef>
          </c:cat>
          <c:val>
            <c:numRef>
              <c:f>Dashboard!$Q$9:$Q$22</c:f>
              <c:numCache>
                <c:formatCode>General</c:formatCode>
                <c:ptCount val="14"/>
                <c:pt idx="0">
                  <c:v>31</c:v>
                </c:pt>
                <c:pt idx="1">
                  <c:v>32</c:v>
                </c:pt>
                <c:pt idx="2">
                  <c:v>31</c:v>
                </c:pt>
                <c:pt idx="3">
                  <c:v>32</c:v>
                </c:pt>
                <c:pt idx="4">
                  <c:v>32</c:v>
                </c:pt>
                <c:pt idx="5">
                  <c:v>29</c:v>
                </c:pt>
                <c:pt idx="6">
                  <c:v>32</c:v>
                </c:pt>
                <c:pt idx="7">
                  <c:v>31</c:v>
                </c:pt>
                <c:pt idx="8">
                  <c:v>32</c:v>
                </c:pt>
                <c:pt idx="9">
                  <c:v>31</c:v>
                </c:pt>
                <c:pt idx="10">
                  <c:v>32</c:v>
                </c:pt>
                <c:pt idx="11">
                  <c:v>32</c:v>
                </c:pt>
                <c:pt idx="12">
                  <c:v>31</c:v>
                </c:pt>
                <c:pt idx="13">
                  <c:v>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Contribution per Session by Edition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Contribution / Session</c:v>
          </c:tx>
          <c:spPr>
            <a:solidFill>
              <a:srgbClr val="24758B"/>
            </a:solidFill>
          </c:spPr>
          <c:cat>
            <c:strRef>
              <c:f>Dashboard!$P$26:$P$28</c:f>
              <c:strCache>
                <c:ptCount val="3"/>
                <c:pt idx="0">
                  <c:v>城限</c:v>
                </c:pt>
                <c:pt idx="1">
                  <c:v>独家</c:v>
                </c:pt>
                <c:pt idx="2">
                  <c:v>盒装</c:v>
                </c:pt>
              </c:strCache>
            </c:strRef>
          </c:cat>
          <c:val>
            <c:numRef>
              <c:f>Dashboard!$Q$26:$Q$28</c:f>
              <c:numCache>
                <c:formatCode>General</c:formatCode>
                <c:ptCount val="3"/>
                <c:pt idx="0">
                  <c:v>505.5</c:v>
                </c:pt>
                <c:pt idx="1">
                  <c:v>527.8571428571429</c:v>
                </c:pt>
                <c:pt idx="2">
                  <c:v>430.962962962963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Opened Script Performance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Opened scripts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4758B"/>
              </a:solidFill>
            </c:spPr>
          </c:marker>
          <c:xVal>
            <c:numRef>
              <c:f>Dashboard!$Q$32:$Q$167</c:f>
              <c:numCache>
                <c:formatCode>General</c:formatCode>
                <c:ptCount val="136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5</c:v>
                </c:pt>
                <c:pt idx="9">
                  <c:v>1</c:v>
                </c:pt>
                <c:pt idx="10">
                  <c:v>2</c:v>
                </c:pt>
                <c:pt idx="11">
                  <c:v>7</c:v>
                </c:pt>
                <c:pt idx="12">
                  <c:v>1</c:v>
                </c:pt>
                <c:pt idx="13">
                  <c:v>3</c:v>
                </c:pt>
                <c:pt idx="14">
                  <c:v>10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3</c:v>
                </c:pt>
                <c:pt idx="19">
                  <c:v>2</c:v>
                </c:pt>
                <c:pt idx="20">
                  <c:v>4</c:v>
                </c:pt>
                <c:pt idx="21">
                  <c:v>2</c:v>
                </c:pt>
                <c:pt idx="22">
                  <c:v>4</c:v>
                </c:pt>
                <c:pt idx="23">
                  <c:v>1</c:v>
                </c:pt>
                <c:pt idx="24">
                  <c:v>2</c:v>
                </c:pt>
                <c:pt idx="25">
                  <c:v>5</c:v>
                </c:pt>
                <c:pt idx="26">
                  <c:v>1</c:v>
                </c:pt>
                <c:pt idx="27">
                  <c:v>2</c:v>
                </c:pt>
                <c:pt idx="28">
                  <c:v>7</c:v>
                </c:pt>
                <c:pt idx="29">
                  <c:v>1</c:v>
                </c:pt>
                <c:pt idx="30">
                  <c:v>3</c:v>
                </c:pt>
                <c:pt idx="31">
                  <c:v>10</c:v>
                </c:pt>
                <c:pt idx="32">
                  <c:v>1</c:v>
                </c:pt>
                <c:pt idx="33">
                  <c:v>3</c:v>
                </c:pt>
                <c:pt idx="34">
                  <c:v>1</c:v>
                </c:pt>
                <c:pt idx="35">
                  <c:v>3</c:v>
                </c:pt>
                <c:pt idx="36">
                  <c:v>2</c:v>
                </c:pt>
                <c:pt idx="37">
                  <c:v>4</c:v>
                </c:pt>
                <c:pt idx="38">
                  <c:v>2</c:v>
                </c:pt>
                <c:pt idx="39">
                  <c:v>4</c:v>
                </c:pt>
                <c:pt idx="40">
                  <c:v>1</c:v>
                </c:pt>
                <c:pt idx="41">
                  <c:v>2</c:v>
                </c:pt>
                <c:pt idx="42">
                  <c:v>5</c:v>
                </c:pt>
                <c:pt idx="43">
                  <c:v>1</c:v>
                </c:pt>
                <c:pt idx="44">
                  <c:v>2</c:v>
                </c:pt>
                <c:pt idx="45">
                  <c:v>7</c:v>
                </c:pt>
                <c:pt idx="46">
                  <c:v>1</c:v>
                </c:pt>
                <c:pt idx="47">
                  <c:v>3</c:v>
                </c:pt>
                <c:pt idx="48">
                  <c:v>10</c:v>
                </c:pt>
                <c:pt idx="49">
                  <c:v>1</c:v>
                </c:pt>
                <c:pt idx="50">
                  <c:v>3</c:v>
                </c:pt>
                <c:pt idx="51">
                  <c:v>1</c:v>
                </c:pt>
                <c:pt idx="52">
                  <c:v>3</c:v>
                </c:pt>
                <c:pt idx="53">
                  <c:v>2</c:v>
                </c:pt>
                <c:pt idx="54">
                  <c:v>4</c:v>
                </c:pt>
                <c:pt idx="55">
                  <c:v>2</c:v>
                </c:pt>
                <c:pt idx="56">
                  <c:v>4</c:v>
                </c:pt>
                <c:pt idx="57">
                  <c:v>1</c:v>
                </c:pt>
                <c:pt idx="58">
                  <c:v>2</c:v>
                </c:pt>
                <c:pt idx="59">
                  <c:v>5</c:v>
                </c:pt>
                <c:pt idx="60">
                  <c:v>1</c:v>
                </c:pt>
                <c:pt idx="61">
                  <c:v>2</c:v>
                </c:pt>
                <c:pt idx="62">
                  <c:v>7</c:v>
                </c:pt>
                <c:pt idx="63">
                  <c:v>1</c:v>
                </c:pt>
                <c:pt idx="64">
                  <c:v>3</c:v>
                </c:pt>
                <c:pt idx="65">
                  <c:v>10</c:v>
                </c:pt>
                <c:pt idx="66">
                  <c:v>1</c:v>
                </c:pt>
                <c:pt idx="67">
                  <c:v>3</c:v>
                </c:pt>
                <c:pt idx="68">
                  <c:v>1</c:v>
                </c:pt>
                <c:pt idx="69">
                  <c:v>3</c:v>
                </c:pt>
                <c:pt idx="70">
                  <c:v>2</c:v>
                </c:pt>
                <c:pt idx="71">
                  <c:v>4</c:v>
                </c:pt>
                <c:pt idx="72">
                  <c:v>2</c:v>
                </c:pt>
                <c:pt idx="73">
                  <c:v>4</c:v>
                </c:pt>
                <c:pt idx="74">
                  <c:v>1</c:v>
                </c:pt>
                <c:pt idx="75">
                  <c:v>2</c:v>
                </c:pt>
                <c:pt idx="76">
                  <c:v>5</c:v>
                </c:pt>
                <c:pt idx="77">
                  <c:v>1</c:v>
                </c:pt>
                <c:pt idx="78">
                  <c:v>2</c:v>
                </c:pt>
                <c:pt idx="79">
                  <c:v>7</c:v>
                </c:pt>
                <c:pt idx="80">
                  <c:v>1</c:v>
                </c:pt>
                <c:pt idx="81">
                  <c:v>3</c:v>
                </c:pt>
                <c:pt idx="82">
                  <c:v>10</c:v>
                </c:pt>
                <c:pt idx="83">
                  <c:v>1</c:v>
                </c:pt>
                <c:pt idx="84">
                  <c:v>3</c:v>
                </c:pt>
                <c:pt idx="85">
                  <c:v>1</c:v>
                </c:pt>
                <c:pt idx="86">
                  <c:v>3</c:v>
                </c:pt>
                <c:pt idx="87">
                  <c:v>2</c:v>
                </c:pt>
                <c:pt idx="88">
                  <c:v>4</c:v>
                </c:pt>
                <c:pt idx="89">
                  <c:v>2</c:v>
                </c:pt>
                <c:pt idx="90">
                  <c:v>4</c:v>
                </c:pt>
                <c:pt idx="91">
                  <c:v>1</c:v>
                </c:pt>
                <c:pt idx="92">
                  <c:v>2</c:v>
                </c:pt>
                <c:pt idx="93">
                  <c:v>5</c:v>
                </c:pt>
                <c:pt idx="94">
                  <c:v>1</c:v>
                </c:pt>
                <c:pt idx="95">
                  <c:v>2</c:v>
                </c:pt>
                <c:pt idx="96">
                  <c:v>7</c:v>
                </c:pt>
                <c:pt idx="97">
                  <c:v>1</c:v>
                </c:pt>
                <c:pt idx="98">
                  <c:v>3</c:v>
                </c:pt>
                <c:pt idx="99">
                  <c:v>10</c:v>
                </c:pt>
                <c:pt idx="100">
                  <c:v>1</c:v>
                </c:pt>
                <c:pt idx="101">
                  <c:v>3</c:v>
                </c:pt>
                <c:pt idx="102">
                  <c:v>1</c:v>
                </c:pt>
                <c:pt idx="103">
                  <c:v>3</c:v>
                </c:pt>
                <c:pt idx="104">
                  <c:v>2</c:v>
                </c:pt>
                <c:pt idx="105">
                  <c:v>4</c:v>
                </c:pt>
                <c:pt idx="106">
                  <c:v>2</c:v>
                </c:pt>
                <c:pt idx="107">
                  <c:v>4</c:v>
                </c:pt>
                <c:pt idx="108">
                  <c:v>1</c:v>
                </c:pt>
                <c:pt idx="109">
                  <c:v>2</c:v>
                </c:pt>
                <c:pt idx="110">
                  <c:v>5</c:v>
                </c:pt>
                <c:pt idx="111">
                  <c:v>1</c:v>
                </c:pt>
                <c:pt idx="112">
                  <c:v>2</c:v>
                </c:pt>
                <c:pt idx="113">
                  <c:v>7</c:v>
                </c:pt>
                <c:pt idx="114">
                  <c:v>1</c:v>
                </c:pt>
                <c:pt idx="115">
                  <c:v>3</c:v>
                </c:pt>
                <c:pt idx="116">
                  <c:v>10</c:v>
                </c:pt>
                <c:pt idx="117">
                  <c:v>1</c:v>
                </c:pt>
                <c:pt idx="118">
                  <c:v>3</c:v>
                </c:pt>
                <c:pt idx="119">
                  <c:v>1</c:v>
                </c:pt>
                <c:pt idx="120">
                  <c:v>3</c:v>
                </c:pt>
                <c:pt idx="121">
                  <c:v>2</c:v>
                </c:pt>
                <c:pt idx="122">
                  <c:v>4</c:v>
                </c:pt>
                <c:pt idx="123">
                  <c:v>2</c:v>
                </c:pt>
                <c:pt idx="124">
                  <c:v>4</c:v>
                </c:pt>
                <c:pt idx="125">
                  <c:v>1</c:v>
                </c:pt>
                <c:pt idx="126">
                  <c:v>2</c:v>
                </c:pt>
                <c:pt idx="127">
                  <c:v>5</c:v>
                </c:pt>
                <c:pt idx="128">
                  <c:v>1</c:v>
                </c:pt>
                <c:pt idx="129">
                  <c:v>2</c:v>
                </c:pt>
                <c:pt idx="130">
                  <c:v>7</c:v>
                </c:pt>
                <c:pt idx="131">
                  <c:v>1</c:v>
                </c:pt>
                <c:pt idx="132">
                  <c:v>3</c:v>
                </c:pt>
                <c:pt idx="133">
                  <c:v>10</c:v>
                </c:pt>
                <c:pt idx="134">
                  <c:v>1</c:v>
                </c:pt>
                <c:pt idx="135">
                  <c:v>3</c:v>
                </c:pt>
              </c:numCache>
            </c:numRef>
          </c:xVal>
          <c:yVal>
            <c:numRef>
              <c:f>Dashboard!$R$32:$R$167</c:f>
              <c:numCache>
                <c:formatCode>General</c:formatCode>
                <c:ptCount val="136"/>
                <c:pt idx="0">
                  <c:v>332.0</c:v>
                </c:pt>
                <c:pt idx="1">
                  <c:v>438.0</c:v>
                </c:pt>
                <c:pt idx="2">
                  <c:v>383.0</c:v>
                </c:pt>
                <c:pt idx="3">
                  <c:v>474.0</c:v>
                </c:pt>
                <c:pt idx="4">
                  <c:v>527.0</c:v>
                </c:pt>
                <c:pt idx="5">
                  <c:v>490.0</c:v>
                </c:pt>
                <c:pt idx="6">
                  <c:v>332.0</c:v>
                </c:pt>
                <c:pt idx="7">
                  <c:v>528.0</c:v>
                </c:pt>
                <c:pt idx="8">
                  <c:v>527.0</c:v>
                </c:pt>
                <c:pt idx="9">
                  <c:v>324.0</c:v>
                </c:pt>
                <c:pt idx="10">
                  <c:v>563.0</c:v>
                </c:pt>
                <c:pt idx="11">
                  <c:v>560.0</c:v>
                </c:pt>
                <c:pt idx="12">
                  <c:v>648.0</c:v>
                </c:pt>
                <c:pt idx="13">
                  <c:v>482.0</c:v>
                </c:pt>
                <c:pt idx="14">
                  <c:v>332.0</c:v>
                </c:pt>
                <c:pt idx="15">
                  <c:v>609.0</c:v>
                </c:pt>
                <c:pt idx="16">
                  <c:v>564.0</c:v>
                </c:pt>
                <c:pt idx="17">
                  <c:v>332.0</c:v>
                </c:pt>
                <c:pt idx="18">
                  <c:v>438.0</c:v>
                </c:pt>
                <c:pt idx="19">
                  <c:v>383.0</c:v>
                </c:pt>
                <c:pt idx="20">
                  <c:v>474.0</c:v>
                </c:pt>
                <c:pt idx="21">
                  <c:v>527.0</c:v>
                </c:pt>
                <c:pt idx="22">
                  <c:v>490.0</c:v>
                </c:pt>
                <c:pt idx="23">
                  <c:v>332.0</c:v>
                </c:pt>
                <c:pt idx="24">
                  <c:v>528.0</c:v>
                </c:pt>
                <c:pt idx="25">
                  <c:v>527.0</c:v>
                </c:pt>
                <c:pt idx="26">
                  <c:v>324.0</c:v>
                </c:pt>
                <c:pt idx="27">
                  <c:v>563.0</c:v>
                </c:pt>
                <c:pt idx="28">
                  <c:v>560.0</c:v>
                </c:pt>
                <c:pt idx="29">
                  <c:v>648.0</c:v>
                </c:pt>
                <c:pt idx="30">
                  <c:v>482.0</c:v>
                </c:pt>
                <c:pt idx="31">
                  <c:v>332.0</c:v>
                </c:pt>
                <c:pt idx="32">
                  <c:v>609.0</c:v>
                </c:pt>
                <c:pt idx="33">
                  <c:v>564.0</c:v>
                </c:pt>
                <c:pt idx="34">
                  <c:v>332.0</c:v>
                </c:pt>
                <c:pt idx="35">
                  <c:v>438.0</c:v>
                </c:pt>
                <c:pt idx="36">
                  <c:v>383.0</c:v>
                </c:pt>
                <c:pt idx="37">
                  <c:v>474.0</c:v>
                </c:pt>
                <c:pt idx="38">
                  <c:v>527.0</c:v>
                </c:pt>
                <c:pt idx="39">
                  <c:v>490.0</c:v>
                </c:pt>
                <c:pt idx="40">
                  <c:v>332.0</c:v>
                </c:pt>
                <c:pt idx="41">
                  <c:v>528.0</c:v>
                </c:pt>
                <c:pt idx="42">
                  <c:v>527.0</c:v>
                </c:pt>
                <c:pt idx="43">
                  <c:v>324.0</c:v>
                </c:pt>
                <c:pt idx="44">
                  <c:v>563.0</c:v>
                </c:pt>
                <c:pt idx="45">
                  <c:v>560.0</c:v>
                </c:pt>
                <c:pt idx="46">
                  <c:v>648.0</c:v>
                </c:pt>
                <c:pt idx="47">
                  <c:v>482.0</c:v>
                </c:pt>
                <c:pt idx="48">
                  <c:v>332.0</c:v>
                </c:pt>
                <c:pt idx="49">
                  <c:v>609.0</c:v>
                </c:pt>
                <c:pt idx="50">
                  <c:v>564.0</c:v>
                </c:pt>
                <c:pt idx="51">
                  <c:v>332.0</c:v>
                </c:pt>
                <c:pt idx="52">
                  <c:v>438.0</c:v>
                </c:pt>
                <c:pt idx="53">
                  <c:v>383.0</c:v>
                </c:pt>
                <c:pt idx="54">
                  <c:v>474.0</c:v>
                </c:pt>
                <c:pt idx="55">
                  <c:v>527.0</c:v>
                </c:pt>
                <c:pt idx="56">
                  <c:v>490.0</c:v>
                </c:pt>
                <c:pt idx="57">
                  <c:v>332.0</c:v>
                </c:pt>
                <c:pt idx="58">
                  <c:v>528.0</c:v>
                </c:pt>
                <c:pt idx="59">
                  <c:v>527.0</c:v>
                </c:pt>
                <c:pt idx="60">
                  <c:v>324.0</c:v>
                </c:pt>
                <c:pt idx="61">
                  <c:v>563.0</c:v>
                </c:pt>
                <c:pt idx="62">
                  <c:v>560.0</c:v>
                </c:pt>
                <c:pt idx="63">
                  <c:v>648.0</c:v>
                </c:pt>
                <c:pt idx="64">
                  <c:v>482.0</c:v>
                </c:pt>
                <c:pt idx="65">
                  <c:v>332.0</c:v>
                </c:pt>
                <c:pt idx="66">
                  <c:v>609.0</c:v>
                </c:pt>
                <c:pt idx="67">
                  <c:v>564.0</c:v>
                </c:pt>
                <c:pt idx="68">
                  <c:v>332.0</c:v>
                </c:pt>
                <c:pt idx="69">
                  <c:v>438.0</c:v>
                </c:pt>
                <c:pt idx="70">
                  <c:v>383.0</c:v>
                </c:pt>
                <c:pt idx="71">
                  <c:v>474.0</c:v>
                </c:pt>
                <c:pt idx="72">
                  <c:v>527.0</c:v>
                </c:pt>
                <c:pt idx="73">
                  <c:v>490.0</c:v>
                </c:pt>
                <c:pt idx="74">
                  <c:v>332.0</c:v>
                </c:pt>
                <c:pt idx="75">
                  <c:v>528.0</c:v>
                </c:pt>
                <c:pt idx="76">
                  <c:v>527.0</c:v>
                </c:pt>
                <c:pt idx="77">
                  <c:v>324.0</c:v>
                </c:pt>
                <c:pt idx="78">
                  <c:v>563.0</c:v>
                </c:pt>
                <c:pt idx="79">
                  <c:v>560.0</c:v>
                </c:pt>
                <c:pt idx="80">
                  <c:v>648.0</c:v>
                </c:pt>
                <c:pt idx="81">
                  <c:v>482.0</c:v>
                </c:pt>
                <c:pt idx="82">
                  <c:v>332.0</c:v>
                </c:pt>
                <c:pt idx="83">
                  <c:v>609.0</c:v>
                </c:pt>
                <c:pt idx="84">
                  <c:v>564.0</c:v>
                </c:pt>
                <c:pt idx="85">
                  <c:v>332.0</c:v>
                </c:pt>
                <c:pt idx="86">
                  <c:v>438.0</c:v>
                </c:pt>
                <c:pt idx="87">
                  <c:v>383.0</c:v>
                </c:pt>
                <c:pt idx="88">
                  <c:v>474.0</c:v>
                </c:pt>
                <c:pt idx="89">
                  <c:v>527.0</c:v>
                </c:pt>
                <c:pt idx="90">
                  <c:v>490.0</c:v>
                </c:pt>
                <c:pt idx="91">
                  <c:v>332.0</c:v>
                </c:pt>
                <c:pt idx="92">
                  <c:v>528.0</c:v>
                </c:pt>
                <c:pt idx="93">
                  <c:v>527.0</c:v>
                </c:pt>
                <c:pt idx="94">
                  <c:v>324.0</c:v>
                </c:pt>
                <c:pt idx="95">
                  <c:v>563.0</c:v>
                </c:pt>
                <c:pt idx="96">
                  <c:v>560.0</c:v>
                </c:pt>
                <c:pt idx="97">
                  <c:v>648.0</c:v>
                </c:pt>
                <c:pt idx="98">
                  <c:v>482.0</c:v>
                </c:pt>
                <c:pt idx="99">
                  <c:v>332.0</c:v>
                </c:pt>
                <c:pt idx="100">
                  <c:v>609.0</c:v>
                </c:pt>
                <c:pt idx="101">
                  <c:v>564.0</c:v>
                </c:pt>
                <c:pt idx="102">
                  <c:v>332.0</c:v>
                </c:pt>
                <c:pt idx="103">
                  <c:v>438.0</c:v>
                </c:pt>
                <c:pt idx="104">
                  <c:v>383.0</c:v>
                </c:pt>
                <c:pt idx="105">
                  <c:v>474.0</c:v>
                </c:pt>
                <c:pt idx="106">
                  <c:v>527.0</c:v>
                </c:pt>
                <c:pt idx="107">
                  <c:v>490.0</c:v>
                </c:pt>
                <c:pt idx="108">
                  <c:v>332.0</c:v>
                </c:pt>
                <c:pt idx="109">
                  <c:v>528.0</c:v>
                </c:pt>
                <c:pt idx="110">
                  <c:v>527.0</c:v>
                </c:pt>
                <c:pt idx="111">
                  <c:v>324.0</c:v>
                </c:pt>
                <c:pt idx="112">
                  <c:v>563.0</c:v>
                </c:pt>
                <c:pt idx="113">
                  <c:v>560.0</c:v>
                </c:pt>
                <c:pt idx="114">
                  <c:v>648.0</c:v>
                </c:pt>
                <c:pt idx="115">
                  <c:v>482.0</c:v>
                </c:pt>
                <c:pt idx="116">
                  <c:v>332.0</c:v>
                </c:pt>
                <c:pt idx="117">
                  <c:v>609.0</c:v>
                </c:pt>
                <c:pt idx="118">
                  <c:v>564.0</c:v>
                </c:pt>
                <c:pt idx="119">
                  <c:v>332.0</c:v>
                </c:pt>
                <c:pt idx="120">
                  <c:v>438.0</c:v>
                </c:pt>
                <c:pt idx="121">
                  <c:v>383.0</c:v>
                </c:pt>
                <c:pt idx="122">
                  <c:v>474.0</c:v>
                </c:pt>
                <c:pt idx="123">
                  <c:v>527.0</c:v>
                </c:pt>
                <c:pt idx="124">
                  <c:v>490.0</c:v>
                </c:pt>
                <c:pt idx="125">
                  <c:v>332.0</c:v>
                </c:pt>
                <c:pt idx="126">
                  <c:v>528.0</c:v>
                </c:pt>
                <c:pt idx="127">
                  <c:v>527.0</c:v>
                </c:pt>
                <c:pt idx="128">
                  <c:v>324.0</c:v>
                </c:pt>
                <c:pt idx="129">
                  <c:v>563.0</c:v>
                </c:pt>
                <c:pt idx="130">
                  <c:v>560.0</c:v>
                </c:pt>
                <c:pt idx="131">
                  <c:v>648.0</c:v>
                </c:pt>
                <c:pt idx="132">
                  <c:v>482.0</c:v>
                </c:pt>
                <c:pt idx="133">
                  <c:v>332.0</c:v>
                </c:pt>
                <c:pt idx="134">
                  <c:v>609.0</c:v>
                </c:pt>
                <c:pt idx="135">
                  <c:v>564.0</c:v>
                </c:pt>
              </c:numCache>
            </c:numRef>
          </c:yVal>
        </c:ser>
        <c:ser>
          <c:idx val="1"/>
          <c:order val="1"/>
          <c:spPr>
            <a:ln>
              <a:solidFill>
                <a:srgbClr val="B05A4A"/>
              </a:solidFill>
              <a:prstDash val="dash"/>
            </a:ln>
          </c:spPr>
          <c:marker>
            <c:symbol val="none"/>
          </c:marker>
          <c:xVal>
            <c:numRef>
              <c:f>Dashboard!$T$32:$T$33</c:f>
              <c:numCache>
                <c:formatCode>General</c:formatCode>
                <c:ptCount val="2"/>
                <c:pt idx="0">
                  <c:v>2.0</c:v>
                </c:pt>
                <c:pt idx="1">
                  <c:v>2.0</c:v>
                </c:pt>
              </c:numCache>
            </c:numRef>
          </c:xVal>
          <c:yVal>
            <c:numRef>
              <c:f>Dashboard!$U$32:$U$33</c:f>
              <c:numCache>
                <c:formatCode>General</c:formatCode>
                <c:ptCount val="2"/>
                <c:pt idx="0">
                  <c:v>0</c:v>
                </c:pt>
                <c:pt idx="1">
                  <c:v>648.0</c:v>
                </c:pt>
              </c:numCache>
            </c:numRef>
          </c:yVal>
        </c:ser>
        <c:ser>
          <c:idx val="2"/>
          <c:order val="2"/>
          <c:spPr>
            <a:ln>
              <a:solidFill>
                <a:srgbClr val="B05A4A"/>
              </a:solidFill>
              <a:prstDash val="dash"/>
            </a:ln>
          </c:spPr>
          <c:marker>
            <c:symbol val="none"/>
          </c:marker>
          <c:xVal>
            <c:numRef>
              <c:f>Dashboard!$V$32:$V$33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Dashboard!$W$32:$W$33</c:f>
              <c:numCache>
                <c:formatCode>General</c:formatCode>
                <c:ptCount val="2"/>
                <c:pt idx="0">
                  <c:v>490.0</c:v>
                </c:pt>
                <c:pt idx="1">
                  <c:v>490.0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Observed Sessions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Estimated Contribution / Session (USD)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857250</xdr:colOff>
      <xdr:row>20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7</xdr:row>
      <xdr:rowOff>0</xdr:rowOff>
    </xdr:from>
    <xdr:to>
      <xdr:col>11</xdr:col>
      <xdr:colOff>857250</xdr:colOff>
      <xdr:row>20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11</xdr:col>
      <xdr:colOff>704850</xdr:colOff>
      <xdr:row>41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ScriptRecords" displayName="ScriptRecords" ref="A1:AA161" totalsRowShown="0">
  <autoFilter ref="A1:AA161"/>
  <tableColumns count="27">
    <tableColumn id="1" name="Script ID"/>
    <tableColumn id="2" name="Script Name"/>
    <tableColumn id="3" name="Script Type"/>
    <tableColumn id="4" name="DM"/>
    <tableColumn id="5" name="Players"/>
    <tableColumn id="6" name="Price Per Player"/>
    <tableColumn id="7" name="Estimated Gross Revenue"/>
    <tableColumn id="8" name="Standard DM Wage"/>
    <tableColumn id="9" name="Script Edition"/>
    <tableColumn id="10" name="Estimated Contribution"/>
    <tableColumn id="11" name="Rating"/>
    <tableColumn id="12" name="Cost Low(RMB)"/>
    <tableColumn id="13" name="Cost Base(RMB)"/>
    <tableColumn id="14" name="Cost High(RMB)"/>
    <tableColumn id="15" name="Cost Low(USD)"/>
    <tableColumn id="16" name="Cost Base(USD)"/>
    <tableColumn id="17" name="Cost High(USD)"/>
    <tableColumn id="18" name="Observed Session Count"/>
    <tableColumn id="19" name="Cumulative Estimated Contribution"/>
    <tableColumn id="20" name="Surplus - Low Cost"/>
    <tableColumn id="21" name="Surplus - Base Cost"/>
    <tableColumn id="22" name="Surplus - High Cost"/>
    <tableColumn id="23" name="Cost Recovery Status"/>
    <tableColumn id="24" name="Average Contribution per Session"/>
    <tableColumn id="25" name="Open Session Count"/>
    <tableColumn id="26" name="Avg Contribution(Opened Only)"/>
    <tableColumn id="27" name="Strategy Seg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ssionRecords" displayName="SessionRecords" ref="A1:O417" totalsRowShown="0">
  <autoFilter ref="A1:O417"/>
  <tableColumns count="15">
    <tableColumn id="1" name="Session ID"/>
    <tableColumn id="2" name="Script ID"/>
    <tableColumn id="3" name="Date"/>
    <tableColumn id="4" name="Script Name"/>
    <tableColumn id="5" name="Script Type"/>
    <tableColumn id="6" name="DM Count"/>
    <tableColumn id="7" name="Players"/>
    <tableColumn id="8" name="Price Per Player"/>
    <tableColumn id="9" name="Estimated Gross Revenue"/>
    <tableColumn id="10" name="Standard DM Wage"/>
    <tableColumn id="11" name="Script Edition"/>
    <tableColumn id="12" name="Estimated Contribution"/>
    <tableColumn id="13" name="Rating"/>
    <tableColumn id="14" name="Month Start"/>
    <tableColumn id="15" name="Report Mon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1"/>
  <sheetViews>
    <sheetView showGridLines="0" tabSelected="1" workbookViewId="0"/>
  </sheetViews>
  <sheetFormatPr defaultRowHeight="15"/>
  <cols>
    <col min="1" max="1" width="118.7109375" style="1" customWidth="1"/>
    <col min="2" max="2" width="20.7109375" style="2" customWidth="1"/>
  </cols>
  <sheetData>
    <row r="1" spans="1:1" ht="34" customHeight="1">
      <c r="A1" s="3" t="s">
        <v>0</v>
      </c>
    </row>
    <row r="2" spans="1:1" ht="34" customHeight="1">
      <c r="A2" s="1" t="s">
        <v>865</v>
      </c>
    </row>
    <row r="3" spans="1:1" ht="34" customHeight="1">
      <c r="A3" s="2" t="s">
        <v>2</v>
      </c>
    </row>
    <row r="4" spans="1:1" ht="34" customHeight="1">
      <c r="A4" s="2" t="s">
        <v>3</v>
      </c>
    </row>
    <row r="5" spans="1:1" ht="34" customHeight="1">
      <c r="A5" s="1" t="s">
        <v>866</v>
      </c>
    </row>
    <row r="6" spans="1:1" ht="34" customHeight="1">
      <c r="A6" s="1" t="s">
        <v>867</v>
      </c>
    </row>
    <row r="7" spans="1:1" ht="34" customHeight="1">
      <c r="A7" s="2" t="s">
        <v>6</v>
      </c>
    </row>
    <row r="8" spans="1:1" ht="34" customHeight="1">
      <c r="A8" s="2" t="s">
        <v>7</v>
      </c>
    </row>
    <row r="9" spans="1:1" ht="34" customHeight="1">
      <c r="A9" s="2" t="s">
        <v>8</v>
      </c>
    </row>
    <row r="10" spans="1:1" ht="34" customHeight="1">
      <c r="A10" s="2" t="s">
        <v>9</v>
      </c>
    </row>
    <row r="11" spans="1:1" ht="34" customHeight="1">
      <c r="A11" s="1" t="s">
        <v>868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W167"/>
  <sheetViews>
    <sheetView showGridLines="0" workbookViewId="0"/>
  </sheetViews>
  <sheetFormatPr defaultRowHeight="15"/>
  <cols>
    <col min="1" max="12" width="13.7109375" customWidth="1"/>
    <col min="13" max="23" width="20.7109375" style="2" customWidth="1"/>
  </cols>
  <sheetData>
    <row r="1" spans="1:17" ht="30" customHeight="1">
      <c r="A1" s="4" t="s">
        <v>11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7" ht="28" customHeight="1">
      <c r="A2" s="2" t="s">
        <v>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7">
      <c r="A4" s="2" t="s">
        <v>13</v>
      </c>
      <c r="B4" s="2"/>
      <c r="C4" s="2"/>
      <c r="D4" s="2" t="s">
        <v>14</v>
      </c>
      <c r="E4" s="2"/>
      <c r="F4" s="2"/>
      <c r="G4" s="2" t="s">
        <v>15</v>
      </c>
      <c r="H4" s="2"/>
      <c r="I4" s="2"/>
      <c r="J4" s="2" t="s">
        <v>16</v>
      </c>
      <c r="K4" s="2"/>
      <c r="L4" s="2"/>
    </row>
    <row r="5" spans="1:17">
      <c r="A5" s="5">
        <f>COUNTA('Raw Data'!$A$2:$A$417)</f>
        <v>416</v>
      </c>
      <c r="B5" s="5"/>
      <c r="C5" s="5"/>
      <c r="D5" s="6">
        <f>SUM('Raw Data'!$I$2:$I$417)</f>
        <v>280352</v>
      </c>
      <c r="E5" s="6"/>
      <c r="F5" s="6"/>
      <c r="G5" s="6">
        <f>SUM('Raw Data'!$L$2:$L$417)</f>
        <v>195440</v>
      </c>
      <c r="H5" s="6"/>
      <c r="I5" s="6"/>
      <c r="J5" s="5">
        <f>COUNTIF('Script List'!$R$2:$R$161,"&gt;0")</f>
        <v>136</v>
      </c>
      <c r="K5" s="5"/>
      <c r="L5" s="5"/>
    </row>
    <row r="6" spans="1:17">
      <c r="A6" s="5"/>
      <c r="B6" s="5"/>
      <c r="C6" s="5"/>
      <c r="D6" s="6"/>
      <c r="E6" s="6"/>
      <c r="F6" s="6"/>
      <c r="G6" s="6"/>
      <c r="H6" s="6"/>
      <c r="I6" s="6"/>
      <c r="J6" s="5"/>
      <c r="K6" s="5"/>
      <c r="L6" s="5"/>
    </row>
    <row r="8" spans="1:17">
      <c r="P8" s="2" t="s">
        <v>17</v>
      </c>
      <c r="Q8" s="2" t="s">
        <v>13</v>
      </c>
    </row>
    <row r="9" spans="1:17">
      <c r="P9" s="7">
        <v>45901</v>
      </c>
      <c r="Q9" s="2">
        <f>COUNTIF('Raw Data'!$N$2:$N$417,P9)</f>
        <v>31</v>
      </c>
    </row>
    <row r="10" spans="1:17">
      <c r="P10" s="7">
        <v>45931</v>
      </c>
      <c r="Q10" s="2">
        <f>COUNTIF('Raw Data'!$N$2:$N$417,P10)</f>
        <v>32</v>
      </c>
    </row>
    <row r="11" spans="1:17">
      <c r="P11" s="7">
        <v>45962</v>
      </c>
      <c r="Q11" s="2">
        <f>COUNTIF('Raw Data'!$N$2:$N$417,P11)</f>
        <v>31</v>
      </c>
    </row>
    <row r="12" spans="1:17">
      <c r="P12" s="7">
        <v>45992</v>
      </c>
      <c r="Q12" s="2">
        <f>COUNTIF('Raw Data'!$N$2:$N$417,P12)</f>
        <v>32</v>
      </c>
    </row>
    <row r="13" spans="1:17">
      <c r="P13" s="7">
        <v>46023</v>
      </c>
      <c r="Q13" s="2">
        <f>COUNTIF('Raw Data'!$N$2:$N$417,P13)</f>
        <v>32</v>
      </c>
    </row>
    <row r="14" spans="1:17">
      <c r="P14" s="7">
        <v>46054</v>
      </c>
      <c r="Q14" s="2">
        <f>COUNTIF('Raw Data'!$N$2:$N$417,P14)</f>
        <v>29</v>
      </c>
    </row>
    <row r="15" spans="1:17">
      <c r="P15" s="7">
        <v>46082</v>
      </c>
      <c r="Q15" s="2">
        <f>COUNTIF('Raw Data'!$N$2:$N$417,P15)</f>
        <v>32</v>
      </c>
    </row>
    <row r="16" spans="1:17">
      <c r="P16" s="7">
        <v>46113</v>
      </c>
      <c r="Q16" s="2">
        <f>COUNTIF('Raw Data'!$N$2:$N$417,P16)</f>
        <v>31</v>
      </c>
    </row>
    <row r="17" spans="16:23">
      <c r="P17" s="7">
        <v>46143</v>
      </c>
      <c r="Q17" s="2">
        <f>COUNTIF('Raw Data'!$N$2:$N$417,P17)</f>
        <v>32</v>
      </c>
    </row>
    <row r="18" spans="16:23">
      <c r="P18" s="7">
        <v>46174</v>
      </c>
      <c r="Q18" s="2">
        <f>COUNTIF('Raw Data'!$N$2:$N$417,P18)</f>
        <v>31</v>
      </c>
    </row>
    <row r="19" spans="16:23">
      <c r="P19" s="7">
        <v>46204</v>
      </c>
      <c r="Q19" s="2">
        <f>COUNTIF('Raw Data'!$N$2:$N$417,P19)</f>
        <v>32</v>
      </c>
    </row>
    <row r="20" spans="16:23">
      <c r="P20" s="7">
        <v>46235</v>
      </c>
      <c r="Q20" s="2">
        <f>COUNTIF('Raw Data'!$N$2:$N$417,P20)</f>
        <v>32</v>
      </c>
    </row>
    <row r="21" spans="16:23">
      <c r="P21" s="7">
        <v>46266</v>
      </c>
      <c r="Q21" s="2">
        <f>COUNTIF('Raw Data'!$N$2:$N$417,P21)</f>
        <v>31</v>
      </c>
    </row>
    <row r="22" spans="16:23">
      <c r="P22" s="7">
        <v>46296</v>
      </c>
      <c r="Q22" s="2">
        <f>COUNTIF('Raw Data'!$N$2:$N$417,P22)</f>
        <v>8</v>
      </c>
    </row>
    <row r="25" spans="16:23">
      <c r="P25" s="2" t="s">
        <v>18</v>
      </c>
      <c r="Q25" s="2" t="s">
        <v>19</v>
      </c>
      <c r="R25" s="2" t="s">
        <v>13</v>
      </c>
    </row>
    <row r="26" spans="16:23">
      <c r="P26" s="2" t="s">
        <v>20</v>
      </c>
      <c r="Q26" s="8">
        <f>AVERAGEIF('Raw Data'!$K$2:$K$417,P26,'Raw Data'!$L$2:$L$417)</f>
        <v>505.5</v>
      </c>
      <c r="R26" s="2">
        <f>COUNTIF('Raw Data'!$K$2:$K$417,P26)</f>
        <v>144</v>
      </c>
    </row>
    <row r="27" spans="16:23">
      <c r="P27" s="2" t="s">
        <v>21</v>
      </c>
      <c r="Q27" s="8">
        <f>AVERAGEIF('Raw Data'!$K$2:$K$417,P27,'Raw Data'!$L$2:$L$417)</f>
        <v>527.8571428571429</v>
      </c>
      <c r="R27" s="2">
        <f>COUNTIF('Raw Data'!$K$2:$K$417,P27)</f>
        <v>56</v>
      </c>
    </row>
    <row r="28" spans="16:23">
      <c r="P28" s="2" t="s">
        <v>22</v>
      </c>
      <c r="Q28" s="8">
        <f>AVERAGEIF('Raw Data'!$K$2:$K$417,P28,'Raw Data'!$L$2:$L$417)</f>
        <v>430.962962962963</v>
      </c>
      <c r="R28" s="2">
        <f>COUNTIF('Raw Data'!$K$2:$K$417,P28)</f>
        <v>216</v>
      </c>
    </row>
    <row r="31" spans="16:23">
      <c r="P31" s="2" t="s">
        <v>23</v>
      </c>
      <c r="Q31" s="2" t="s">
        <v>13</v>
      </c>
      <c r="R31" s="2" t="s">
        <v>19</v>
      </c>
      <c r="T31" s="2" t="s">
        <v>24</v>
      </c>
      <c r="U31" s="2" t="s">
        <v>25</v>
      </c>
      <c r="V31" s="2" t="s">
        <v>26</v>
      </c>
      <c r="W31" s="2" t="s">
        <v>25</v>
      </c>
    </row>
    <row r="32" spans="16:23">
      <c r="P32" s="2" t="s">
        <v>27</v>
      </c>
      <c r="Q32" s="2">
        <f>INDEX('Script List'!$R$2:$R$161,MATCH(P32,'Script List'!$A$2:$A$161,0))</f>
        <v>1</v>
      </c>
      <c r="R32" s="8">
        <f>INDEX('Script List'!$X$2:$X$161,MATCH(P32,'Script List'!$A$2:$A$161,0))</f>
        <v>332.0</v>
      </c>
      <c r="T32" s="8">
        <f>Assumptions!B3</f>
        <v>2.0</v>
      </c>
      <c r="U32" s="2">
        <f>0</f>
        <v>0</v>
      </c>
      <c r="V32" s="2">
        <f>0</f>
        <v>0</v>
      </c>
      <c r="W32" s="8">
        <f>Assumptions!B4</f>
        <v>490.0</v>
      </c>
    </row>
    <row r="33" spans="1:23">
      <c r="P33" s="2" t="s">
        <v>28</v>
      </c>
      <c r="Q33" s="2">
        <f>INDEX('Script List'!$R$2:$R$161,MATCH(P33,'Script List'!$A$2:$A$161,0))</f>
        <v>3</v>
      </c>
      <c r="R33" s="8">
        <f>INDEX('Script List'!$X$2:$X$161,MATCH(P33,'Script List'!$A$2:$A$161,0))</f>
        <v>438.0</v>
      </c>
      <c r="T33" s="8">
        <f>Assumptions!B3</f>
        <v>2.0</v>
      </c>
      <c r="U33" s="8">
        <f>MAX(R32:R167)</f>
        <v>648.0</v>
      </c>
      <c r="V33" s="2">
        <f>MAX(Q32:Q167)</f>
        <v>10</v>
      </c>
      <c r="W33" s="8">
        <f>Assumptions!B4</f>
        <v>490.0</v>
      </c>
    </row>
    <row r="34" spans="1:23">
      <c r="P34" s="2" t="s">
        <v>29</v>
      </c>
      <c r="Q34" s="2">
        <f>INDEX('Script List'!$R$2:$R$161,MATCH(P34,'Script List'!$A$2:$A$161,0))</f>
        <v>2</v>
      </c>
      <c r="R34" s="8">
        <f>INDEX('Script List'!$X$2:$X$161,MATCH(P34,'Script List'!$A$2:$A$161,0))</f>
        <v>383.0</v>
      </c>
    </row>
    <row r="35" spans="1:23">
      <c r="P35" s="2" t="s">
        <v>30</v>
      </c>
      <c r="Q35" s="2">
        <f>INDEX('Script List'!$R$2:$R$161,MATCH(P35,'Script List'!$A$2:$A$161,0))</f>
        <v>4</v>
      </c>
      <c r="R35" s="8">
        <f>INDEX('Script List'!$X$2:$X$161,MATCH(P35,'Script List'!$A$2:$A$161,0))</f>
        <v>474.0</v>
      </c>
    </row>
    <row r="36" spans="1:23">
      <c r="P36" s="2" t="s">
        <v>31</v>
      </c>
      <c r="Q36" s="2">
        <f>INDEX('Script List'!$R$2:$R$161,MATCH(P36,'Script List'!$A$2:$A$161,0))</f>
        <v>2</v>
      </c>
      <c r="R36" s="8">
        <f>INDEX('Script List'!$X$2:$X$161,MATCH(P36,'Script List'!$A$2:$A$161,0))</f>
        <v>527.0</v>
      </c>
    </row>
    <row r="37" spans="1:23">
      <c r="P37" s="2" t="s">
        <v>32</v>
      </c>
      <c r="Q37" s="2">
        <f>INDEX('Script List'!$R$2:$R$161,MATCH(P37,'Script List'!$A$2:$A$161,0))</f>
        <v>4</v>
      </c>
      <c r="R37" s="8">
        <f>INDEX('Script List'!$X$2:$X$161,MATCH(P37,'Script List'!$A$2:$A$161,0))</f>
        <v>490.0</v>
      </c>
    </row>
    <row r="38" spans="1:23">
      <c r="P38" s="2" t="s">
        <v>33</v>
      </c>
      <c r="Q38" s="2">
        <f>INDEX('Script List'!$R$2:$R$161,MATCH(P38,'Script List'!$A$2:$A$161,0))</f>
        <v>1</v>
      </c>
      <c r="R38" s="8">
        <f>INDEX('Script List'!$X$2:$X$161,MATCH(P38,'Script List'!$A$2:$A$161,0))</f>
        <v>332.0</v>
      </c>
    </row>
    <row r="39" spans="1:23">
      <c r="P39" s="2" t="s">
        <v>34</v>
      </c>
      <c r="Q39" s="2">
        <f>INDEX('Script List'!$R$2:$R$161,MATCH(P39,'Script List'!$A$2:$A$161,0))</f>
        <v>2</v>
      </c>
      <c r="R39" s="8">
        <f>INDEX('Script List'!$X$2:$X$161,MATCH(P39,'Script List'!$A$2:$A$161,0))</f>
        <v>528.0</v>
      </c>
    </row>
    <row r="40" spans="1:23">
      <c r="P40" s="2" t="s">
        <v>35</v>
      </c>
      <c r="Q40" s="2">
        <f>INDEX('Script List'!$R$2:$R$161,MATCH(P40,'Script List'!$A$2:$A$161,0))</f>
        <v>5</v>
      </c>
      <c r="R40" s="8">
        <f>INDEX('Script List'!$X$2:$X$161,MATCH(P40,'Script List'!$A$2:$A$161,0))</f>
        <v>527.0</v>
      </c>
    </row>
    <row r="41" spans="1:23">
      <c r="P41" s="2" t="s">
        <v>36</v>
      </c>
      <c r="Q41" s="2">
        <f>INDEX('Script List'!$R$2:$R$161,MATCH(P41,'Script List'!$A$2:$A$161,0))</f>
        <v>1</v>
      </c>
      <c r="R41" s="8">
        <f>INDEX('Script List'!$X$2:$X$161,MATCH(P41,'Script List'!$A$2:$A$161,0))</f>
        <v>324.0</v>
      </c>
    </row>
    <row r="42" spans="1:23">
      <c r="P42" s="2" t="s">
        <v>37</v>
      </c>
      <c r="Q42" s="2">
        <f>INDEX('Script List'!$R$2:$R$161,MATCH(P42,'Script List'!$A$2:$A$161,0))</f>
        <v>2</v>
      </c>
      <c r="R42" s="8">
        <f>INDEX('Script List'!$X$2:$X$161,MATCH(P42,'Script List'!$A$2:$A$161,0))</f>
        <v>563.0</v>
      </c>
    </row>
    <row r="43" spans="1:23">
      <c r="P43" s="2" t="s">
        <v>38</v>
      </c>
      <c r="Q43" s="2">
        <f>INDEX('Script List'!$R$2:$R$161,MATCH(P43,'Script List'!$A$2:$A$161,0))</f>
        <v>7</v>
      </c>
      <c r="R43" s="8">
        <f>INDEX('Script List'!$X$2:$X$161,MATCH(P43,'Script List'!$A$2:$A$161,0))</f>
        <v>560.0</v>
      </c>
    </row>
    <row r="44" spans="1:23">
      <c r="A44" s="2" t="s">
        <v>39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P44" s="2" t="s">
        <v>40</v>
      </c>
      <c r="Q44" s="2">
        <f>INDEX('Script List'!$R$2:$R$161,MATCH(P44,'Script List'!$A$2:$A$161,0))</f>
        <v>1</v>
      </c>
      <c r="R44" s="8">
        <f>INDEX('Script List'!$X$2:$X$161,MATCH(P44,'Script List'!$A$2:$A$161,0))</f>
        <v>648.0</v>
      </c>
    </row>
    <row r="45" spans="1:23">
      <c r="A45" s="2" t="s">
        <v>41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P45" s="2" t="s">
        <v>42</v>
      </c>
      <c r="Q45" s="2">
        <f>INDEX('Script List'!$R$2:$R$161,MATCH(P45,'Script List'!$A$2:$A$161,0))</f>
        <v>3</v>
      </c>
      <c r="R45" s="8">
        <f>INDEX('Script List'!$X$2:$X$161,MATCH(P45,'Script List'!$A$2:$A$161,0))</f>
        <v>482.0</v>
      </c>
    </row>
    <row r="46" spans="1:23">
      <c r="A46" s="2" t="s">
        <v>43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P46" s="2" t="s">
        <v>44</v>
      </c>
      <c r="Q46" s="2">
        <f>INDEX('Script List'!$R$2:$R$161,MATCH(P46,'Script List'!$A$2:$A$161,0))</f>
        <v>10</v>
      </c>
      <c r="R46" s="8">
        <f>INDEX('Script List'!$X$2:$X$161,MATCH(P46,'Script List'!$A$2:$A$161,0))</f>
        <v>332.0</v>
      </c>
    </row>
    <row r="47" spans="1:23">
      <c r="A47" s="2" t="s">
        <v>45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P47" s="2" t="s">
        <v>46</v>
      </c>
      <c r="Q47" s="2">
        <f>INDEX('Script List'!$R$2:$R$161,MATCH(P47,'Script List'!$A$2:$A$161,0))</f>
        <v>1</v>
      </c>
      <c r="R47" s="8">
        <f>INDEX('Script List'!$X$2:$X$161,MATCH(P47,'Script List'!$A$2:$A$161,0))</f>
        <v>609.0</v>
      </c>
    </row>
    <row r="48" spans="1:23">
      <c r="P48" s="2" t="s">
        <v>47</v>
      </c>
      <c r="Q48" s="2">
        <f>INDEX('Script List'!$R$2:$R$161,MATCH(P48,'Script List'!$A$2:$A$161,0))</f>
        <v>3</v>
      </c>
      <c r="R48" s="8">
        <f>INDEX('Script List'!$X$2:$X$161,MATCH(P48,'Script List'!$A$2:$A$161,0))</f>
        <v>564.0</v>
      </c>
    </row>
    <row r="49" spans="1:18">
      <c r="A49" s="2" t="s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P49" s="2" t="s">
        <v>49</v>
      </c>
      <c r="Q49" s="2">
        <f>INDEX('Script List'!$R$2:$R$161,MATCH(P49,'Script List'!$A$2:$A$161,0))</f>
        <v>1</v>
      </c>
      <c r="R49" s="8">
        <f>INDEX('Script List'!$X$2:$X$161,MATCH(P49,'Script List'!$A$2:$A$161,0))</f>
        <v>332.0</v>
      </c>
    </row>
    <row r="50" spans="1:18">
      <c r="P50" s="2" t="s">
        <v>50</v>
      </c>
      <c r="Q50" s="2">
        <f>INDEX('Script List'!$R$2:$R$161,MATCH(P50,'Script List'!$A$2:$A$161,0))</f>
        <v>3</v>
      </c>
      <c r="R50" s="8">
        <f>INDEX('Script List'!$X$2:$X$161,MATCH(P50,'Script List'!$A$2:$A$161,0))</f>
        <v>438.0</v>
      </c>
    </row>
    <row r="51" spans="1:18">
      <c r="P51" s="2" t="s">
        <v>51</v>
      </c>
      <c r="Q51" s="2">
        <f>INDEX('Script List'!$R$2:$R$161,MATCH(P51,'Script List'!$A$2:$A$161,0))</f>
        <v>2</v>
      </c>
      <c r="R51" s="8">
        <f>INDEX('Script List'!$X$2:$X$161,MATCH(P51,'Script List'!$A$2:$A$161,0))</f>
        <v>383.0</v>
      </c>
    </row>
    <row r="52" spans="1:18">
      <c r="P52" s="2" t="s">
        <v>52</v>
      </c>
      <c r="Q52" s="2">
        <f>INDEX('Script List'!$R$2:$R$161,MATCH(P52,'Script List'!$A$2:$A$161,0))</f>
        <v>4</v>
      </c>
      <c r="R52" s="8">
        <f>INDEX('Script List'!$X$2:$X$161,MATCH(P52,'Script List'!$A$2:$A$161,0))</f>
        <v>474.0</v>
      </c>
    </row>
    <row r="53" spans="1:18">
      <c r="P53" s="2" t="s">
        <v>53</v>
      </c>
      <c r="Q53" s="2">
        <f>INDEX('Script List'!$R$2:$R$161,MATCH(P53,'Script List'!$A$2:$A$161,0))</f>
        <v>2</v>
      </c>
      <c r="R53" s="8">
        <f>INDEX('Script List'!$X$2:$X$161,MATCH(P53,'Script List'!$A$2:$A$161,0))</f>
        <v>527.0</v>
      </c>
    </row>
    <row r="54" spans="1:18">
      <c r="P54" s="2" t="s">
        <v>54</v>
      </c>
      <c r="Q54" s="2">
        <f>INDEX('Script List'!$R$2:$R$161,MATCH(P54,'Script List'!$A$2:$A$161,0))</f>
        <v>4</v>
      </c>
      <c r="R54" s="8">
        <f>INDEX('Script List'!$X$2:$X$161,MATCH(P54,'Script List'!$A$2:$A$161,0))</f>
        <v>490.0</v>
      </c>
    </row>
    <row r="55" spans="1:18">
      <c r="P55" s="2" t="s">
        <v>55</v>
      </c>
      <c r="Q55" s="2">
        <f>INDEX('Script List'!$R$2:$R$161,MATCH(P55,'Script List'!$A$2:$A$161,0))</f>
        <v>1</v>
      </c>
      <c r="R55" s="8">
        <f>INDEX('Script List'!$X$2:$X$161,MATCH(P55,'Script List'!$A$2:$A$161,0))</f>
        <v>332.0</v>
      </c>
    </row>
    <row r="56" spans="1:18">
      <c r="P56" s="2" t="s">
        <v>56</v>
      </c>
      <c r="Q56" s="2">
        <f>INDEX('Script List'!$R$2:$R$161,MATCH(P56,'Script List'!$A$2:$A$161,0))</f>
        <v>2</v>
      </c>
      <c r="R56" s="8">
        <f>INDEX('Script List'!$X$2:$X$161,MATCH(P56,'Script List'!$A$2:$A$161,0))</f>
        <v>528.0</v>
      </c>
    </row>
    <row r="57" spans="1:18">
      <c r="P57" s="2" t="s">
        <v>57</v>
      </c>
      <c r="Q57" s="2">
        <f>INDEX('Script List'!$R$2:$R$161,MATCH(P57,'Script List'!$A$2:$A$161,0))</f>
        <v>5</v>
      </c>
      <c r="R57" s="8">
        <f>INDEX('Script List'!$X$2:$X$161,MATCH(P57,'Script List'!$A$2:$A$161,0))</f>
        <v>527.0</v>
      </c>
    </row>
    <row r="58" spans="1:18">
      <c r="P58" s="2" t="s">
        <v>58</v>
      </c>
      <c r="Q58" s="2">
        <f>INDEX('Script List'!$R$2:$R$161,MATCH(P58,'Script List'!$A$2:$A$161,0))</f>
        <v>1</v>
      </c>
      <c r="R58" s="8">
        <f>INDEX('Script List'!$X$2:$X$161,MATCH(P58,'Script List'!$A$2:$A$161,0))</f>
        <v>324.0</v>
      </c>
    </row>
    <row r="59" spans="1:18">
      <c r="P59" s="2" t="s">
        <v>59</v>
      </c>
      <c r="Q59" s="2">
        <f>INDEX('Script List'!$R$2:$R$161,MATCH(P59,'Script List'!$A$2:$A$161,0))</f>
        <v>2</v>
      </c>
      <c r="R59" s="8">
        <f>INDEX('Script List'!$X$2:$X$161,MATCH(P59,'Script List'!$A$2:$A$161,0))</f>
        <v>563.0</v>
      </c>
    </row>
    <row r="60" spans="1:18">
      <c r="P60" s="2" t="s">
        <v>60</v>
      </c>
      <c r="Q60" s="2">
        <f>INDEX('Script List'!$R$2:$R$161,MATCH(P60,'Script List'!$A$2:$A$161,0))</f>
        <v>7</v>
      </c>
      <c r="R60" s="8">
        <f>INDEX('Script List'!$X$2:$X$161,MATCH(P60,'Script List'!$A$2:$A$161,0))</f>
        <v>560.0</v>
      </c>
    </row>
    <row r="61" spans="1:18">
      <c r="P61" s="2" t="s">
        <v>61</v>
      </c>
      <c r="Q61" s="2">
        <f>INDEX('Script List'!$R$2:$R$161,MATCH(P61,'Script List'!$A$2:$A$161,0))</f>
        <v>1</v>
      </c>
      <c r="R61" s="8">
        <f>INDEX('Script List'!$X$2:$X$161,MATCH(P61,'Script List'!$A$2:$A$161,0))</f>
        <v>648.0</v>
      </c>
    </row>
    <row r="62" spans="1:18">
      <c r="P62" s="2" t="s">
        <v>62</v>
      </c>
      <c r="Q62" s="2">
        <f>INDEX('Script List'!$R$2:$R$161,MATCH(P62,'Script List'!$A$2:$A$161,0))</f>
        <v>3</v>
      </c>
      <c r="R62" s="8">
        <f>INDEX('Script List'!$X$2:$X$161,MATCH(P62,'Script List'!$A$2:$A$161,0))</f>
        <v>482.0</v>
      </c>
    </row>
    <row r="63" spans="1:18">
      <c r="P63" s="2" t="s">
        <v>63</v>
      </c>
      <c r="Q63" s="2">
        <f>INDEX('Script List'!$R$2:$R$161,MATCH(P63,'Script List'!$A$2:$A$161,0))</f>
        <v>10</v>
      </c>
      <c r="R63" s="8">
        <f>INDEX('Script List'!$X$2:$X$161,MATCH(P63,'Script List'!$A$2:$A$161,0))</f>
        <v>332.0</v>
      </c>
    </row>
    <row r="64" spans="1:18">
      <c r="P64" s="2" t="s">
        <v>64</v>
      </c>
      <c r="Q64" s="2">
        <f>INDEX('Script List'!$R$2:$R$161,MATCH(P64,'Script List'!$A$2:$A$161,0))</f>
        <v>1</v>
      </c>
      <c r="R64" s="8">
        <f>INDEX('Script List'!$X$2:$X$161,MATCH(P64,'Script List'!$A$2:$A$161,0))</f>
        <v>609.0</v>
      </c>
    </row>
    <row r="65" spans="16:18">
      <c r="P65" s="2" t="s">
        <v>65</v>
      </c>
      <c r="Q65" s="2">
        <f>INDEX('Script List'!$R$2:$R$161,MATCH(P65,'Script List'!$A$2:$A$161,0))</f>
        <v>3</v>
      </c>
      <c r="R65" s="8">
        <f>INDEX('Script List'!$X$2:$X$161,MATCH(P65,'Script List'!$A$2:$A$161,0))</f>
        <v>564.0</v>
      </c>
    </row>
    <row r="66" spans="16:18">
      <c r="P66" s="2" t="s">
        <v>66</v>
      </c>
      <c r="Q66" s="2">
        <f>INDEX('Script List'!$R$2:$R$161,MATCH(P66,'Script List'!$A$2:$A$161,0))</f>
        <v>1</v>
      </c>
      <c r="R66" s="8">
        <f>INDEX('Script List'!$X$2:$X$161,MATCH(P66,'Script List'!$A$2:$A$161,0))</f>
        <v>332.0</v>
      </c>
    </row>
    <row r="67" spans="16:18">
      <c r="P67" s="2" t="s">
        <v>67</v>
      </c>
      <c r="Q67" s="2">
        <f>INDEX('Script List'!$R$2:$R$161,MATCH(P67,'Script List'!$A$2:$A$161,0))</f>
        <v>3</v>
      </c>
      <c r="R67" s="8">
        <f>INDEX('Script List'!$X$2:$X$161,MATCH(P67,'Script List'!$A$2:$A$161,0))</f>
        <v>438.0</v>
      </c>
    </row>
    <row r="68" spans="16:18">
      <c r="P68" s="2" t="s">
        <v>68</v>
      </c>
      <c r="Q68" s="2">
        <f>INDEX('Script List'!$R$2:$R$161,MATCH(P68,'Script List'!$A$2:$A$161,0))</f>
        <v>2</v>
      </c>
      <c r="R68" s="8">
        <f>INDEX('Script List'!$X$2:$X$161,MATCH(P68,'Script List'!$A$2:$A$161,0))</f>
        <v>383.0</v>
      </c>
    </row>
    <row r="69" spans="16:18">
      <c r="P69" s="2" t="s">
        <v>69</v>
      </c>
      <c r="Q69" s="2">
        <f>INDEX('Script List'!$R$2:$R$161,MATCH(P69,'Script List'!$A$2:$A$161,0))</f>
        <v>4</v>
      </c>
      <c r="R69" s="8">
        <f>INDEX('Script List'!$X$2:$X$161,MATCH(P69,'Script List'!$A$2:$A$161,0))</f>
        <v>474.0</v>
      </c>
    </row>
    <row r="70" spans="16:18">
      <c r="P70" s="2" t="s">
        <v>70</v>
      </c>
      <c r="Q70" s="2">
        <f>INDEX('Script List'!$R$2:$R$161,MATCH(P70,'Script List'!$A$2:$A$161,0))</f>
        <v>2</v>
      </c>
      <c r="R70" s="8">
        <f>INDEX('Script List'!$X$2:$X$161,MATCH(P70,'Script List'!$A$2:$A$161,0))</f>
        <v>527.0</v>
      </c>
    </row>
    <row r="71" spans="16:18">
      <c r="P71" s="2" t="s">
        <v>71</v>
      </c>
      <c r="Q71" s="2">
        <f>INDEX('Script List'!$R$2:$R$161,MATCH(P71,'Script List'!$A$2:$A$161,0))</f>
        <v>4</v>
      </c>
      <c r="R71" s="8">
        <f>INDEX('Script List'!$X$2:$X$161,MATCH(P71,'Script List'!$A$2:$A$161,0))</f>
        <v>490.0</v>
      </c>
    </row>
    <row r="72" spans="16:18">
      <c r="P72" s="2" t="s">
        <v>72</v>
      </c>
      <c r="Q72" s="2">
        <f>INDEX('Script List'!$R$2:$R$161,MATCH(P72,'Script List'!$A$2:$A$161,0))</f>
        <v>1</v>
      </c>
      <c r="R72" s="8">
        <f>INDEX('Script List'!$X$2:$X$161,MATCH(P72,'Script List'!$A$2:$A$161,0))</f>
        <v>332.0</v>
      </c>
    </row>
    <row r="73" spans="16:18">
      <c r="P73" s="2" t="s">
        <v>73</v>
      </c>
      <c r="Q73" s="2">
        <f>INDEX('Script List'!$R$2:$R$161,MATCH(P73,'Script List'!$A$2:$A$161,0))</f>
        <v>2</v>
      </c>
      <c r="R73" s="8">
        <f>INDEX('Script List'!$X$2:$X$161,MATCH(P73,'Script List'!$A$2:$A$161,0))</f>
        <v>528.0</v>
      </c>
    </row>
    <row r="74" spans="16:18">
      <c r="P74" s="2" t="s">
        <v>74</v>
      </c>
      <c r="Q74" s="2">
        <f>INDEX('Script List'!$R$2:$R$161,MATCH(P74,'Script List'!$A$2:$A$161,0))</f>
        <v>5</v>
      </c>
      <c r="R74" s="8">
        <f>INDEX('Script List'!$X$2:$X$161,MATCH(P74,'Script List'!$A$2:$A$161,0))</f>
        <v>527.0</v>
      </c>
    </row>
    <row r="75" spans="16:18">
      <c r="P75" s="2" t="s">
        <v>75</v>
      </c>
      <c r="Q75" s="2">
        <f>INDEX('Script List'!$R$2:$R$161,MATCH(P75,'Script List'!$A$2:$A$161,0))</f>
        <v>1</v>
      </c>
      <c r="R75" s="8">
        <f>INDEX('Script List'!$X$2:$X$161,MATCH(P75,'Script List'!$A$2:$A$161,0))</f>
        <v>324.0</v>
      </c>
    </row>
    <row r="76" spans="16:18">
      <c r="P76" s="2" t="s">
        <v>76</v>
      </c>
      <c r="Q76" s="2">
        <f>INDEX('Script List'!$R$2:$R$161,MATCH(P76,'Script List'!$A$2:$A$161,0))</f>
        <v>2</v>
      </c>
      <c r="R76" s="8">
        <f>INDEX('Script List'!$X$2:$X$161,MATCH(P76,'Script List'!$A$2:$A$161,0))</f>
        <v>563.0</v>
      </c>
    </row>
    <row r="77" spans="16:18">
      <c r="P77" s="2" t="s">
        <v>77</v>
      </c>
      <c r="Q77" s="2">
        <f>INDEX('Script List'!$R$2:$R$161,MATCH(P77,'Script List'!$A$2:$A$161,0))</f>
        <v>7</v>
      </c>
      <c r="R77" s="8">
        <f>INDEX('Script List'!$X$2:$X$161,MATCH(P77,'Script List'!$A$2:$A$161,0))</f>
        <v>560.0</v>
      </c>
    </row>
    <row r="78" spans="16:18">
      <c r="P78" s="2" t="s">
        <v>78</v>
      </c>
      <c r="Q78" s="2">
        <f>INDEX('Script List'!$R$2:$R$161,MATCH(P78,'Script List'!$A$2:$A$161,0))</f>
        <v>1</v>
      </c>
      <c r="R78" s="8">
        <f>INDEX('Script List'!$X$2:$X$161,MATCH(P78,'Script List'!$A$2:$A$161,0))</f>
        <v>648.0</v>
      </c>
    </row>
    <row r="79" spans="16:18">
      <c r="P79" s="2" t="s">
        <v>79</v>
      </c>
      <c r="Q79" s="2">
        <f>INDEX('Script List'!$R$2:$R$161,MATCH(P79,'Script List'!$A$2:$A$161,0))</f>
        <v>3</v>
      </c>
      <c r="R79" s="8">
        <f>INDEX('Script List'!$X$2:$X$161,MATCH(P79,'Script List'!$A$2:$A$161,0))</f>
        <v>482.0</v>
      </c>
    </row>
    <row r="80" spans="16:18">
      <c r="P80" s="2" t="s">
        <v>80</v>
      </c>
      <c r="Q80" s="2">
        <f>INDEX('Script List'!$R$2:$R$161,MATCH(P80,'Script List'!$A$2:$A$161,0))</f>
        <v>10</v>
      </c>
      <c r="R80" s="8">
        <f>INDEX('Script List'!$X$2:$X$161,MATCH(P80,'Script List'!$A$2:$A$161,0))</f>
        <v>332.0</v>
      </c>
    </row>
    <row r="81" spans="16:18">
      <c r="P81" s="2" t="s">
        <v>81</v>
      </c>
      <c r="Q81" s="2">
        <f>INDEX('Script List'!$R$2:$R$161,MATCH(P81,'Script List'!$A$2:$A$161,0))</f>
        <v>1</v>
      </c>
      <c r="R81" s="8">
        <f>INDEX('Script List'!$X$2:$X$161,MATCH(P81,'Script List'!$A$2:$A$161,0))</f>
        <v>609.0</v>
      </c>
    </row>
    <row r="82" spans="16:18">
      <c r="P82" s="2" t="s">
        <v>82</v>
      </c>
      <c r="Q82" s="2">
        <f>INDEX('Script List'!$R$2:$R$161,MATCH(P82,'Script List'!$A$2:$A$161,0))</f>
        <v>3</v>
      </c>
      <c r="R82" s="8">
        <f>INDEX('Script List'!$X$2:$X$161,MATCH(P82,'Script List'!$A$2:$A$161,0))</f>
        <v>564.0</v>
      </c>
    </row>
    <row r="83" spans="16:18">
      <c r="P83" s="2" t="s">
        <v>83</v>
      </c>
      <c r="Q83" s="2">
        <f>INDEX('Script List'!$R$2:$R$161,MATCH(P83,'Script List'!$A$2:$A$161,0))</f>
        <v>1</v>
      </c>
      <c r="R83" s="8">
        <f>INDEX('Script List'!$X$2:$X$161,MATCH(P83,'Script List'!$A$2:$A$161,0))</f>
        <v>332.0</v>
      </c>
    </row>
    <row r="84" spans="16:18">
      <c r="P84" s="2" t="s">
        <v>84</v>
      </c>
      <c r="Q84" s="2">
        <f>INDEX('Script List'!$R$2:$R$161,MATCH(P84,'Script List'!$A$2:$A$161,0))</f>
        <v>3</v>
      </c>
      <c r="R84" s="8">
        <f>INDEX('Script List'!$X$2:$X$161,MATCH(P84,'Script List'!$A$2:$A$161,0))</f>
        <v>438.0</v>
      </c>
    </row>
    <row r="85" spans="16:18">
      <c r="P85" s="2" t="s">
        <v>85</v>
      </c>
      <c r="Q85" s="2">
        <f>INDEX('Script List'!$R$2:$R$161,MATCH(P85,'Script List'!$A$2:$A$161,0))</f>
        <v>2</v>
      </c>
      <c r="R85" s="8">
        <f>INDEX('Script List'!$X$2:$X$161,MATCH(P85,'Script List'!$A$2:$A$161,0))</f>
        <v>383.0</v>
      </c>
    </row>
    <row r="86" spans="16:18">
      <c r="P86" s="2" t="s">
        <v>86</v>
      </c>
      <c r="Q86" s="2">
        <f>INDEX('Script List'!$R$2:$R$161,MATCH(P86,'Script List'!$A$2:$A$161,0))</f>
        <v>4</v>
      </c>
      <c r="R86" s="8">
        <f>INDEX('Script List'!$X$2:$X$161,MATCH(P86,'Script List'!$A$2:$A$161,0))</f>
        <v>474.0</v>
      </c>
    </row>
    <row r="87" spans="16:18">
      <c r="P87" s="2" t="s">
        <v>87</v>
      </c>
      <c r="Q87" s="2">
        <f>INDEX('Script List'!$R$2:$R$161,MATCH(P87,'Script List'!$A$2:$A$161,0))</f>
        <v>2</v>
      </c>
      <c r="R87" s="8">
        <f>INDEX('Script List'!$X$2:$X$161,MATCH(P87,'Script List'!$A$2:$A$161,0))</f>
        <v>527.0</v>
      </c>
    </row>
    <row r="88" spans="16:18">
      <c r="P88" s="2" t="s">
        <v>88</v>
      </c>
      <c r="Q88" s="2">
        <f>INDEX('Script List'!$R$2:$R$161,MATCH(P88,'Script List'!$A$2:$A$161,0))</f>
        <v>4</v>
      </c>
      <c r="R88" s="8">
        <f>INDEX('Script List'!$X$2:$X$161,MATCH(P88,'Script List'!$A$2:$A$161,0))</f>
        <v>490.0</v>
      </c>
    </row>
    <row r="89" spans="16:18">
      <c r="P89" s="2" t="s">
        <v>89</v>
      </c>
      <c r="Q89" s="2">
        <f>INDEX('Script List'!$R$2:$R$161,MATCH(P89,'Script List'!$A$2:$A$161,0))</f>
        <v>1</v>
      </c>
      <c r="R89" s="8">
        <f>INDEX('Script List'!$X$2:$X$161,MATCH(P89,'Script List'!$A$2:$A$161,0))</f>
        <v>332.0</v>
      </c>
    </row>
    <row r="90" spans="16:18">
      <c r="P90" s="2" t="s">
        <v>90</v>
      </c>
      <c r="Q90" s="2">
        <f>INDEX('Script List'!$R$2:$R$161,MATCH(P90,'Script List'!$A$2:$A$161,0))</f>
        <v>2</v>
      </c>
      <c r="R90" s="8">
        <f>INDEX('Script List'!$X$2:$X$161,MATCH(P90,'Script List'!$A$2:$A$161,0))</f>
        <v>528.0</v>
      </c>
    </row>
    <row r="91" spans="16:18">
      <c r="P91" s="2" t="s">
        <v>91</v>
      </c>
      <c r="Q91" s="2">
        <f>INDEX('Script List'!$R$2:$R$161,MATCH(P91,'Script List'!$A$2:$A$161,0))</f>
        <v>5</v>
      </c>
      <c r="R91" s="8">
        <f>INDEX('Script List'!$X$2:$X$161,MATCH(P91,'Script List'!$A$2:$A$161,0))</f>
        <v>527.0</v>
      </c>
    </row>
    <row r="92" spans="16:18">
      <c r="P92" s="2" t="s">
        <v>92</v>
      </c>
      <c r="Q92" s="2">
        <f>INDEX('Script List'!$R$2:$R$161,MATCH(P92,'Script List'!$A$2:$A$161,0))</f>
        <v>1</v>
      </c>
      <c r="R92" s="8">
        <f>INDEX('Script List'!$X$2:$X$161,MATCH(P92,'Script List'!$A$2:$A$161,0))</f>
        <v>324.0</v>
      </c>
    </row>
    <row r="93" spans="16:18">
      <c r="P93" s="2" t="s">
        <v>93</v>
      </c>
      <c r="Q93" s="2">
        <f>INDEX('Script List'!$R$2:$R$161,MATCH(P93,'Script List'!$A$2:$A$161,0))</f>
        <v>2</v>
      </c>
      <c r="R93" s="8">
        <f>INDEX('Script List'!$X$2:$X$161,MATCH(P93,'Script List'!$A$2:$A$161,0))</f>
        <v>563.0</v>
      </c>
    </row>
    <row r="94" spans="16:18">
      <c r="P94" s="2" t="s">
        <v>94</v>
      </c>
      <c r="Q94" s="2">
        <f>INDEX('Script List'!$R$2:$R$161,MATCH(P94,'Script List'!$A$2:$A$161,0))</f>
        <v>7</v>
      </c>
      <c r="R94" s="8">
        <f>INDEX('Script List'!$X$2:$X$161,MATCH(P94,'Script List'!$A$2:$A$161,0))</f>
        <v>560.0</v>
      </c>
    </row>
    <row r="95" spans="16:18">
      <c r="P95" s="2" t="s">
        <v>95</v>
      </c>
      <c r="Q95" s="2">
        <f>INDEX('Script List'!$R$2:$R$161,MATCH(P95,'Script List'!$A$2:$A$161,0))</f>
        <v>1</v>
      </c>
      <c r="R95" s="8">
        <f>INDEX('Script List'!$X$2:$X$161,MATCH(P95,'Script List'!$A$2:$A$161,0))</f>
        <v>648.0</v>
      </c>
    </row>
    <row r="96" spans="16:18">
      <c r="P96" s="2" t="s">
        <v>96</v>
      </c>
      <c r="Q96" s="2">
        <f>INDEX('Script List'!$R$2:$R$161,MATCH(P96,'Script List'!$A$2:$A$161,0))</f>
        <v>3</v>
      </c>
      <c r="R96" s="8">
        <f>INDEX('Script List'!$X$2:$X$161,MATCH(P96,'Script List'!$A$2:$A$161,0))</f>
        <v>482.0</v>
      </c>
    </row>
    <row r="97" spans="16:18">
      <c r="P97" s="2" t="s">
        <v>97</v>
      </c>
      <c r="Q97" s="2">
        <f>INDEX('Script List'!$R$2:$R$161,MATCH(P97,'Script List'!$A$2:$A$161,0))</f>
        <v>10</v>
      </c>
      <c r="R97" s="8">
        <f>INDEX('Script List'!$X$2:$X$161,MATCH(P97,'Script List'!$A$2:$A$161,0))</f>
        <v>332.0</v>
      </c>
    </row>
    <row r="98" spans="16:18">
      <c r="P98" s="2" t="s">
        <v>98</v>
      </c>
      <c r="Q98" s="2">
        <f>INDEX('Script List'!$R$2:$R$161,MATCH(P98,'Script List'!$A$2:$A$161,0))</f>
        <v>1</v>
      </c>
      <c r="R98" s="8">
        <f>INDEX('Script List'!$X$2:$X$161,MATCH(P98,'Script List'!$A$2:$A$161,0))</f>
        <v>609.0</v>
      </c>
    </row>
    <row r="99" spans="16:18">
      <c r="P99" s="2" t="s">
        <v>99</v>
      </c>
      <c r="Q99" s="2">
        <f>INDEX('Script List'!$R$2:$R$161,MATCH(P99,'Script List'!$A$2:$A$161,0))</f>
        <v>3</v>
      </c>
      <c r="R99" s="8">
        <f>INDEX('Script List'!$X$2:$X$161,MATCH(P99,'Script List'!$A$2:$A$161,0))</f>
        <v>564.0</v>
      </c>
    </row>
    <row r="100" spans="16:18">
      <c r="P100" s="2" t="s">
        <v>100</v>
      </c>
      <c r="Q100" s="2">
        <f>INDEX('Script List'!$R$2:$R$161,MATCH(P100,'Script List'!$A$2:$A$161,0))</f>
        <v>1</v>
      </c>
      <c r="R100" s="8">
        <f>INDEX('Script List'!$X$2:$X$161,MATCH(P100,'Script List'!$A$2:$A$161,0))</f>
        <v>332.0</v>
      </c>
    </row>
    <row r="101" spans="16:18">
      <c r="P101" s="2" t="s">
        <v>101</v>
      </c>
      <c r="Q101" s="2">
        <f>INDEX('Script List'!$R$2:$R$161,MATCH(P101,'Script List'!$A$2:$A$161,0))</f>
        <v>3</v>
      </c>
      <c r="R101" s="8">
        <f>INDEX('Script List'!$X$2:$X$161,MATCH(P101,'Script List'!$A$2:$A$161,0))</f>
        <v>438.0</v>
      </c>
    </row>
    <row r="102" spans="16:18">
      <c r="P102" s="2" t="s">
        <v>102</v>
      </c>
      <c r="Q102" s="2">
        <f>INDEX('Script List'!$R$2:$R$161,MATCH(P102,'Script List'!$A$2:$A$161,0))</f>
        <v>2</v>
      </c>
      <c r="R102" s="8">
        <f>INDEX('Script List'!$X$2:$X$161,MATCH(P102,'Script List'!$A$2:$A$161,0))</f>
        <v>383.0</v>
      </c>
    </row>
    <row r="103" spans="16:18">
      <c r="P103" s="2" t="s">
        <v>103</v>
      </c>
      <c r="Q103" s="2">
        <f>INDEX('Script List'!$R$2:$R$161,MATCH(P103,'Script List'!$A$2:$A$161,0))</f>
        <v>4</v>
      </c>
      <c r="R103" s="8">
        <f>INDEX('Script List'!$X$2:$X$161,MATCH(P103,'Script List'!$A$2:$A$161,0))</f>
        <v>474.0</v>
      </c>
    </row>
    <row r="104" spans="16:18">
      <c r="P104" s="2" t="s">
        <v>104</v>
      </c>
      <c r="Q104" s="2">
        <f>INDEX('Script List'!$R$2:$R$161,MATCH(P104,'Script List'!$A$2:$A$161,0))</f>
        <v>2</v>
      </c>
      <c r="R104" s="8">
        <f>INDEX('Script List'!$X$2:$X$161,MATCH(P104,'Script List'!$A$2:$A$161,0))</f>
        <v>527.0</v>
      </c>
    </row>
    <row r="105" spans="16:18">
      <c r="P105" s="2" t="s">
        <v>105</v>
      </c>
      <c r="Q105" s="2">
        <f>INDEX('Script List'!$R$2:$R$161,MATCH(P105,'Script List'!$A$2:$A$161,0))</f>
        <v>4</v>
      </c>
      <c r="R105" s="8">
        <f>INDEX('Script List'!$X$2:$X$161,MATCH(P105,'Script List'!$A$2:$A$161,0))</f>
        <v>490.0</v>
      </c>
    </row>
    <row r="106" spans="16:18">
      <c r="P106" s="2" t="s">
        <v>106</v>
      </c>
      <c r="Q106" s="2">
        <f>INDEX('Script List'!$R$2:$R$161,MATCH(P106,'Script List'!$A$2:$A$161,0))</f>
        <v>1</v>
      </c>
      <c r="R106" s="8">
        <f>INDEX('Script List'!$X$2:$X$161,MATCH(P106,'Script List'!$A$2:$A$161,0))</f>
        <v>332.0</v>
      </c>
    </row>
    <row r="107" spans="16:18">
      <c r="P107" s="2" t="s">
        <v>107</v>
      </c>
      <c r="Q107" s="2">
        <f>INDEX('Script List'!$R$2:$R$161,MATCH(P107,'Script List'!$A$2:$A$161,0))</f>
        <v>2</v>
      </c>
      <c r="R107" s="8">
        <f>INDEX('Script List'!$X$2:$X$161,MATCH(P107,'Script List'!$A$2:$A$161,0))</f>
        <v>528.0</v>
      </c>
    </row>
    <row r="108" spans="16:18">
      <c r="P108" s="2" t="s">
        <v>108</v>
      </c>
      <c r="Q108" s="2">
        <f>INDEX('Script List'!$R$2:$R$161,MATCH(P108,'Script List'!$A$2:$A$161,0))</f>
        <v>5</v>
      </c>
      <c r="R108" s="8">
        <f>INDEX('Script List'!$X$2:$X$161,MATCH(P108,'Script List'!$A$2:$A$161,0))</f>
        <v>527.0</v>
      </c>
    </row>
    <row r="109" spans="16:18">
      <c r="P109" s="2" t="s">
        <v>109</v>
      </c>
      <c r="Q109" s="2">
        <f>INDEX('Script List'!$R$2:$R$161,MATCH(P109,'Script List'!$A$2:$A$161,0))</f>
        <v>1</v>
      </c>
      <c r="R109" s="8">
        <f>INDEX('Script List'!$X$2:$X$161,MATCH(P109,'Script List'!$A$2:$A$161,0))</f>
        <v>324.0</v>
      </c>
    </row>
    <row r="110" spans="16:18">
      <c r="P110" s="2" t="s">
        <v>110</v>
      </c>
      <c r="Q110" s="2">
        <f>INDEX('Script List'!$R$2:$R$161,MATCH(P110,'Script List'!$A$2:$A$161,0))</f>
        <v>2</v>
      </c>
      <c r="R110" s="8">
        <f>INDEX('Script List'!$X$2:$X$161,MATCH(P110,'Script List'!$A$2:$A$161,0))</f>
        <v>563.0</v>
      </c>
    </row>
    <row r="111" spans="16:18">
      <c r="P111" s="2" t="s">
        <v>111</v>
      </c>
      <c r="Q111" s="2">
        <f>INDEX('Script List'!$R$2:$R$161,MATCH(P111,'Script List'!$A$2:$A$161,0))</f>
        <v>7</v>
      </c>
      <c r="R111" s="8">
        <f>INDEX('Script List'!$X$2:$X$161,MATCH(P111,'Script List'!$A$2:$A$161,0))</f>
        <v>560.0</v>
      </c>
    </row>
    <row r="112" spans="16:18">
      <c r="P112" s="2" t="s">
        <v>112</v>
      </c>
      <c r="Q112" s="2">
        <f>INDEX('Script List'!$R$2:$R$161,MATCH(P112,'Script List'!$A$2:$A$161,0))</f>
        <v>1</v>
      </c>
      <c r="R112" s="8">
        <f>INDEX('Script List'!$X$2:$X$161,MATCH(P112,'Script List'!$A$2:$A$161,0))</f>
        <v>648.0</v>
      </c>
    </row>
    <row r="113" spans="16:18">
      <c r="P113" s="2" t="s">
        <v>113</v>
      </c>
      <c r="Q113" s="2">
        <f>INDEX('Script List'!$R$2:$R$161,MATCH(P113,'Script List'!$A$2:$A$161,0))</f>
        <v>3</v>
      </c>
      <c r="R113" s="8">
        <f>INDEX('Script List'!$X$2:$X$161,MATCH(P113,'Script List'!$A$2:$A$161,0))</f>
        <v>482.0</v>
      </c>
    </row>
    <row r="114" spans="16:18">
      <c r="P114" s="2" t="s">
        <v>114</v>
      </c>
      <c r="Q114" s="2">
        <f>INDEX('Script List'!$R$2:$R$161,MATCH(P114,'Script List'!$A$2:$A$161,0))</f>
        <v>10</v>
      </c>
      <c r="R114" s="8">
        <f>INDEX('Script List'!$X$2:$X$161,MATCH(P114,'Script List'!$A$2:$A$161,0))</f>
        <v>332.0</v>
      </c>
    </row>
    <row r="115" spans="16:18">
      <c r="P115" s="2" t="s">
        <v>115</v>
      </c>
      <c r="Q115" s="2">
        <f>INDEX('Script List'!$R$2:$R$161,MATCH(P115,'Script List'!$A$2:$A$161,0))</f>
        <v>1</v>
      </c>
      <c r="R115" s="8">
        <f>INDEX('Script List'!$X$2:$X$161,MATCH(P115,'Script List'!$A$2:$A$161,0))</f>
        <v>609.0</v>
      </c>
    </row>
    <row r="116" spans="16:18">
      <c r="P116" s="2" t="s">
        <v>116</v>
      </c>
      <c r="Q116" s="2">
        <f>INDEX('Script List'!$R$2:$R$161,MATCH(P116,'Script List'!$A$2:$A$161,0))</f>
        <v>3</v>
      </c>
      <c r="R116" s="8">
        <f>INDEX('Script List'!$X$2:$X$161,MATCH(P116,'Script List'!$A$2:$A$161,0))</f>
        <v>564.0</v>
      </c>
    </row>
    <row r="117" spans="16:18">
      <c r="P117" s="2" t="s">
        <v>117</v>
      </c>
      <c r="Q117" s="2">
        <f>INDEX('Script List'!$R$2:$R$161,MATCH(P117,'Script List'!$A$2:$A$161,0))</f>
        <v>1</v>
      </c>
      <c r="R117" s="8">
        <f>INDEX('Script List'!$X$2:$X$161,MATCH(P117,'Script List'!$A$2:$A$161,0))</f>
        <v>332.0</v>
      </c>
    </row>
    <row r="118" spans="16:18">
      <c r="P118" s="2" t="s">
        <v>118</v>
      </c>
      <c r="Q118" s="2">
        <f>INDEX('Script List'!$R$2:$R$161,MATCH(P118,'Script List'!$A$2:$A$161,0))</f>
        <v>3</v>
      </c>
      <c r="R118" s="8">
        <f>INDEX('Script List'!$X$2:$X$161,MATCH(P118,'Script List'!$A$2:$A$161,0))</f>
        <v>438.0</v>
      </c>
    </row>
    <row r="119" spans="16:18">
      <c r="P119" s="2" t="s">
        <v>119</v>
      </c>
      <c r="Q119" s="2">
        <f>INDEX('Script List'!$R$2:$R$161,MATCH(P119,'Script List'!$A$2:$A$161,0))</f>
        <v>2</v>
      </c>
      <c r="R119" s="8">
        <f>INDEX('Script List'!$X$2:$X$161,MATCH(P119,'Script List'!$A$2:$A$161,0))</f>
        <v>383.0</v>
      </c>
    </row>
    <row r="120" spans="16:18">
      <c r="P120" s="2" t="s">
        <v>120</v>
      </c>
      <c r="Q120" s="2">
        <f>INDEX('Script List'!$R$2:$R$161,MATCH(P120,'Script List'!$A$2:$A$161,0))</f>
        <v>4</v>
      </c>
      <c r="R120" s="8">
        <f>INDEX('Script List'!$X$2:$X$161,MATCH(P120,'Script List'!$A$2:$A$161,0))</f>
        <v>474.0</v>
      </c>
    </row>
    <row r="121" spans="16:18">
      <c r="P121" s="2" t="s">
        <v>121</v>
      </c>
      <c r="Q121" s="2">
        <f>INDEX('Script List'!$R$2:$R$161,MATCH(P121,'Script List'!$A$2:$A$161,0))</f>
        <v>2</v>
      </c>
      <c r="R121" s="8">
        <f>INDEX('Script List'!$X$2:$X$161,MATCH(P121,'Script List'!$A$2:$A$161,0))</f>
        <v>527.0</v>
      </c>
    </row>
    <row r="122" spans="16:18">
      <c r="P122" s="2" t="s">
        <v>122</v>
      </c>
      <c r="Q122" s="2">
        <f>INDEX('Script List'!$R$2:$R$161,MATCH(P122,'Script List'!$A$2:$A$161,0))</f>
        <v>4</v>
      </c>
      <c r="R122" s="8">
        <f>INDEX('Script List'!$X$2:$X$161,MATCH(P122,'Script List'!$A$2:$A$161,0))</f>
        <v>490.0</v>
      </c>
    </row>
    <row r="123" spans="16:18">
      <c r="P123" s="2" t="s">
        <v>123</v>
      </c>
      <c r="Q123" s="2">
        <f>INDEX('Script List'!$R$2:$R$161,MATCH(P123,'Script List'!$A$2:$A$161,0))</f>
        <v>1</v>
      </c>
      <c r="R123" s="8">
        <f>INDEX('Script List'!$X$2:$X$161,MATCH(P123,'Script List'!$A$2:$A$161,0))</f>
        <v>332.0</v>
      </c>
    </row>
    <row r="124" spans="16:18">
      <c r="P124" s="2" t="s">
        <v>124</v>
      </c>
      <c r="Q124" s="2">
        <f>INDEX('Script List'!$R$2:$R$161,MATCH(P124,'Script List'!$A$2:$A$161,0))</f>
        <v>2</v>
      </c>
      <c r="R124" s="8">
        <f>INDEX('Script List'!$X$2:$X$161,MATCH(P124,'Script List'!$A$2:$A$161,0))</f>
        <v>528.0</v>
      </c>
    </row>
    <row r="125" spans="16:18">
      <c r="P125" s="2" t="s">
        <v>125</v>
      </c>
      <c r="Q125" s="2">
        <f>INDEX('Script List'!$R$2:$R$161,MATCH(P125,'Script List'!$A$2:$A$161,0))</f>
        <v>5</v>
      </c>
      <c r="R125" s="8">
        <f>INDEX('Script List'!$X$2:$X$161,MATCH(P125,'Script List'!$A$2:$A$161,0))</f>
        <v>527.0</v>
      </c>
    </row>
    <row r="126" spans="16:18">
      <c r="P126" s="2" t="s">
        <v>126</v>
      </c>
      <c r="Q126" s="2">
        <f>INDEX('Script List'!$R$2:$R$161,MATCH(P126,'Script List'!$A$2:$A$161,0))</f>
        <v>1</v>
      </c>
      <c r="R126" s="8">
        <f>INDEX('Script List'!$X$2:$X$161,MATCH(P126,'Script List'!$A$2:$A$161,0))</f>
        <v>324.0</v>
      </c>
    </row>
    <row r="127" spans="16:18">
      <c r="P127" s="2" t="s">
        <v>127</v>
      </c>
      <c r="Q127" s="2">
        <f>INDEX('Script List'!$R$2:$R$161,MATCH(P127,'Script List'!$A$2:$A$161,0))</f>
        <v>2</v>
      </c>
      <c r="R127" s="8">
        <f>INDEX('Script List'!$X$2:$X$161,MATCH(P127,'Script List'!$A$2:$A$161,0))</f>
        <v>563.0</v>
      </c>
    </row>
    <row r="128" spans="16:18">
      <c r="P128" s="2" t="s">
        <v>128</v>
      </c>
      <c r="Q128" s="2">
        <f>INDEX('Script List'!$R$2:$R$161,MATCH(P128,'Script List'!$A$2:$A$161,0))</f>
        <v>7</v>
      </c>
      <c r="R128" s="8">
        <f>INDEX('Script List'!$X$2:$X$161,MATCH(P128,'Script List'!$A$2:$A$161,0))</f>
        <v>560.0</v>
      </c>
    </row>
    <row r="129" spans="16:18">
      <c r="P129" s="2" t="s">
        <v>129</v>
      </c>
      <c r="Q129" s="2">
        <f>INDEX('Script List'!$R$2:$R$161,MATCH(P129,'Script List'!$A$2:$A$161,0))</f>
        <v>1</v>
      </c>
      <c r="R129" s="8">
        <f>INDEX('Script List'!$X$2:$X$161,MATCH(P129,'Script List'!$A$2:$A$161,0))</f>
        <v>648.0</v>
      </c>
    </row>
    <row r="130" spans="16:18">
      <c r="P130" s="2" t="s">
        <v>130</v>
      </c>
      <c r="Q130" s="2">
        <f>INDEX('Script List'!$R$2:$R$161,MATCH(P130,'Script List'!$A$2:$A$161,0))</f>
        <v>3</v>
      </c>
      <c r="R130" s="8">
        <f>INDEX('Script List'!$X$2:$X$161,MATCH(P130,'Script List'!$A$2:$A$161,0))</f>
        <v>482.0</v>
      </c>
    </row>
    <row r="131" spans="16:18">
      <c r="P131" s="2" t="s">
        <v>131</v>
      </c>
      <c r="Q131" s="2">
        <f>INDEX('Script List'!$R$2:$R$161,MATCH(P131,'Script List'!$A$2:$A$161,0))</f>
        <v>10</v>
      </c>
      <c r="R131" s="8">
        <f>INDEX('Script List'!$X$2:$X$161,MATCH(P131,'Script List'!$A$2:$A$161,0))</f>
        <v>332.0</v>
      </c>
    </row>
    <row r="132" spans="16:18">
      <c r="P132" s="2" t="s">
        <v>132</v>
      </c>
      <c r="Q132" s="2">
        <f>INDEX('Script List'!$R$2:$R$161,MATCH(P132,'Script List'!$A$2:$A$161,0))</f>
        <v>1</v>
      </c>
      <c r="R132" s="8">
        <f>INDEX('Script List'!$X$2:$X$161,MATCH(P132,'Script List'!$A$2:$A$161,0))</f>
        <v>609.0</v>
      </c>
    </row>
    <row r="133" spans="16:18">
      <c r="P133" s="2" t="s">
        <v>133</v>
      </c>
      <c r="Q133" s="2">
        <f>INDEX('Script List'!$R$2:$R$161,MATCH(P133,'Script List'!$A$2:$A$161,0))</f>
        <v>3</v>
      </c>
      <c r="R133" s="8">
        <f>INDEX('Script List'!$X$2:$X$161,MATCH(P133,'Script List'!$A$2:$A$161,0))</f>
        <v>564.0</v>
      </c>
    </row>
    <row r="134" spans="16:18">
      <c r="P134" s="2" t="s">
        <v>134</v>
      </c>
      <c r="Q134" s="2">
        <f>INDEX('Script List'!$R$2:$R$161,MATCH(P134,'Script List'!$A$2:$A$161,0))</f>
        <v>1</v>
      </c>
      <c r="R134" s="8">
        <f>INDEX('Script List'!$X$2:$X$161,MATCH(P134,'Script List'!$A$2:$A$161,0))</f>
        <v>332.0</v>
      </c>
    </row>
    <row r="135" spans="16:18">
      <c r="P135" s="2" t="s">
        <v>135</v>
      </c>
      <c r="Q135" s="2">
        <f>INDEX('Script List'!$R$2:$R$161,MATCH(P135,'Script List'!$A$2:$A$161,0))</f>
        <v>3</v>
      </c>
      <c r="R135" s="8">
        <f>INDEX('Script List'!$X$2:$X$161,MATCH(P135,'Script List'!$A$2:$A$161,0))</f>
        <v>438.0</v>
      </c>
    </row>
    <row r="136" spans="16:18">
      <c r="P136" s="2" t="s">
        <v>136</v>
      </c>
      <c r="Q136" s="2">
        <f>INDEX('Script List'!$R$2:$R$161,MATCH(P136,'Script List'!$A$2:$A$161,0))</f>
        <v>2</v>
      </c>
      <c r="R136" s="8">
        <f>INDEX('Script List'!$X$2:$X$161,MATCH(P136,'Script List'!$A$2:$A$161,0))</f>
        <v>383.0</v>
      </c>
    </row>
    <row r="137" spans="16:18">
      <c r="P137" s="2" t="s">
        <v>137</v>
      </c>
      <c r="Q137" s="2">
        <f>INDEX('Script List'!$R$2:$R$161,MATCH(P137,'Script List'!$A$2:$A$161,0))</f>
        <v>4</v>
      </c>
      <c r="R137" s="8">
        <f>INDEX('Script List'!$X$2:$X$161,MATCH(P137,'Script List'!$A$2:$A$161,0))</f>
        <v>474.0</v>
      </c>
    </row>
    <row r="138" spans="16:18">
      <c r="P138" s="2" t="s">
        <v>138</v>
      </c>
      <c r="Q138" s="2">
        <f>INDEX('Script List'!$R$2:$R$161,MATCH(P138,'Script List'!$A$2:$A$161,0))</f>
        <v>2</v>
      </c>
      <c r="R138" s="8">
        <f>INDEX('Script List'!$X$2:$X$161,MATCH(P138,'Script List'!$A$2:$A$161,0))</f>
        <v>527.0</v>
      </c>
    </row>
    <row r="139" spans="16:18">
      <c r="P139" s="2" t="s">
        <v>139</v>
      </c>
      <c r="Q139" s="2">
        <f>INDEX('Script List'!$R$2:$R$161,MATCH(P139,'Script List'!$A$2:$A$161,0))</f>
        <v>4</v>
      </c>
      <c r="R139" s="8">
        <f>INDEX('Script List'!$X$2:$X$161,MATCH(P139,'Script List'!$A$2:$A$161,0))</f>
        <v>490.0</v>
      </c>
    </row>
    <row r="140" spans="16:18">
      <c r="P140" s="2" t="s">
        <v>140</v>
      </c>
      <c r="Q140" s="2">
        <f>INDEX('Script List'!$R$2:$R$161,MATCH(P140,'Script List'!$A$2:$A$161,0))</f>
        <v>1</v>
      </c>
      <c r="R140" s="8">
        <f>INDEX('Script List'!$X$2:$X$161,MATCH(P140,'Script List'!$A$2:$A$161,0))</f>
        <v>332.0</v>
      </c>
    </row>
    <row r="141" spans="16:18">
      <c r="P141" s="2" t="s">
        <v>141</v>
      </c>
      <c r="Q141" s="2">
        <f>INDEX('Script List'!$R$2:$R$161,MATCH(P141,'Script List'!$A$2:$A$161,0))</f>
        <v>2</v>
      </c>
      <c r="R141" s="8">
        <f>INDEX('Script List'!$X$2:$X$161,MATCH(P141,'Script List'!$A$2:$A$161,0))</f>
        <v>528.0</v>
      </c>
    </row>
    <row r="142" spans="16:18">
      <c r="P142" s="2" t="s">
        <v>142</v>
      </c>
      <c r="Q142" s="2">
        <f>INDEX('Script List'!$R$2:$R$161,MATCH(P142,'Script List'!$A$2:$A$161,0))</f>
        <v>5</v>
      </c>
      <c r="R142" s="8">
        <f>INDEX('Script List'!$X$2:$X$161,MATCH(P142,'Script List'!$A$2:$A$161,0))</f>
        <v>527.0</v>
      </c>
    </row>
    <row r="143" spans="16:18">
      <c r="P143" s="2" t="s">
        <v>143</v>
      </c>
      <c r="Q143" s="2">
        <f>INDEX('Script List'!$R$2:$R$161,MATCH(P143,'Script List'!$A$2:$A$161,0))</f>
        <v>1</v>
      </c>
      <c r="R143" s="8">
        <f>INDEX('Script List'!$X$2:$X$161,MATCH(P143,'Script List'!$A$2:$A$161,0))</f>
        <v>324.0</v>
      </c>
    </row>
    <row r="144" spans="16:18">
      <c r="P144" s="2" t="s">
        <v>144</v>
      </c>
      <c r="Q144" s="2">
        <f>INDEX('Script List'!$R$2:$R$161,MATCH(P144,'Script List'!$A$2:$A$161,0))</f>
        <v>2</v>
      </c>
      <c r="R144" s="8">
        <f>INDEX('Script List'!$X$2:$X$161,MATCH(P144,'Script List'!$A$2:$A$161,0))</f>
        <v>563.0</v>
      </c>
    </row>
    <row r="145" spans="16:18">
      <c r="P145" s="2" t="s">
        <v>145</v>
      </c>
      <c r="Q145" s="2">
        <f>INDEX('Script List'!$R$2:$R$161,MATCH(P145,'Script List'!$A$2:$A$161,0))</f>
        <v>7</v>
      </c>
      <c r="R145" s="8">
        <f>INDEX('Script List'!$X$2:$X$161,MATCH(P145,'Script List'!$A$2:$A$161,0))</f>
        <v>560.0</v>
      </c>
    </row>
    <row r="146" spans="16:18">
      <c r="P146" s="2" t="s">
        <v>146</v>
      </c>
      <c r="Q146" s="2">
        <f>INDEX('Script List'!$R$2:$R$161,MATCH(P146,'Script List'!$A$2:$A$161,0))</f>
        <v>1</v>
      </c>
      <c r="R146" s="8">
        <f>INDEX('Script List'!$X$2:$X$161,MATCH(P146,'Script List'!$A$2:$A$161,0))</f>
        <v>648.0</v>
      </c>
    </row>
    <row r="147" spans="16:18">
      <c r="P147" s="2" t="s">
        <v>147</v>
      </c>
      <c r="Q147" s="2">
        <f>INDEX('Script List'!$R$2:$R$161,MATCH(P147,'Script List'!$A$2:$A$161,0))</f>
        <v>3</v>
      </c>
      <c r="R147" s="8">
        <f>INDEX('Script List'!$X$2:$X$161,MATCH(P147,'Script List'!$A$2:$A$161,0))</f>
        <v>482.0</v>
      </c>
    </row>
    <row r="148" spans="16:18">
      <c r="P148" s="2" t="s">
        <v>148</v>
      </c>
      <c r="Q148" s="2">
        <f>INDEX('Script List'!$R$2:$R$161,MATCH(P148,'Script List'!$A$2:$A$161,0))</f>
        <v>10</v>
      </c>
      <c r="R148" s="8">
        <f>INDEX('Script List'!$X$2:$X$161,MATCH(P148,'Script List'!$A$2:$A$161,0))</f>
        <v>332.0</v>
      </c>
    </row>
    <row r="149" spans="16:18">
      <c r="P149" s="2" t="s">
        <v>149</v>
      </c>
      <c r="Q149" s="2">
        <f>INDEX('Script List'!$R$2:$R$161,MATCH(P149,'Script List'!$A$2:$A$161,0))</f>
        <v>1</v>
      </c>
      <c r="R149" s="8">
        <f>INDEX('Script List'!$X$2:$X$161,MATCH(P149,'Script List'!$A$2:$A$161,0))</f>
        <v>609.0</v>
      </c>
    </row>
    <row r="150" spans="16:18">
      <c r="P150" s="2" t="s">
        <v>150</v>
      </c>
      <c r="Q150" s="2">
        <f>INDEX('Script List'!$R$2:$R$161,MATCH(P150,'Script List'!$A$2:$A$161,0))</f>
        <v>3</v>
      </c>
      <c r="R150" s="8">
        <f>INDEX('Script List'!$X$2:$X$161,MATCH(P150,'Script List'!$A$2:$A$161,0))</f>
        <v>564.0</v>
      </c>
    </row>
    <row r="151" spans="16:18">
      <c r="P151" s="2" t="s">
        <v>151</v>
      </c>
      <c r="Q151" s="2">
        <f>INDEX('Script List'!$R$2:$R$161,MATCH(P151,'Script List'!$A$2:$A$161,0))</f>
        <v>1</v>
      </c>
      <c r="R151" s="8">
        <f>INDEX('Script List'!$X$2:$X$161,MATCH(P151,'Script List'!$A$2:$A$161,0))</f>
        <v>332.0</v>
      </c>
    </row>
    <row r="152" spans="16:18">
      <c r="P152" s="2" t="s">
        <v>152</v>
      </c>
      <c r="Q152" s="2">
        <f>INDEX('Script List'!$R$2:$R$161,MATCH(P152,'Script List'!$A$2:$A$161,0))</f>
        <v>3</v>
      </c>
      <c r="R152" s="8">
        <f>INDEX('Script List'!$X$2:$X$161,MATCH(P152,'Script List'!$A$2:$A$161,0))</f>
        <v>438.0</v>
      </c>
    </row>
    <row r="153" spans="16:18">
      <c r="P153" s="2" t="s">
        <v>153</v>
      </c>
      <c r="Q153" s="2">
        <f>INDEX('Script List'!$R$2:$R$161,MATCH(P153,'Script List'!$A$2:$A$161,0))</f>
        <v>2</v>
      </c>
      <c r="R153" s="8">
        <f>INDEX('Script List'!$X$2:$X$161,MATCH(P153,'Script List'!$A$2:$A$161,0))</f>
        <v>383.0</v>
      </c>
    </row>
    <row r="154" spans="16:18">
      <c r="P154" s="2" t="s">
        <v>154</v>
      </c>
      <c r="Q154" s="2">
        <f>INDEX('Script List'!$R$2:$R$161,MATCH(P154,'Script List'!$A$2:$A$161,0))</f>
        <v>4</v>
      </c>
      <c r="R154" s="8">
        <f>INDEX('Script List'!$X$2:$X$161,MATCH(P154,'Script List'!$A$2:$A$161,0))</f>
        <v>474.0</v>
      </c>
    </row>
    <row r="155" spans="16:18">
      <c r="P155" s="2" t="s">
        <v>155</v>
      </c>
      <c r="Q155" s="2">
        <f>INDEX('Script List'!$R$2:$R$161,MATCH(P155,'Script List'!$A$2:$A$161,0))</f>
        <v>2</v>
      </c>
      <c r="R155" s="8">
        <f>INDEX('Script List'!$X$2:$X$161,MATCH(P155,'Script List'!$A$2:$A$161,0))</f>
        <v>527.0</v>
      </c>
    </row>
    <row r="156" spans="16:18">
      <c r="P156" s="2" t="s">
        <v>156</v>
      </c>
      <c r="Q156" s="2">
        <f>INDEX('Script List'!$R$2:$R$161,MATCH(P156,'Script List'!$A$2:$A$161,0))</f>
        <v>4</v>
      </c>
      <c r="R156" s="8">
        <f>INDEX('Script List'!$X$2:$X$161,MATCH(P156,'Script List'!$A$2:$A$161,0))</f>
        <v>490.0</v>
      </c>
    </row>
    <row r="157" spans="16:18">
      <c r="P157" s="2" t="s">
        <v>157</v>
      </c>
      <c r="Q157" s="2">
        <f>INDEX('Script List'!$R$2:$R$161,MATCH(P157,'Script List'!$A$2:$A$161,0))</f>
        <v>1</v>
      </c>
      <c r="R157" s="8">
        <f>INDEX('Script List'!$X$2:$X$161,MATCH(P157,'Script List'!$A$2:$A$161,0))</f>
        <v>332.0</v>
      </c>
    </row>
    <row r="158" spans="16:18">
      <c r="P158" s="2" t="s">
        <v>158</v>
      </c>
      <c r="Q158" s="2">
        <f>INDEX('Script List'!$R$2:$R$161,MATCH(P158,'Script List'!$A$2:$A$161,0))</f>
        <v>2</v>
      </c>
      <c r="R158" s="8">
        <f>INDEX('Script List'!$X$2:$X$161,MATCH(P158,'Script List'!$A$2:$A$161,0))</f>
        <v>528.0</v>
      </c>
    </row>
    <row r="159" spans="16:18">
      <c r="P159" s="2" t="s">
        <v>159</v>
      </c>
      <c r="Q159" s="2">
        <f>INDEX('Script List'!$R$2:$R$161,MATCH(P159,'Script List'!$A$2:$A$161,0))</f>
        <v>5</v>
      </c>
      <c r="R159" s="8">
        <f>INDEX('Script List'!$X$2:$X$161,MATCH(P159,'Script List'!$A$2:$A$161,0))</f>
        <v>527.0</v>
      </c>
    </row>
    <row r="160" spans="16:18">
      <c r="P160" s="2" t="s">
        <v>160</v>
      </c>
      <c r="Q160" s="2">
        <f>INDEX('Script List'!$R$2:$R$161,MATCH(P160,'Script List'!$A$2:$A$161,0))</f>
        <v>1</v>
      </c>
      <c r="R160" s="8">
        <f>INDEX('Script List'!$X$2:$X$161,MATCH(P160,'Script List'!$A$2:$A$161,0))</f>
        <v>324.0</v>
      </c>
    </row>
    <row r="161" spans="16:18">
      <c r="P161" s="2" t="s">
        <v>161</v>
      </c>
      <c r="Q161" s="2">
        <f>INDEX('Script List'!$R$2:$R$161,MATCH(P161,'Script List'!$A$2:$A$161,0))</f>
        <v>2</v>
      </c>
      <c r="R161" s="8">
        <f>INDEX('Script List'!$X$2:$X$161,MATCH(P161,'Script List'!$A$2:$A$161,0))</f>
        <v>563.0</v>
      </c>
    </row>
    <row r="162" spans="16:18">
      <c r="P162" s="2" t="s">
        <v>162</v>
      </c>
      <c r="Q162" s="2">
        <f>INDEX('Script List'!$R$2:$R$161,MATCH(P162,'Script List'!$A$2:$A$161,0))</f>
        <v>7</v>
      </c>
      <c r="R162" s="8">
        <f>INDEX('Script List'!$X$2:$X$161,MATCH(P162,'Script List'!$A$2:$A$161,0))</f>
        <v>560.0</v>
      </c>
    </row>
    <row r="163" spans="16:18">
      <c r="P163" s="2" t="s">
        <v>163</v>
      </c>
      <c r="Q163" s="2">
        <f>INDEX('Script List'!$R$2:$R$161,MATCH(P163,'Script List'!$A$2:$A$161,0))</f>
        <v>1</v>
      </c>
      <c r="R163" s="8">
        <f>INDEX('Script List'!$X$2:$X$161,MATCH(P163,'Script List'!$A$2:$A$161,0))</f>
        <v>648.0</v>
      </c>
    </row>
    <row r="164" spans="16:18">
      <c r="P164" s="2" t="s">
        <v>164</v>
      </c>
      <c r="Q164" s="2">
        <f>INDEX('Script List'!$R$2:$R$161,MATCH(P164,'Script List'!$A$2:$A$161,0))</f>
        <v>3</v>
      </c>
      <c r="R164" s="8">
        <f>INDEX('Script List'!$X$2:$X$161,MATCH(P164,'Script List'!$A$2:$A$161,0))</f>
        <v>482.0</v>
      </c>
    </row>
    <row r="165" spans="16:18">
      <c r="P165" s="2" t="s">
        <v>165</v>
      </c>
      <c r="Q165" s="2">
        <f>INDEX('Script List'!$R$2:$R$161,MATCH(P165,'Script List'!$A$2:$A$161,0))</f>
        <v>10</v>
      </c>
      <c r="R165" s="8">
        <f>INDEX('Script List'!$X$2:$X$161,MATCH(P165,'Script List'!$A$2:$A$161,0))</f>
        <v>332.0</v>
      </c>
    </row>
    <row r="166" spans="16:18">
      <c r="P166" s="2" t="s">
        <v>166</v>
      </c>
      <c r="Q166" s="2">
        <f>INDEX('Script List'!$R$2:$R$161,MATCH(P166,'Script List'!$A$2:$A$161,0))</f>
        <v>1</v>
      </c>
      <c r="R166" s="8">
        <f>INDEX('Script List'!$X$2:$X$161,MATCH(P166,'Script List'!$A$2:$A$161,0))</f>
        <v>609.0</v>
      </c>
    </row>
    <row r="167" spans="16:18">
      <c r="P167" s="2" t="s">
        <v>167</v>
      </c>
      <c r="Q167" s="2">
        <f>INDEX('Script List'!$R$2:$R$161,MATCH(P167,'Script List'!$A$2:$A$161,0))</f>
        <v>3</v>
      </c>
      <c r="R167" s="8">
        <f>INDEX('Script List'!$X$2:$X$161,MATCH(P167,'Script List'!$A$2:$A$161,0))</f>
        <v>564.0</v>
      </c>
    </row>
  </sheetData>
  <mergeCells count="15">
    <mergeCell ref="A1:L1"/>
    <mergeCell ref="A2:L2"/>
    <mergeCell ref="A4:C4"/>
    <mergeCell ref="A5:C6"/>
    <mergeCell ref="D4:F4"/>
    <mergeCell ref="D5:F6"/>
    <mergeCell ref="G4:I4"/>
    <mergeCell ref="G5:I6"/>
    <mergeCell ref="J4:L4"/>
    <mergeCell ref="J5:L6"/>
    <mergeCell ref="A44:L44"/>
    <mergeCell ref="A45:L45"/>
    <mergeCell ref="A46:L46"/>
    <mergeCell ref="A47:L47"/>
    <mergeCell ref="A49:L49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1"/>
  <sheetViews>
    <sheetView showGridLines="0" workbookViewId="0"/>
  </sheetViews>
  <sheetFormatPr defaultRowHeight="15"/>
  <cols>
    <col min="1" max="1" width="39.7109375" customWidth="1"/>
    <col min="2" max="2" width="108.7109375" style="1" customWidth="1"/>
  </cols>
  <sheetData>
    <row r="1" spans="1:2" ht="44" customHeight="1">
      <c r="A1" s="3" t="s">
        <v>168</v>
      </c>
      <c r="B1" s="3" t="s">
        <v>169</v>
      </c>
    </row>
    <row r="2" spans="1:2">
      <c r="A2" s="2" t="s">
        <v>170</v>
      </c>
      <c r="B2" s="2">
        <v>7.2</v>
      </c>
    </row>
    <row r="3" spans="1:2">
      <c r="A3" s="2" t="s">
        <v>171</v>
      </c>
      <c r="B3" s="8">
        <f>MEDIAN('Analysis'!$N$2:$N$137)</f>
        <v>2.0</v>
      </c>
    </row>
    <row r="4" spans="1:2">
      <c r="A4" s="2" t="s">
        <v>172</v>
      </c>
      <c r="B4" s="8">
        <f>MEDIAN('Analysis'!$O$2:$O$137)</f>
        <v>490.0</v>
      </c>
    </row>
    <row r="5" spans="1:2">
      <c r="A5" s="2" t="s">
        <v>173</v>
      </c>
      <c r="B5" s="9">
        <v>45901</v>
      </c>
    </row>
    <row r="6" spans="1:2">
      <c r="A6" s="2" t="s">
        <v>174</v>
      </c>
      <c r="B6" s="9">
        <v>46303</v>
      </c>
    </row>
    <row r="7" spans="1:2">
      <c r="A7" s="2" t="s">
        <v>175</v>
      </c>
      <c r="B7" s="2">
        <v>0.2625</v>
      </c>
    </row>
    <row r="8" spans="1:2">
      <c r="A8" s="2" t="s">
        <v>176</v>
      </c>
      <c r="B8" s="2" t="s">
        <v>177</v>
      </c>
    </row>
    <row r="9" spans="1:2">
      <c r="A9" s="2" t="s">
        <v>178</v>
      </c>
      <c r="B9" s="2" t="s">
        <v>179</v>
      </c>
    </row>
    <row r="10" spans="1:2">
      <c r="A10" s="2" t="s">
        <v>180</v>
      </c>
      <c r="B10" s="2" t="s">
        <v>181</v>
      </c>
    </row>
    <row r="11" spans="1:2">
      <c r="A11" s="2" t="s">
        <v>182</v>
      </c>
      <c r="B11" s="2" t="s">
        <v>183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161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0.7109375" style="2" customWidth="1"/>
    <col min="2" max="2" width="27.7109375" customWidth="1"/>
    <col min="3" max="22" width="20.7109375" style="2" customWidth="1"/>
    <col min="23" max="23" width="31.7109375" customWidth="1"/>
    <col min="24" max="26" width="20.7109375" style="2" customWidth="1"/>
    <col min="27" max="27" width="44.7109375" customWidth="1"/>
  </cols>
  <sheetData>
    <row r="1" spans="1:27" ht="44" customHeight="1">
      <c r="A1" s="3" t="s">
        <v>184</v>
      </c>
      <c r="B1" s="3" t="s">
        <v>185</v>
      </c>
      <c r="C1" s="3" t="s">
        <v>186</v>
      </c>
      <c r="D1" s="3" t="s">
        <v>187</v>
      </c>
      <c r="E1" s="3" t="s">
        <v>188</v>
      </c>
      <c r="F1" s="3" t="s">
        <v>189</v>
      </c>
      <c r="G1" s="3" t="s">
        <v>190</v>
      </c>
      <c r="H1" s="3" t="s">
        <v>191</v>
      </c>
      <c r="I1" s="3" t="s">
        <v>192</v>
      </c>
      <c r="J1" s="3" t="s">
        <v>15</v>
      </c>
      <c r="K1" s="3" t="s">
        <v>193</v>
      </c>
      <c r="L1" s="3" t="s">
        <v>194</v>
      </c>
      <c r="M1" s="3" t="s">
        <v>195</v>
      </c>
      <c r="N1" s="3" t="s">
        <v>196</v>
      </c>
      <c r="O1" s="3" t="s">
        <v>197</v>
      </c>
      <c r="P1" s="3" t="s">
        <v>198</v>
      </c>
      <c r="Q1" s="3" t="s">
        <v>199</v>
      </c>
      <c r="R1" s="3" t="s">
        <v>200</v>
      </c>
      <c r="S1" s="3" t="s">
        <v>201</v>
      </c>
      <c r="T1" s="3" t="s">
        <v>202</v>
      </c>
      <c r="U1" s="3" t="s">
        <v>203</v>
      </c>
      <c r="V1" s="3" t="s">
        <v>204</v>
      </c>
      <c r="W1" s="3" t="s">
        <v>205</v>
      </c>
      <c r="X1" s="3" t="s">
        <v>206</v>
      </c>
      <c r="Y1" s="3" t="s">
        <v>207</v>
      </c>
      <c r="Z1" s="3" t="s">
        <v>208</v>
      </c>
      <c r="AA1" s="3" t="s">
        <v>209</v>
      </c>
    </row>
    <row r="2" spans="1:27">
      <c r="A2" s="2" t="s">
        <v>210</v>
      </c>
      <c r="B2" s="2" t="s">
        <v>211</v>
      </c>
      <c r="C2" s="2" t="s">
        <v>212</v>
      </c>
      <c r="D2" s="2">
        <v>2</v>
      </c>
      <c r="E2" s="2">
        <v>6</v>
      </c>
      <c r="F2" s="2">
        <v>99</v>
      </c>
      <c r="G2" s="2">
        <f>E2*F2</f>
        <v>594</v>
      </c>
      <c r="H2" s="2">
        <v>180</v>
      </c>
      <c r="I2" s="2" t="s">
        <v>22</v>
      </c>
      <c r="J2" s="2">
        <f>G2-H2</f>
        <v>414</v>
      </c>
      <c r="K2" s="2">
        <v>7</v>
      </c>
      <c r="L2" s="2">
        <v>0</v>
      </c>
      <c r="M2" s="2">
        <v>750</v>
      </c>
      <c r="N2" s="2">
        <v>1000</v>
      </c>
      <c r="O2" s="2">
        <f>ROUND(L2/Assumptions!$B$2,0)</f>
        <v>0</v>
      </c>
      <c r="P2" s="2">
        <f>ROUND(M2/Assumptions!$B$2,0)</f>
        <v>104</v>
      </c>
      <c r="Q2" s="2">
        <f>ROUND(N2/Assumptions!$B$2,0)</f>
        <v>139</v>
      </c>
      <c r="R2" s="2">
        <f>COUNTIF('Raw Data'!$B$2:$B$417,A2)</f>
        <v>0</v>
      </c>
      <c r="S2" s="8">
        <f>SUMIF('Raw Data'!$B$2:$B$417,A2,'Raw Data'!$L$2:$L$417)</f>
        <v>0.0</v>
      </c>
      <c r="T2" s="8">
        <f>S2-O2</f>
        <v>0.0</v>
      </c>
      <c r="U2" s="8">
        <f>S2-P2</f>
        <v>-104.0</v>
      </c>
      <c r="V2" s="8">
        <f>S2-Q2</f>
        <v>-139.0</v>
      </c>
      <c r="W2" s="2" t="str">
        <f>IF(R2=0,"Not Opened",IF(V2&gt;=0,"Recovered - All Scenarios",IF(U2&gt;=0,"Recovered - Low &amp; Base",IF(T2&gt;=0,"Recovered - Low Only","Not Recovered"))))</f>
        <v>Not Opened</v>
      </c>
      <c r="X2" s="2">
        <f>IF(R2=0,0,S2/R2)</f>
        <v>0</v>
      </c>
      <c r="Y2" s="2">
        <f>R2</f>
        <v>0</v>
      </c>
      <c r="Z2" s="2">
        <f>IF(R2=0,"",S2/R2)</f>
        <v/>
      </c>
      <c r="AA2" s="2" t="str">
        <f>IF(R2=0,"Not Opened",IF(R2&gt;=Assumptions!$B$3,"High Frequency","Low Frequency")&amp;" / "&amp;IF(X2&gt;=Assumptions!$B$4,"High Contribution","Low Contribution"))</f>
        <v>Not Opened</v>
      </c>
    </row>
    <row r="3" spans="1:27">
      <c r="A3" s="2" t="s">
        <v>27</v>
      </c>
      <c r="B3" s="2" t="s">
        <v>213</v>
      </c>
      <c r="C3" s="2" t="s">
        <v>214</v>
      </c>
      <c r="D3" s="2">
        <v>1</v>
      </c>
      <c r="E3" s="2">
        <v>6</v>
      </c>
      <c r="F3" s="2">
        <v>75</v>
      </c>
      <c r="G3" s="2">
        <f>E3*F3</f>
        <v>450</v>
      </c>
      <c r="H3" s="2">
        <v>118</v>
      </c>
      <c r="I3" s="2" t="s">
        <v>20</v>
      </c>
      <c r="J3" s="2">
        <f>G3-H3</f>
        <v>332</v>
      </c>
      <c r="K3" s="2">
        <v>7.7</v>
      </c>
      <c r="L3" s="2">
        <v>1500</v>
      </c>
      <c r="M3" s="2">
        <v>2000</v>
      </c>
      <c r="N3" s="2">
        <v>2500</v>
      </c>
      <c r="O3" s="2">
        <f>ROUND(L3/Assumptions!$B$2,0)</f>
        <v>208</v>
      </c>
      <c r="P3" s="2">
        <f>ROUND(M3/Assumptions!$B$2,0)</f>
        <v>278</v>
      </c>
      <c r="Q3" s="2">
        <f>ROUND(N3/Assumptions!$B$2,0)</f>
        <v>347</v>
      </c>
      <c r="R3" s="2">
        <f>COUNTIF('Raw Data'!$B$2:$B$417,A3)</f>
        <v>1</v>
      </c>
      <c r="S3" s="8">
        <f>SUMIF('Raw Data'!$B$2:$B$417,A3,'Raw Data'!$L$2:$L$417)</f>
        <v>332.0</v>
      </c>
      <c r="T3" s="8">
        <f>S3-O3</f>
        <v>124.0</v>
      </c>
      <c r="U3" s="8">
        <f>S3-P3</f>
        <v>54.0</v>
      </c>
      <c r="V3" s="8">
        <f>S3-Q3</f>
        <v>-15.0</v>
      </c>
      <c r="W3" s="2" t="str">
        <f>IF(R3=0,"Not Opened",IF(V3&gt;=0,"Recovered - All Scenarios",IF(U3&gt;=0,"Recovered - Low &amp; Base",IF(T3&gt;=0,"Recovered - Low Only","Not Recovered"))))</f>
        <v>Recovered - Low &amp; Base</v>
      </c>
      <c r="X3" s="8">
        <f>IF(R3=0,0,S3/R3)</f>
        <v>332.0</v>
      </c>
      <c r="Y3" s="2">
        <f>R3</f>
        <v>1</v>
      </c>
      <c r="Z3" s="8">
        <f>IF(R3=0,"",S3/R3)</f>
        <v>332.0</v>
      </c>
      <c r="AA3" s="2" t="str">
        <f>IF(R3=0,"Not Opened",IF(R3&gt;=Assumptions!$B$3,"High Frequency","Low Frequency")&amp;" / "&amp;IF(X3&gt;=Assumptions!$B$4,"High Contribution","Low Contribution"))</f>
        <v>Low Frequency / Low Contribution</v>
      </c>
    </row>
    <row r="4" spans="1:27">
      <c r="A4" s="2" t="s">
        <v>28</v>
      </c>
      <c r="B4" s="2" t="s">
        <v>215</v>
      </c>
      <c r="C4" s="2" t="s">
        <v>212</v>
      </c>
      <c r="D4" s="2">
        <v>3</v>
      </c>
      <c r="E4" s="2">
        <v>6</v>
      </c>
      <c r="F4" s="2">
        <v>118</v>
      </c>
      <c r="G4" s="2">
        <f>E4*F4</f>
        <v>708</v>
      </c>
      <c r="H4" s="2">
        <v>270</v>
      </c>
      <c r="I4" s="2" t="s">
        <v>22</v>
      </c>
      <c r="J4" s="2">
        <f>G4-H4</f>
        <v>438</v>
      </c>
      <c r="K4" s="2">
        <v>8.4</v>
      </c>
      <c r="L4" s="2">
        <v>0</v>
      </c>
      <c r="M4" s="2">
        <v>750</v>
      </c>
      <c r="N4" s="2">
        <v>1000</v>
      </c>
      <c r="O4" s="2">
        <f>ROUND(L4/Assumptions!$B$2,0)</f>
        <v>0</v>
      </c>
      <c r="P4" s="2">
        <f>ROUND(M4/Assumptions!$B$2,0)</f>
        <v>104</v>
      </c>
      <c r="Q4" s="2">
        <f>ROUND(N4/Assumptions!$B$2,0)</f>
        <v>139</v>
      </c>
      <c r="R4" s="2">
        <f>COUNTIF('Raw Data'!$B$2:$B$417,A4)</f>
        <v>3</v>
      </c>
      <c r="S4" s="8">
        <f>SUMIF('Raw Data'!$B$2:$B$417,A4,'Raw Data'!$L$2:$L$417)</f>
        <v>1314.0</v>
      </c>
      <c r="T4" s="8">
        <f>S4-O4</f>
        <v>1314.0</v>
      </c>
      <c r="U4" s="8">
        <f>S4-P4</f>
        <v>1210.0</v>
      </c>
      <c r="V4" s="8">
        <f>S4-Q4</f>
        <v>1175.0</v>
      </c>
      <c r="W4" s="2" t="str">
        <f>IF(R4=0,"Not Opened",IF(V4&gt;=0,"Recovered - All Scenarios",IF(U4&gt;=0,"Recovered - Low &amp; Base",IF(T4&gt;=0,"Recovered - Low Only","Not Recovered"))))</f>
        <v>Recovered - All Scenarios</v>
      </c>
      <c r="X4" s="8">
        <f>IF(R4=0,0,S4/R4)</f>
        <v>438.0</v>
      </c>
      <c r="Y4" s="2">
        <f>R4</f>
        <v>3</v>
      </c>
      <c r="Z4" s="8">
        <f>IF(R4=0,"",S4/R4)</f>
        <v>438.0</v>
      </c>
      <c r="AA4" s="2" t="str">
        <f>IF(R4=0,"Not Opened",IF(R4&gt;=Assumptions!$B$3,"High Frequency","Low Frequency")&amp;" / "&amp;IF(X4&gt;=Assumptions!$B$4,"High Contribution","Low Contribution"))</f>
        <v>High Frequency / Low Contribution</v>
      </c>
    </row>
    <row r="5" spans="1:27">
      <c r="A5" s="2" t="s">
        <v>216</v>
      </c>
      <c r="B5" s="2" t="s">
        <v>217</v>
      </c>
      <c r="C5" s="2" t="s">
        <v>218</v>
      </c>
      <c r="D5" s="2">
        <v>3</v>
      </c>
      <c r="E5" s="2">
        <v>7</v>
      </c>
      <c r="F5" s="2">
        <v>129</v>
      </c>
      <c r="G5" s="2">
        <f>E5*F5</f>
        <v>903</v>
      </c>
      <c r="H5" s="2">
        <v>237</v>
      </c>
      <c r="I5" s="2" t="s">
        <v>21</v>
      </c>
      <c r="J5" s="2">
        <f>G5-H5</f>
        <v>666</v>
      </c>
      <c r="K5" s="2">
        <v>7</v>
      </c>
      <c r="L5" s="2">
        <v>2500</v>
      </c>
      <c r="M5" s="2">
        <v>3000</v>
      </c>
      <c r="N5" s="2">
        <v>3500</v>
      </c>
      <c r="O5" s="2">
        <f>ROUND(L5/Assumptions!$B$2,0)</f>
        <v>347</v>
      </c>
      <c r="P5" s="2">
        <f>ROUND(M5/Assumptions!$B$2,0)</f>
        <v>417</v>
      </c>
      <c r="Q5" s="2">
        <f>ROUND(N5/Assumptions!$B$2,0)</f>
        <v>486</v>
      </c>
      <c r="R5" s="2">
        <f>COUNTIF('Raw Data'!$B$2:$B$417,A5)</f>
        <v>0</v>
      </c>
      <c r="S5" s="8">
        <f>SUMIF('Raw Data'!$B$2:$B$417,A5,'Raw Data'!$L$2:$L$417)</f>
        <v>0.0</v>
      </c>
      <c r="T5" s="8">
        <f>S5-O5</f>
        <v>-347.0</v>
      </c>
      <c r="U5" s="8">
        <f>S5-P5</f>
        <v>-417.0</v>
      </c>
      <c r="V5" s="8">
        <f>S5-Q5</f>
        <v>-486.0</v>
      </c>
      <c r="W5" s="2" t="str">
        <f>IF(R5=0,"Not Opened",IF(V5&gt;=0,"Recovered - All Scenarios",IF(U5&gt;=0,"Recovered - Low &amp; Base",IF(T5&gt;=0,"Recovered - Low Only","Not Recovered"))))</f>
        <v>Not Opened</v>
      </c>
      <c r="X5" s="2">
        <f>IF(R5=0,0,S5/R5)</f>
        <v>0</v>
      </c>
      <c r="Y5" s="2">
        <f>R5</f>
        <v>0</v>
      </c>
      <c r="Z5" s="2">
        <f>IF(R5=0,"",S5/R5)</f>
        <v/>
      </c>
      <c r="AA5" s="2" t="str">
        <f>IF(R5=0,"Not Opened",IF(R5&gt;=Assumptions!$B$3,"High Frequency","Low Frequency")&amp;" / "&amp;IF(X5&gt;=Assumptions!$B$4,"High Contribution","Low Contribution"))</f>
        <v>Not Opened</v>
      </c>
    </row>
    <row r="6" spans="1:27">
      <c r="A6" s="2" t="s">
        <v>29</v>
      </c>
      <c r="B6" s="2" t="s">
        <v>219</v>
      </c>
      <c r="C6" s="2" t="s">
        <v>214</v>
      </c>
      <c r="D6" s="2">
        <v>2</v>
      </c>
      <c r="E6" s="2">
        <v>8</v>
      </c>
      <c r="F6" s="2">
        <v>65</v>
      </c>
      <c r="G6" s="2">
        <f>E6*F6</f>
        <v>520</v>
      </c>
      <c r="H6" s="2">
        <v>137</v>
      </c>
      <c r="I6" s="2" t="s">
        <v>20</v>
      </c>
      <c r="J6" s="2">
        <f>G6-H6</f>
        <v>383</v>
      </c>
      <c r="K6" s="2">
        <v>7.7</v>
      </c>
      <c r="L6" s="2">
        <v>1500</v>
      </c>
      <c r="M6" s="2">
        <v>2000</v>
      </c>
      <c r="N6" s="2">
        <v>2500</v>
      </c>
      <c r="O6" s="2">
        <f>ROUND(L6/Assumptions!$B$2,0)</f>
        <v>208</v>
      </c>
      <c r="P6" s="2">
        <f>ROUND(M6/Assumptions!$B$2,0)</f>
        <v>278</v>
      </c>
      <c r="Q6" s="2">
        <f>ROUND(N6/Assumptions!$B$2,0)</f>
        <v>347</v>
      </c>
      <c r="R6" s="2">
        <f>COUNTIF('Raw Data'!$B$2:$B$417,A6)</f>
        <v>2</v>
      </c>
      <c r="S6" s="8">
        <f>SUMIF('Raw Data'!$B$2:$B$417,A6,'Raw Data'!$L$2:$L$417)</f>
        <v>766.0</v>
      </c>
      <c r="T6" s="8">
        <f>S6-O6</f>
        <v>558.0</v>
      </c>
      <c r="U6" s="8">
        <f>S6-P6</f>
        <v>488.0</v>
      </c>
      <c r="V6" s="8">
        <f>S6-Q6</f>
        <v>419.0</v>
      </c>
      <c r="W6" s="2" t="str">
        <f>IF(R6=0,"Not Opened",IF(V6&gt;=0,"Recovered - All Scenarios",IF(U6&gt;=0,"Recovered - Low &amp; Base",IF(T6&gt;=0,"Recovered - Low Only","Not Recovered"))))</f>
        <v>Recovered - All Scenarios</v>
      </c>
      <c r="X6" s="8">
        <f>IF(R6=0,0,S6/R6)</f>
        <v>383.0</v>
      </c>
      <c r="Y6" s="2">
        <f>R6</f>
        <v>2</v>
      </c>
      <c r="Z6" s="8">
        <f>IF(R6=0,"",S6/R6)</f>
        <v>383.0</v>
      </c>
      <c r="AA6" s="2" t="str">
        <f>IF(R6=0,"Not Opened",IF(R6&gt;=Assumptions!$B$3,"High Frequency","Low Frequency")&amp;" / "&amp;IF(X6&gt;=Assumptions!$B$4,"High Contribution","Low Contribution"))</f>
        <v>High Frequency / Low Contribution</v>
      </c>
    </row>
    <row r="7" spans="1:27">
      <c r="A7" s="2" t="s">
        <v>30</v>
      </c>
      <c r="B7" s="2" t="s">
        <v>220</v>
      </c>
      <c r="C7" s="2" t="s">
        <v>212</v>
      </c>
      <c r="D7" s="2">
        <v>2</v>
      </c>
      <c r="E7" s="2">
        <v>6</v>
      </c>
      <c r="F7" s="2">
        <v>109</v>
      </c>
      <c r="G7" s="2">
        <f>E7*F7</f>
        <v>654</v>
      </c>
      <c r="H7" s="2">
        <v>180</v>
      </c>
      <c r="I7" s="2" t="s">
        <v>22</v>
      </c>
      <c r="J7" s="2">
        <f>G7-H7</f>
        <v>474</v>
      </c>
      <c r="K7" s="2">
        <v>8.4</v>
      </c>
      <c r="L7" s="2">
        <v>0</v>
      </c>
      <c r="M7" s="2">
        <v>750</v>
      </c>
      <c r="N7" s="2">
        <v>1000</v>
      </c>
      <c r="O7" s="2">
        <f>ROUND(L7/Assumptions!$B$2,0)</f>
        <v>0</v>
      </c>
      <c r="P7" s="2">
        <f>ROUND(M7/Assumptions!$B$2,0)</f>
        <v>104</v>
      </c>
      <c r="Q7" s="2">
        <f>ROUND(N7/Assumptions!$B$2,0)</f>
        <v>139</v>
      </c>
      <c r="R7" s="2">
        <f>COUNTIF('Raw Data'!$B$2:$B$417,A7)</f>
        <v>4</v>
      </c>
      <c r="S7" s="8">
        <f>SUMIF('Raw Data'!$B$2:$B$417,A7,'Raw Data'!$L$2:$L$417)</f>
        <v>1896.0</v>
      </c>
      <c r="T7" s="8">
        <f>S7-O7</f>
        <v>1896.0</v>
      </c>
      <c r="U7" s="8">
        <f>S7-P7</f>
        <v>1792.0</v>
      </c>
      <c r="V7" s="8">
        <f>S7-Q7</f>
        <v>1757.0</v>
      </c>
      <c r="W7" s="2" t="str">
        <f>IF(R7=0,"Not Opened",IF(V7&gt;=0,"Recovered - All Scenarios",IF(U7&gt;=0,"Recovered - Low &amp; Base",IF(T7&gt;=0,"Recovered - Low Only","Not Recovered"))))</f>
        <v>Recovered - All Scenarios</v>
      </c>
      <c r="X7" s="8">
        <f>IF(R7=0,0,S7/R7)</f>
        <v>474.0</v>
      </c>
      <c r="Y7" s="2">
        <f>R7</f>
        <v>4</v>
      </c>
      <c r="Z7" s="8">
        <f>IF(R7=0,"",S7/R7)</f>
        <v>474.0</v>
      </c>
      <c r="AA7" s="2" t="str">
        <f>IF(R7=0,"Not Opened",IF(R7&gt;=Assumptions!$B$3,"High Frequency","Low Frequency")&amp;" / "&amp;IF(X7&gt;=Assumptions!$B$4,"High Contribution","Low Contribution"))</f>
        <v>High Frequency / Low Contribution</v>
      </c>
    </row>
    <row r="8" spans="1:27">
      <c r="A8" s="2" t="s">
        <v>221</v>
      </c>
      <c r="B8" s="2" t="s">
        <v>222</v>
      </c>
      <c r="C8" s="2" t="s">
        <v>223</v>
      </c>
      <c r="D8" s="2">
        <v>1</v>
      </c>
      <c r="E8" s="2">
        <v>6</v>
      </c>
      <c r="F8" s="2">
        <v>129</v>
      </c>
      <c r="G8" s="2">
        <f>E8*F8</f>
        <v>774</v>
      </c>
      <c r="H8" s="2">
        <v>203</v>
      </c>
      <c r="I8" s="2" t="s">
        <v>20</v>
      </c>
      <c r="J8" s="2">
        <f>G8-H8</f>
        <v>571</v>
      </c>
      <c r="K8" s="2">
        <v>7</v>
      </c>
      <c r="L8" s="2">
        <v>1500</v>
      </c>
      <c r="M8" s="2">
        <v>2000</v>
      </c>
      <c r="N8" s="2">
        <v>2500</v>
      </c>
      <c r="O8" s="2">
        <f>ROUND(L8/Assumptions!$B$2,0)</f>
        <v>208</v>
      </c>
      <c r="P8" s="2">
        <f>ROUND(M8/Assumptions!$B$2,0)</f>
        <v>278</v>
      </c>
      <c r="Q8" s="2">
        <f>ROUND(N8/Assumptions!$B$2,0)</f>
        <v>347</v>
      </c>
      <c r="R8" s="2">
        <f>COUNTIF('Raw Data'!$B$2:$B$417,A8)</f>
        <v>0</v>
      </c>
      <c r="S8" s="8">
        <f>SUMIF('Raw Data'!$B$2:$B$417,A8,'Raw Data'!$L$2:$L$417)</f>
        <v>0.0</v>
      </c>
      <c r="T8" s="8">
        <f>S8-O8</f>
        <v>-208.0</v>
      </c>
      <c r="U8" s="8">
        <f>S8-P8</f>
        <v>-278.0</v>
      </c>
      <c r="V8" s="8">
        <f>S8-Q8</f>
        <v>-347.0</v>
      </c>
      <c r="W8" s="2" t="str">
        <f>IF(R8=0,"Not Opened",IF(V8&gt;=0,"Recovered - All Scenarios",IF(U8&gt;=0,"Recovered - Low &amp; Base",IF(T8&gt;=0,"Recovered - Low Only","Not Recovered"))))</f>
        <v>Not Opened</v>
      </c>
      <c r="X8" s="2">
        <f>IF(R8=0,0,S8/R8)</f>
        <v>0</v>
      </c>
      <c r="Y8" s="2">
        <f>R8</f>
        <v>0</v>
      </c>
      <c r="Z8" s="2">
        <f>IF(R8=0,"",S8/R8)</f>
        <v/>
      </c>
      <c r="AA8" s="2" t="str">
        <f>IF(R8=0,"Not Opened",IF(R8&gt;=Assumptions!$B$3,"High Frequency","Low Frequency")&amp;" / "&amp;IF(X8&gt;=Assumptions!$B$4,"High Contribution","Low Contribution"))</f>
        <v>Not Opened</v>
      </c>
    </row>
    <row r="9" spans="1:27">
      <c r="A9" s="2" t="s">
        <v>31</v>
      </c>
      <c r="B9" s="2" t="s">
        <v>224</v>
      </c>
      <c r="C9" s="2" t="s">
        <v>214</v>
      </c>
      <c r="D9" s="2">
        <v>1</v>
      </c>
      <c r="E9" s="2">
        <v>6</v>
      </c>
      <c r="F9" s="2">
        <v>119</v>
      </c>
      <c r="G9" s="2">
        <f>E9*F9</f>
        <v>714</v>
      </c>
      <c r="H9" s="2">
        <v>187</v>
      </c>
      <c r="I9" s="2" t="s">
        <v>22</v>
      </c>
      <c r="J9" s="2">
        <f>G9-H9</f>
        <v>527</v>
      </c>
      <c r="K9" s="2">
        <v>7.7</v>
      </c>
      <c r="L9" s="2">
        <v>0</v>
      </c>
      <c r="M9" s="2">
        <v>750</v>
      </c>
      <c r="N9" s="2">
        <v>1000</v>
      </c>
      <c r="O9" s="2">
        <f>ROUND(L9/Assumptions!$B$2,0)</f>
        <v>0</v>
      </c>
      <c r="P9" s="2">
        <f>ROUND(M9/Assumptions!$B$2,0)</f>
        <v>104</v>
      </c>
      <c r="Q9" s="2">
        <f>ROUND(N9/Assumptions!$B$2,0)</f>
        <v>139</v>
      </c>
      <c r="R9" s="2">
        <f>COUNTIF('Raw Data'!$B$2:$B$417,A9)</f>
        <v>2</v>
      </c>
      <c r="S9" s="8">
        <f>SUMIF('Raw Data'!$B$2:$B$417,A9,'Raw Data'!$L$2:$L$417)</f>
        <v>1054.0</v>
      </c>
      <c r="T9" s="8">
        <f>S9-O9</f>
        <v>1054.0</v>
      </c>
      <c r="U9" s="8">
        <f>S9-P9</f>
        <v>950.0</v>
      </c>
      <c r="V9" s="8">
        <f>S9-Q9</f>
        <v>915.0</v>
      </c>
      <c r="W9" s="2" t="str">
        <f>IF(R9=0,"Not Opened",IF(V9&gt;=0,"Recovered - All Scenarios",IF(U9&gt;=0,"Recovered - Low &amp; Base",IF(T9&gt;=0,"Recovered - Low Only","Not Recovered"))))</f>
        <v>Recovered - All Scenarios</v>
      </c>
      <c r="X9" s="8">
        <f>IF(R9=0,0,S9/R9)</f>
        <v>527.0</v>
      </c>
      <c r="Y9" s="2">
        <f>R9</f>
        <v>2</v>
      </c>
      <c r="Z9" s="8">
        <f>IF(R9=0,"",S9/R9)</f>
        <v>527.0</v>
      </c>
      <c r="AA9" s="2" t="str">
        <f>IF(R9=0,"Not Opened",IF(R9&gt;=Assumptions!$B$3,"High Frequency","Low Frequency")&amp;" / "&amp;IF(X9&gt;=Assumptions!$B$4,"High Contribution","Low Contribution"))</f>
        <v>High Frequency / High Contribution</v>
      </c>
    </row>
    <row r="10" spans="1:27">
      <c r="A10" s="2" t="s">
        <v>32</v>
      </c>
      <c r="B10" s="2" t="s">
        <v>225</v>
      </c>
      <c r="C10" s="2" t="s">
        <v>218</v>
      </c>
      <c r="D10" s="2">
        <v>3</v>
      </c>
      <c r="E10" s="2">
        <v>7</v>
      </c>
      <c r="F10" s="2">
        <v>95</v>
      </c>
      <c r="G10" s="2">
        <f>E10*F10</f>
        <v>665</v>
      </c>
      <c r="H10" s="2">
        <v>175</v>
      </c>
      <c r="I10" s="2" t="s">
        <v>21</v>
      </c>
      <c r="J10" s="2">
        <f>G10-H10</f>
        <v>490</v>
      </c>
      <c r="K10" s="2">
        <v>8.4</v>
      </c>
      <c r="L10" s="2">
        <v>2500</v>
      </c>
      <c r="M10" s="2">
        <v>3000</v>
      </c>
      <c r="N10" s="2">
        <v>3500</v>
      </c>
      <c r="O10" s="2">
        <f>ROUND(L10/Assumptions!$B$2,0)</f>
        <v>347</v>
      </c>
      <c r="P10" s="2">
        <f>ROUND(M10/Assumptions!$B$2,0)</f>
        <v>417</v>
      </c>
      <c r="Q10" s="2">
        <f>ROUND(N10/Assumptions!$B$2,0)</f>
        <v>486</v>
      </c>
      <c r="R10" s="2">
        <f>COUNTIF('Raw Data'!$B$2:$B$417,A10)</f>
        <v>4</v>
      </c>
      <c r="S10" s="8">
        <f>SUMIF('Raw Data'!$B$2:$B$417,A10,'Raw Data'!$L$2:$L$417)</f>
        <v>1960.0</v>
      </c>
      <c r="T10" s="8">
        <f>S10-O10</f>
        <v>1613.0</v>
      </c>
      <c r="U10" s="8">
        <f>S10-P10</f>
        <v>1543.0</v>
      </c>
      <c r="V10" s="8">
        <f>S10-Q10</f>
        <v>1474.0</v>
      </c>
      <c r="W10" s="2" t="str">
        <f>IF(R10=0,"Not Opened",IF(V10&gt;=0,"Recovered - All Scenarios",IF(U10&gt;=0,"Recovered - Low &amp; Base",IF(T10&gt;=0,"Recovered - Low Only","Not Recovered"))))</f>
        <v>Recovered - All Scenarios</v>
      </c>
      <c r="X10" s="8">
        <f>IF(R10=0,0,S10/R10)</f>
        <v>490.0</v>
      </c>
      <c r="Y10" s="2">
        <f>R10</f>
        <v>4</v>
      </c>
      <c r="Z10" s="8">
        <f>IF(R10=0,"",S10/R10)</f>
        <v>490.0</v>
      </c>
      <c r="AA10" s="2" t="str">
        <f>IF(R10=0,"Not Opened",IF(R10&gt;=Assumptions!$B$3,"High Frequency","Low Frequency")&amp;" / "&amp;IF(X10&gt;=Assumptions!$B$4,"High Contribution","Low Contribution"))</f>
        <v>High Frequency / High Contribution</v>
      </c>
    </row>
    <row r="11" spans="1:27">
      <c r="A11" s="2" t="s">
        <v>33</v>
      </c>
      <c r="B11" s="2" t="s">
        <v>226</v>
      </c>
      <c r="C11" s="2" t="s">
        <v>212</v>
      </c>
      <c r="D11" s="2">
        <v>6</v>
      </c>
      <c r="E11" s="2">
        <v>8</v>
      </c>
      <c r="F11" s="2">
        <v>109</v>
      </c>
      <c r="G11" s="2">
        <f>E11*F11</f>
        <v>872</v>
      </c>
      <c r="H11" s="2">
        <v>540</v>
      </c>
      <c r="I11" s="2" t="s">
        <v>22</v>
      </c>
      <c r="J11" s="2">
        <f>G11-H11</f>
        <v>332</v>
      </c>
      <c r="K11" s="2">
        <v>7</v>
      </c>
      <c r="L11" s="2">
        <v>0</v>
      </c>
      <c r="M11" s="2">
        <v>750</v>
      </c>
      <c r="N11" s="2">
        <v>1000</v>
      </c>
      <c r="O11" s="2">
        <f>ROUND(L11/Assumptions!$B$2,0)</f>
        <v>0</v>
      </c>
      <c r="P11" s="2">
        <f>ROUND(M11/Assumptions!$B$2,0)</f>
        <v>104</v>
      </c>
      <c r="Q11" s="2">
        <f>ROUND(N11/Assumptions!$B$2,0)</f>
        <v>139</v>
      </c>
      <c r="R11" s="2">
        <f>COUNTIF('Raw Data'!$B$2:$B$417,A11)</f>
        <v>1</v>
      </c>
      <c r="S11" s="8">
        <f>SUMIF('Raw Data'!$B$2:$B$417,A11,'Raw Data'!$L$2:$L$417)</f>
        <v>332.0</v>
      </c>
      <c r="T11" s="8">
        <f>S11-O11</f>
        <v>332.0</v>
      </c>
      <c r="U11" s="8">
        <f>S11-P11</f>
        <v>228.0</v>
      </c>
      <c r="V11" s="8">
        <f>S11-Q11</f>
        <v>193.0</v>
      </c>
      <c r="W11" s="2" t="str">
        <f>IF(R11=0,"Not Opened",IF(V11&gt;=0,"Recovered - All Scenarios",IF(U11&gt;=0,"Recovered - Low &amp; Base",IF(T11&gt;=0,"Recovered - Low Only","Not Recovered"))))</f>
        <v>Recovered - All Scenarios</v>
      </c>
      <c r="X11" s="8">
        <f>IF(R11=0,0,S11/R11)</f>
        <v>332.0</v>
      </c>
      <c r="Y11" s="2">
        <f>R11</f>
        <v>1</v>
      </c>
      <c r="Z11" s="8">
        <f>IF(R11=0,"",S11/R11)</f>
        <v>332.0</v>
      </c>
      <c r="AA11" s="2" t="str">
        <f>IF(R11=0,"Not Opened",IF(R11&gt;=Assumptions!$B$3,"High Frequency","Low Frequency")&amp;" / "&amp;IF(X11&gt;=Assumptions!$B$4,"High Contribution","Low Contribution"))</f>
        <v>Low Frequency / Low Contribution</v>
      </c>
    </row>
    <row r="12" spans="1:27">
      <c r="A12" s="2" t="s">
        <v>34</v>
      </c>
      <c r="B12" s="2" t="s">
        <v>227</v>
      </c>
      <c r="C12" s="2" t="s">
        <v>212</v>
      </c>
      <c r="D12" s="2">
        <v>2</v>
      </c>
      <c r="E12" s="2">
        <v>6</v>
      </c>
      <c r="F12" s="2">
        <v>118</v>
      </c>
      <c r="G12" s="2">
        <f>E12*F12</f>
        <v>708</v>
      </c>
      <c r="H12" s="2">
        <v>180</v>
      </c>
      <c r="I12" s="2" t="s">
        <v>22</v>
      </c>
      <c r="J12" s="2">
        <f>G12-H12</f>
        <v>528</v>
      </c>
      <c r="K12" s="2">
        <v>7.7</v>
      </c>
      <c r="L12" s="2">
        <v>0</v>
      </c>
      <c r="M12" s="2">
        <v>750</v>
      </c>
      <c r="N12" s="2">
        <v>1000</v>
      </c>
      <c r="O12" s="2">
        <f>ROUND(L12/Assumptions!$B$2,0)</f>
        <v>0</v>
      </c>
      <c r="P12" s="2">
        <f>ROUND(M12/Assumptions!$B$2,0)</f>
        <v>104</v>
      </c>
      <c r="Q12" s="2">
        <f>ROUND(N12/Assumptions!$B$2,0)</f>
        <v>139</v>
      </c>
      <c r="R12" s="2">
        <f>COUNTIF('Raw Data'!$B$2:$B$417,A12)</f>
        <v>2</v>
      </c>
      <c r="S12" s="8">
        <f>SUMIF('Raw Data'!$B$2:$B$417,A12,'Raw Data'!$L$2:$L$417)</f>
        <v>1056.0</v>
      </c>
      <c r="T12" s="8">
        <f>S12-O12</f>
        <v>1056.0</v>
      </c>
      <c r="U12" s="8">
        <f>S12-P12</f>
        <v>952.0</v>
      </c>
      <c r="V12" s="8">
        <f>S12-Q12</f>
        <v>917.0</v>
      </c>
      <c r="W12" s="2" t="str">
        <f>IF(R12=0,"Not Opened",IF(V12&gt;=0,"Recovered - All Scenarios",IF(U12&gt;=0,"Recovered - Low &amp; Base",IF(T12&gt;=0,"Recovered - Low Only","Not Recovered"))))</f>
        <v>Recovered - All Scenarios</v>
      </c>
      <c r="X12" s="8">
        <f>IF(R12=0,0,S12/R12)</f>
        <v>528.0</v>
      </c>
      <c r="Y12" s="2">
        <f>R12</f>
        <v>2</v>
      </c>
      <c r="Z12" s="8">
        <f>IF(R12=0,"",S12/R12)</f>
        <v>528.0</v>
      </c>
      <c r="AA12" s="2" t="str">
        <f>IF(R12=0,"Not Opened",IF(R12&gt;=Assumptions!$B$3,"High Frequency","Low Frequency")&amp;" / "&amp;IF(X12&gt;=Assumptions!$B$4,"High Contribution","Low Contribution"))</f>
        <v>High Frequency / High Contribution</v>
      </c>
    </row>
    <row r="13" spans="1:27">
      <c r="A13" s="2" t="s">
        <v>35</v>
      </c>
      <c r="B13" s="2" t="s">
        <v>228</v>
      </c>
      <c r="C13" s="2" t="s">
        <v>214</v>
      </c>
      <c r="D13" s="2">
        <v>1</v>
      </c>
      <c r="E13" s="2">
        <v>6</v>
      </c>
      <c r="F13" s="2">
        <v>119</v>
      </c>
      <c r="G13" s="2">
        <f>E13*F13</f>
        <v>714</v>
      </c>
      <c r="H13" s="2">
        <v>187</v>
      </c>
      <c r="I13" s="2" t="s">
        <v>20</v>
      </c>
      <c r="J13" s="2">
        <f>G13-H13</f>
        <v>527</v>
      </c>
      <c r="K13" s="2">
        <v>8.4</v>
      </c>
      <c r="L13" s="2">
        <v>1500</v>
      </c>
      <c r="M13" s="2">
        <v>2000</v>
      </c>
      <c r="N13" s="2">
        <v>2500</v>
      </c>
      <c r="O13" s="2">
        <f>ROUND(L13/Assumptions!$B$2,0)</f>
        <v>208</v>
      </c>
      <c r="P13" s="2">
        <f>ROUND(M13/Assumptions!$B$2,0)</f>
        <v>278</v>
      </c>
      <c r="Q13" s="2">
        <f>ROUND(N13/Assumptions!$B$2,0)</f>
        <v>347</v>
      </c>
      <c r="R13" s="2">
        <f>COUNTIF('Raw Data'!$B$2:$B$417,A13)</f>
        <v>5</v>
      </c>
      <c r="S13" s="8">
        <f>SUMIF('Raw Data'!$B$2:$B$417,A13,'Raw Data'!$L$2:$L$417)</f>
        <v>2635.0</v>
      </c>
      <c r="T13" s="8">
        <f>S13-O13</f>
        <v>2427.0</v>
      </c>
      <c r="U13" s="8">
        <f>S13-P13</f>
        <v>2357.0</v>
      </c>
      <c r="V13" s="8">
        <f>S13-Q13</f>
        <v>2288.0</v>
      </c>
      <c r="W13" s="2" t="str">
        <f>IF(R13=0,"Not Opened",IF(V13&gt;=0,"Recovered - All Scenarios",IF(U13&gt;=0,"Recovered - Low &amp; Base",IF(T13&gt;=0,"Recovered - Low Only","Not Recovered"))))</f>
        <v>Recovered - All Scenarios</v>
      </c>
      <c r="X13" s="8">
        <f>IF(R13=0,0,S13/R13)</f>
        <v>527.0</v>
      </c>
      <c r="Y13" s="2">
        <f>R13</f>
        <v>5</v>
      </c>
      <c r="Z13" s="8">
        <f>IF(R13=0,"",S13/R13)</f>
        <v>527.0</v>
      </c>
      <c r="AA13" s="2" t="str">
        <f>IF(R13=0,"Not Opened",IF(R13&gt;=Assumptions!$B$3,"High Frequency","Low Frequency")&amp;" / "&amp;IF(X13&gt;=Assumptions!$B$4,"High Contribution","Low Contribution"))</f>
        <v>High Frequency / High Contribution</v>
      </c>
    </row>
    <row r="14" spans="1:27">
      <c r="A14" s="2" t="s">
        <v>36</v>
      </c>
      <c r="B14" s="2" t="s">
        <v>229</v>
      </c>
      <c r="C14" s="2" t="s">
        <v>212</v>
      </c>
      <c r="D14" s="2">
        <v>3</v>
      </c>
      <c r="E14" s="2">
        <v>6</v>
      </c>
      <c r="F14" s="2">
        <v>99</v>
      </c>
      <c r="G14" s="2">
        <f>E14*F14</f>
        <v>594</v>
      </c>
      <c r="H14" s="2">
        <v>270</v>
      </c>
      <c r="I14" s="2" t="s">
        <v>22</v>
      </c>
      <c r="J14" s="2">
        <f>G14-H14</f>
        <v>324</v>
      </c>
      <c r="K14" s="2">
        <v>7</v>
      </c>
      <c r="L14" s="2">
        <v>0</v>
      </c>
      <c r="M14" s="2">
        <v>750</v>
      </c>
      <c r="N14" s="2">
        <v>1000</v>
      </c>
      <c r="O14" s="2">
        <f>ROUND(L14/Assumptions!$B$2,0)</f>
        <v>0</v>
      </c>
      <c r="P14" s="2">
        <f>ROUND(M14/Assumptions!$B$2,0)</f>
        <v>104</v>
      </c>
      <c r="Q14" s="2">
        <f>ROUND(N14/Assumptions!$B$2,0)</f>
        <v>139</v>
      </c>
      <c r="R14" s="2">
        <f>COUNTIF('Raw Data'!$B$2:$B$417,A14)</f>
        <v>1</v>
      </c>
      <c r="S14" s="8">
        <f>SUMIF('Raw Data'!$B$2:$B$417,A14,'Raw Data'!$L$2:$L$417)</f>
        <v>324.0</v>
      </c>
      <c r="T14" s="8">
        <f>S14-O14</f>
        <v>324.0</v>
      </c>
      <c r="U14" s="8">
        <f>S14-P14</f>
        <v>220.0</v>
      </c>
      <c r="V14" s="8">
        <f>S14-Q14</f>
        <v>185.0</v>
      </c>
      <c r="W14" s="2" t="str">
        <f>IF(R14=0,"Not Opened",IF(V14&gt;=0,"Recovered - All Scenarios",IF(U14&gt;=0,"Recovered - Low &amp; Base",IF(T14&gt;=0,"Recovered - Low Only","Not Recovered"))))</f>
        <v>Recovered - All Scenarios</v>
      </c>
      <c r="X14" s="8">
        <f>IF(R14=0,0,S14/R14)</f>
        <v>324.0</v>
      </c>
      <c r="Y14" s="2">
        <f>R14</f>
        <v>1</v>
      </c>
      <c r="Z14" s="8">
        <f>IF(R14=0,"",S14/R14)</f>
        <v>324.0</v>
      </c>
      <c r="AA14" s="2" t="str">
        <f>IF(R14=0,"Not Opened",IF(R14&gt;=Assumptions!$B$3,"High Frequency","Low Frequency")&amp;" / "&amp;IF(X14&gt;=Assumptions!$B$4,"High Contribution","Low Contribution"))</f>
        <v>Low Frequency / Low Contribution</v>
      </c>
    </row>
    <row r="15" spans="1:27">
      <c r="A15" s="2" t="s">
        <v>37</v>
      </c>
      <c r="B15" s="2" t="s">
        <v>230</v>
      </c>
      <c r="C15" s="2" t="s">
        <v>218</v>
      </c>
      <c r="D15" s="2">
        <v>3</v>
      </c>
      <c r="E15" s="2">
        <v>7</v>
      </c>
      <c r="F15" s="2">
        <v>109</v>
      </c>
      <c r="G15" s="2">
        <f>E15*F15</f>
        <v>763</v>
      </c>
      <c r="H15" s="2">
        <v>200</v>
      </c>
      <c r="I15" s="2" t="s">
        <v>21</v>
      </c>
      <c r="J15" s="2">
        <f>G15-H15</f>
        <v>563</v>
      </c>
      <c r="K15" s="2">
        <v>7.7</v>
      </c>
      <c r="L15" s="2">
        <v>2500</v>
      </c>
      <c r="M15" s="2">
        <v>3000</v>
      </c>
      <c r="N15" s="2">
        <v>3500</v>
      </c>
      <c r="O15" s="2">
        <f>ROUND(L15/Assumptions!$B$2,0)</f>
        <v>347</v>
      </c>
      <c r="P15" s="2">
        <f>ROUND(M15/Assumptions!$B$2,0)</f>
        <v>417</v>
      </c>
      <c r="Q15" s="2">
        <f>ROUND(N15/Assumptions!$B$2,0)</f>
        <v>486</v>
      </c>
      <c r="R15" s="2">
        <f>COUNTIF('Raw Data'!$B$2:$B$417,A15)</f>
        <v>2</v>
      </c>
      <c r="S15" s="8">
        <f>SUMIF('Raw Data'!$B$2:$B$417,A15,'Raw Data'!$L$2:$L$417)</f>
        <v>1126.0</v>
      </c>
      <c r="T15" s="8">
        <f>S15-O15</f>
        <v>779.0</v>
      </c>
      <c r="U15" s="8">
        <f>S15-P15</f>
        <v>709.0</v>
      </c>
      <c r="V15" s="8">
        <f>S15-Q15</f>
        <v>640.0</v>
      </c>
      <c r="W15" s="2" t="str">
        <f>IF(R15=0,"Not Opened",IF(V15&gt;=0,"Recovered - All Scenarios",IF(U15&gt;=0,"Recovered - Low &amp; Base",IF(T15&gt;=0,"Recovered - Low Only","Not Recovered"))))</f>
        <v>Recovered - All Scenarios</v>
      </c>
      <c r="X15" s="8">
        <f>IF(R15=0,0,S15/R15)</f>
        <v>563.0</v>
      </c>
      <c r="Y15" s="2">
        <f>R15</f>
        <v>2</v>
      </c>
      <c r="Z15" s="8">
        <f>IF(R15=0,"",S15/R15)</f>
        <v>563.0</v>
      </c>
      <c r="AA15" s="2" t="str">
        <f>IF(R15=0,"Not Opened",IF(R15&gt;=Assumptions!$B$3,"High Frequency","Low Frequency")&amp;" / "&amp;IF(X15&gt;=Assumptions!$B$4,"High Contribution","Low Contribution"))</f>
        <v>High Frequency / High Contribution</v>
      </c>
    </row>
    <row r="16" spans="1:27">
      <c r="A16" s="2" t="s">
        <v>38</v>
      </c>
      <c r="B16" s="2" t="s">
        <v>231</v>
      </c>
      <c r="C16" s="2" t="s">
        <v>214</v>
      </c>
      <c r="D16" s="2">
        <v>2</v>
      </c>
      <c r="E16" s="2">
        <v>8</v>
      </c>
      <c r="F16" s="2">
        <v>95</v>
      </c>
      <c r="G16" s="2">
        <f>E16*F16</f>
        <v>760</v>
      </c>
      <c r="H16" s="2">
        <v>200</v>
      </c>
      <c r="I16" s="2" t="s">
        <v>20</v>
      </c>
      <c r="J16" s="2">
        <f>G16-H16</f>
        <v>560</v>
      </c>
      <c r="K16" s="2">
        <v>8.4</v>
      </c>
      <c r="L16" s="2">
        <v>1500</v>
      </c>
      <c r="M16" s="2">
        <v>2000</v>
      </c>
      <c r="N16" s="2">
        <v>2500</v>
      </c>
      <c r="O16" s="2">
        <f>ROUND(L16/Assumptions!$B$2,0)</f>
        <v>208</v>
      </c>
      <c r="P16" s="2">
        <f>ROUND(M16/Assumptions!$B$2,0)</f>
        <v>278</v>
      </c>
      <c r="Q16" s="2">
        <f>ROUND(N16/Assumptions!$B$2,0)</f>
        <v>347</v>
      </c>
      <c r="R16" s="2">
        <f>COUNTIF('Raw Data'!$B$2:$B$417,A16)</f>
        <v>7</v>
      </c>
      <c r="S16" s="8">
        <f>SUMIF('Raw Data'!$B$2:$B$417,A16,'Raw Data'!$L$2:$L$417)</f>
        <v>3920.0</v>
      </c>
      <c r="T16" s="8">
        <f>S16-O16</f>
        <v>3712.0</v>
      </c>
      <c r="U16" s="8">
        <f>S16-P16</f>
        <v>3642.0</v>
      </c>
      <c r="V16" s="8">
        <f>S16-Q16</f>
        <v>3573.0</v>
      </c>
      <c r="W16" s="2" t="str">
        <f>IF(R16=0,"Not Opened",IF(V16&gt;=0,"Recovered - All Scenarios",IF(U16&gt;=0,"Recovered - Low &amp; Base",IF(T16&gt;=0,"Recovered - Low Only","Not Recovered"))))</f>
        <v>Recovered - All Scenarios</v>
      </c>
      <c r="X16" s="8">
        <f>IF(R16=0,0,S16/R16)</f>
        <v>560.0</v>
      </c>
      <c r="Y16" s="2">
        <f>R16</f>
        <v>7</v>
      </c>
      <c r="Z16" s="8">
        <f>IF(R16=0,"",S16/R16)</f>
        <v>560.0</v>
      </c>
      <c r="AA16" s="2" t="str">
        <f>IF(R16=0,"Not Opened",IF(R16&gt;=Assumptions!$B$3,"High Frequency","Low Frequency")&amp;" / "&amp;IF(X16&gt;=Assumptions!$B$4,"High Contribution","Low Contribution"))</f>
        <v>High Frequency / High Contribution</v>
      </c>
    </row>
    <row r="17" spans="1:27">
      <c r="A17" s="2" t="s">
        <v>40</v>
      </c>
      <c r="B17" s="2" t="s">
        <v>232</v>
      </c>
      <c r="C17" s="2" t="s">
        <v>212</v>
      </c>
      <c r="D17" s="2">
        <v>2</v>
      </c>
      <c r="E17" s="2">
        <v>6</v>
      </c>
      <c r="F17" s="2">
        <v>138</v>
      </c>
      <c r="G17" s="2">
        <f>E17*F17</f>
        <v>828</v>
      </c>
      <c r="H17" s="2">
        <v>180</v>
      </c>
      <c r="I17" s="2" t="s">
        <v>22</v>
      </c>
      <c r="J17" s="2">
        <f>G17-H17</f>
        <v>648</v>
      </c>
      <c r="K17" s="2">
        <v>7</v>
      </c>
      <c r="L17" s="2">
        <v>0</v>
      </c>
      <c r="M17" s="2">
        <v>750</v>
      </c>
      <c r="N17" s="2">
        <v>1000</v>
      </c>
      <c r="O17" s="2">
        <f>ROUND(L17/Assumptions!$B$2,0)</f>
        <v>0</v>
      </c>
      <c r="P17" s="2">
        <f>ROUND(M17/Assumptions!$B$2,0)</f>
        <v>104</v>
      </c>
      <c r="Q17" s="2">
        <f>ROUND(N17/Assumptions!$B$2,0)</f>
        <v>139</v>
      </c>
      <c r="R17" s="2">
        <f>COUNTIF('Raw Data'!$B$2:$B$417,A17)</f>
        <v>1</v>
      </c>
      <c r="S17" s="8">
        <f>SUMIF('Raw Data'!$B$2:$B$417,A17,'Raw Data'!$L$2:$L$417)</f>
        <v>648.0</v>
      </c>
      <c r="T17" s="8">
        <f>S17-O17</f>
        <v>648.0</v>
      </c>
      <c r="U17" s="8">
        <f>S17-P17</f>
        <v>544.0</v>
      </c>
      <c r="V17" s="8">
        <f>S17-Q17</f>
        <v>509.0</v>
      </c>
      <c r="W17" s="2" t="str">
        <f>IF(R17=0,"Not Opened",IF(V17&gt;=0,"Recovered - All Scenarios",IF(U17&gt;=0,"Recovered - Low &amp; Base",IF(T17&gt;=0,"Recovered - Low Only","Not Recovered"))))</f>
        <v>Recovered - All Scenarios</v>
      </c>
      <c r="X17" s="8">
        <f>IF(R17=0,0,S17/R17)</f>
        <v>648.0</v>
      </c>
      <c r="Y17" s="2">
        <f>R17</f>
        <v>1</v>
      </c>
      <c r="Z17" s="8">
        <f>IF(R17=0,"",S17/R17)</f>
        <v>648.0</v>
      </c>
      <c r="AA17" s="2" t="str">
        <f>IF(R17=0,"Not Opened",IF(R17&gt;=Assumptions!$B$3,"High Frequency","Low Frequency")&amp;" / "&amp;IF(X17&gt;=Assumptions!$B$4,"High Contribution","Low Contribution"))</f>
        <v>Low Frequency / High Contribution</v>
      </c>
    </row>
    <row r="18" spans="1:27">
      <c r="A18" s="2" t="s">
        <v>42</v>
      </c>
      <c r="B18" s="2" t="s">
        <v>233</v>
      </c>
      <c r="C18" s="2" t="s">
        <v>223</v>
      </c>
      <c r="D18" s="2">
        <v>1</v>
      </c>
      <c r="E18" s="2">
        <v>6</v>
      </c>
      <c r="F18" s="2">
        <v>109</v>
      </c>
      <c r="G18" s="2">
        <f>E18*F18</f>
        <v>654</v>
      </c>
      <c r="H18" s="2">
        <v>172</v>
      </c>
      <c r="I18" s="2" t="s">
        <v>20</v>
      </c>
      <c r="J18" s="2">
        <f>G18-H18</f>
        <v>482</v>
      </c>
      <c r="K18" s="2">
        <v>7.7</v>
      </c>
      <c r="L18" s="2">
        <v>1500</v>
      </c>
      <c r="M18" s="2">
        <v>2000</v>
      </c>
      <c r="N18" s="2">
        <v>2500</v>
      </c>
      <c r="O18" s="2">
        <f>ROUND(L18/Assumptions!$B$2,0)</f>
        <v>208</v>
      </c>
      <c r="P18" s="2">
        <f>ROUND(M18/Assumptions!$B$2,0)</f>
        <v>278</v>
      </c>
      <c r="Q18" s="2">
        <f>ROUND(N18/Assumptions!$B$2,0)</f>
        <v>347</v>
      </c>
      <c r="R18" s="2">
        <f>COUNTIF('Raw Data'!$B$2:$B$417,A18)</f>
        <v>3</v>
      </c>
      <c r="S18" s="8">
        <f>SUMIF('Raw Data'!$B$2:$B$417,A18,'Raw Data'!$L$2:$L$417)</f>
        <v>1446.0</v>
      </c>
      <c r="T18" s="8">
        <f>S18-O18</f>
        <v>1238.0</v>
      </c>
      <c r="U18" s="8">
        <f>S18-P18</f>
        <v>1168.0</v>
      </c>
      <c r="V18" s="8">
        <f>S18-Q18</f>
        <v>1099.0</v>
      </c>
      <c r="W18" s="2" t="str">
        <f>IF(R18=0,"Not Opened",IF(V18&gt;=0,"Recovered - All Scenarios",IF(U18&gt;=0,"Recovered - Low &amp; Base",IF(T18&gt;=0,"Recovered - Low Only","Not Recovered"))))</f>
        <v>Recovered - All Scenarios</v>
      </c>
      <c r="X18" s="8">
        <f>IF(R18=0,0,S18/R18)</f>
        <v>482.0</v>
      </c>
      <c r="Y18" s="2">
        <f>R18</f>
        <v>3</v>
      </c>
      <c r="Z18" s="8">
        <f>IF(R18=0,"",S18/R18)</f>
        <v>482.0</v>
      </c>
      <c r="AA18" s="2" t="str">
        <f>IF(R18=0,"Not Opened",IF(R18&gt;=Assumptions!$B$3,"High Frequency","Low Frequency")&amp;" / "&amp;IF(X18&gt;=Assumptions!$B$4,"High Contribution","Low Contribution"))</f>
        <v>High Frequency / Low Contribution</v>
      </c>
    </row>
    <row r="19" spans="1:27">
      <c r="A19" s="2" t="s">
        <v>44</v>
      </c>
      <c r="B19" s="2" t="s">
        <v>234</v>
      </c>
      <c r="C19" s="2" t="s">
        <v>214</v>
      </c>
      <c r="D19" s="2">
        <v>1</v>
      </c>
      <c r="E19" s="2">
        <v>6</v>
      </c>
      <c r="F19" s="2">
        <v>75</v>
      </c>
      <c r="G19" s="2">
        <f>E19*F19</f>
        <v>450</v>
      </c>
      <c r="H19" s="2">
        <v>118</v>
      </c>
      <c r="I19" s="2" t="s">
        <v>22</v>
      </c>
      <c r="J19" s="2">
        <f>G19-H19</f>
        <v>332</v>
      </c>
      <c r="K19" s="2">
        <v>8.4</v>
      </c>
      <c r="L19" s="2">
        <v>0</v>
      </c>
      <c r="M19" s="2">
        <v>750</v>
      </c>
      <c r="N19" s="2">
        <v>1000</v>
      </c>
      <c r="O19" s="2">
        <f>ROUND(L19/Assumptions!$B$2,0)</f>
        <v>0</v>
      </c>
      <c r="P19" s="2">
        <f>ROUND(M19/Assumptions!$B$2,0)</f>
        <v>104</v>
      </c>
      <c r="Q19" s="2">
        <f>ROUND(N19/Assumptions!$B$2,0)</f>
        <v>139</v>
      </c>
      <c r="R19" s="2">
        <f>COUNTIF('Raw Data'!$B$2:$B$417,A19)</f>
        <v>10</v>
      </c>
      <c r="S19" s="8">
        <f>SUMIF('Raw Data'!$B$2:$B$417,A19,'Raw Data'!$L$2:$L$417)</f>
        <v>3320.0</v>
      </c>
      <c r="T19" s="8">
        <f>S19-O19</f>
        <v>3320.0</v>
      </c>
      <c r="U19" s="8">
        <f>S19-P19</f>
        <v>3216.0</v>
      </c>
      <c r="V19" s="8">
        <f>S19-Q19</f>
        <v>3181.0</v>
      </c>
      <c r="W19" s="2" t="str">
        <f>IF(R19=0,"Not Opened",IF(V19&gt;=0,"Recovered - All Scenarios",IF(U19&gt;=0,"Recovered - Low &amp; Base",IF(T19&gt;=0,"Recovered - Low Only","Not Recovered"))))</f>
        <v>Recovered - All Scenarios</v>
      </c>
      <c r="X19" s="8">
        <f>IF(R19=0,0,S19/R19)</f>
        <v>332.0</v>
      </c>
      <c r="Y19" s="2">
        <f>R19</f>
        <v>10</v>
      </c>
      <c r="Z19" s="8">
        <f>IF(R19=0,"",S19/R19)</f>
        <v>332.0</v>
      </c>
      <c r="AA19" s="2" t="str">
        <f>IF(R19=0,"Not Opened",IF(R19&gt;=Assumptions!$B$3,"High Frequency","Low Frequency")&amp;" / "&amp;IF(X19&gt;=Assumptions!$B$4,"High Contribution","Low Contribution"))</f>
        <v>High Frequency / Low Contribution</v>
      </c>
    </row>
    <row r="20" spans="1:27">
      <c r="A20" s="2" t="s">
        <v>46</v>
      </c>
      <c r="B20" s="2" t="s">
        <v>235</v>
      </c>
      <c r="C20" s="2" t="s">
        <v>218</v>
      </c>
      <c r="D20" s="2">
        <v>3</v>
      </c>
      <c r="E20" s="2">
        <v>7</v>
      </c>
      <c r="F20" s="2">
        <v>118</v>
      </c>
      <c r="G20" s="2">
        <f>E20*F20</f>
        <v>826</v>
      </c>
      <c r="H20" s="2">
        <v>217</v>
      </c>
      <c r="I20" s="2" t="s">
        <v>21</v>
      </c>
      <c r="J20" s="2">
        <f>G20-H20</f>
        <v>609</v>
      </c>
      <c r="K20" s="2">
        <v>7</v>
      </c>
      <c r="L20" s="2">
        <v>2500</v>
      </c>
      <c r="M20" s="2">
        <v>3000</v>
      </c>
      <c r="N20" s="2">
        <v>3500</v>
      </c>
      <c r="O20" s="2">
        <f>ROUND(L20/Assumptions!$B$2,0)</f>
        <v>347</v>
      </c>
      <c r="P20" s="2">
        <f>ROUND(M20/Assumptions!$B$2,0)</f>
        <v>417</v>
      </c>
      <c r="Q20" s="2">
        <f>ROUND(N20/Assumptions!$B$2,0)</f>
        <v>486</v>
      </c>
      <c r="R20" s="2">
        <f>COUNTIF('Raw Data'!$B$2:$B$417,A20)</f>
        <v>1</v>
      </c>
      <c r="S20" s="8">
        <f>SUMIF('Raw Data'!$B$2:$B$417,A20,'Raw Data'!$L$2:$L$417)</f>
        <v>609.0</v>
      </c>
      <c r="T20" s="8">
        <f>S20-O20</f>
        <v>262.0</v>
      </c>
      <c r="U20" s="8">
        <f>S20-P20</f>
        <v>192.0</v>
      </c>
      <c r="V20" s="8">
        <f>S20-Q20</f>
        <v>123.0</v>
      </c>
      <c r="W20" s="2" t="str">
        <f>IF(R20=0,"Not Opened",IF(V20&gt;=0,"Recovered - All Scenarios",IF(U20&gt;=0,"Recovered - Low &amp; Base",IF(T20&gt;=0,"Recovered - Low Only","Not Recovered"))))</f>
        <v>Recovered - All Scenarios</v>
      </c>
      <c r="X20" s="8">
        <f>IF(R20=0,0,S20/R20)</f>
        <v>609.0</v>
      </c>
      <c r="Y20" s="2">
        <f>R20</f>
        <v>1</v>
      </c>
      <c r="Z20" s="8">
        <f>IF(R20=0,"",S20/R20)</f>
        <v>609.0</v>
      </c>
      <c r="AA20" s="2" t="str">
        <f>IF(R20=0,"Not Opened",IF(R20&gt;=Assumptions!$B$3,"High Frequency","Low Frequency")&amp;" / "&amp;IF(X20&gt;=Assumptions!$B$4,"High Contribution","Low Contribution"))</f>
        <v>Low Frequency / High Contribution</v>
      </c>
    </row>
    <row r="21" spans="1:27">
      <c r="A21" s="2" t="s">
        <v>47</v>
      </c>
      <c r="B21" s="2" t="s">
        <v>236</v>
      </c>
      <c r="C21" s="2" t="s">
        <v>212</v>
      </c>
      <c r="D21" s="2">
        <v>6</v>
      </c>
      <c r="E21" s="2">
        <v>8</v>
      </c>
      <c r="F21" s="2">
        <v>138</v>
      </c>
      <c r="G21" s="2">
        <f>E21*F21</f>
        <v>1104</v>
      </c>
      <c r="H21" s="2">
        <v>540</v>
      </c>
      <c r="I21" s="2" t="s">
        <v>22</v>
      </c>
      <c r="J21" s="2">
        <f>G21-H21</f>
        <v>564</v>
      </c>
      <c r="K21" s="2">
        <v>7.7</v>
      </c>
      <c r="L21" s="2">
        <v>0</v>
      </c>
      <c r="M21" s="2">
        <v>750</v>
      </c>
      <c r="N21" s="2">
        <v>1000</v>
      </c>
      <c r="O21" s="2">
        <f>ROUND(L21/Assumptions!$B$2,0)</f>
        <v>0</v>
      </c>
      <c r="P21" s="2">
        <f>ROUND(M21/Assumptions!$B$2,0)</f>
        <v>104</v>
      </c>
      <c r="Q21" s="2">
        <f>ROUND(N21/Assumptions!$B$2,0)</f>
        <v>139</v>
      </c>
      <c r="R21" s="2">
        <f>COUNTIF('Raw Data'!$B$2:$B$417,A21)</f>
        <v>3</v>
      </c>
      <c r="S21" s="8">
        <f>SUMIF('Raw Data'!$B$2:$B$417,A21,'Raw Data'!$L$2:$L$417)</f>
        <v>1692.0</v>
      </c>
      <c r="T21" s="8">
        <f>S21-O21</f>
        <v>1692.0</v>
      </c>
      <c r="U21" s="8">
        <f>S21-P21</f>
        <v>1588.0</v>
      </c>
      <c r="V21" s="8">
        <f>S21-Q21</f>
        <v>1553.0</v>
      </c>
      <c r="W21" s="2" t="str">
        <f>IF(R21=0,"Not Opened",IF(V21&gt;=0,"Recovered - All Scenarios",IF(U21&gt;=0,"Recovered - Low &amp; Base",IF(T21&gt;=0,"Recovered - Low Only","Not Recovered"))))</f>
        <v>Recovered - All Scenarios</v>
      </c>
      <c r="X21" s="8">
        <f>IF(R21=0,0,S21/R21)</f>
        <v>564.0</v>
      </c>
      <c r="Y21" s="2">
        <f>R21</f>
        <v>3</v>
      </c>
      <c r="Z21" s="8">
        <f>IF(R21=0,"",S21/R21)</f>
        <v>564.0</v>
      </c>
      <c r="AA21" s="2" t="str">
        <f>IF(R21=0,"Not Opened",IF(R21&gt;=Assumptions!$B$3,"High Frequency","Low Frequency")&amp;" / "&amp;IF(X21&gt;=Assumptions!$B$4,"High Contribution","Low Contribution"))</f>
        <v>High Frequency / High Contribution</v>
      </c>
    </row>
    <row r="22" spans="1:27">
      <c r="A22" s="2" t="s">
        <v>237</v>
      </c>
      <c r="B22" s="2" t="s">
        <v>238</v>
      </c>
      <c r="C22" s="2" t="s">
        <v>212</v>
      </c>
      <c r="D22" s="2">
        <v>2</v>
      </c>
      <c r="E22" s="2">
        <v>6</v>
      </c>
      <c r="F22" s="2">
        <v>99</v>
      </c>
      <c r="G22" s="2">
        <f>E22*F22</f>
        <v>594</v>
      </c>
      <c r="H22" s="2">
        <v>180</v>
      </c>
      <c r="I22" s="2" t="s">
        <v>22</v>
      </c>
      <c r="J22" s="2">
        <f>G22-H22</f>
        <v>414</v>
      </c>
      <c r="K22" s="2">
        <v>8.4</v>
      </c>
      <c r="L22" s="2">
        <v>0</v>
      </c>
      <c r="M22" s="2">
        <v>750</v>
      </c>
      <c r="N22" s="2">
        <v>1000</v>
      </c>
      <c r="O22" s="2">
        <f>ROUND(L22/Assumptions!$B$2,0)</f>
        <v>0</v>
      </c>
      <c r="P22" s="2">
        <f>ROUND(M22/Assumptions!$B$2,0)</f>
        <v>104</v>
      </c>
      <c r="Q22" s="2">
        <f>ROUND(N22/Assumptions!$B$2,0)</f>
        <v>139</v>
      </c>
      <c r="R22" s="2">
        <f>COUNTIF('Raw Data'!$B$2:$B$417,A22)</f>
        <v>0</v>
      </c>
      <c r="S22" s="8">
        <f>SUMIF('Raw Data'!$B$2:$B$417,A22,'Raw Data'!$L$2:$L$417)</f>
        <v>0.0</v>
      </c>
      <c r="T22" s="8">
        <f>S22-O22</f>
        <v>0.0</v>
      </c>
      <c r="U22" s="8">
        <f>S22-P22</f>
        <v>-104.0</v>
      </c>
      <c r="V22" s="8">
        <f>S22-Q22</f>
        <v>-139.0</v>
      </c>
      <c r="W22" s="2" t="str">
        <f>IF(R22=0,"Not Opened",IF(V22&gt;=0,"Recovered - All Scenarios",IF(U22&gt;=0,"Recovered - Low &amp; Base",IF(T22&gt;=0,"Recovered - Low Only","Not Recovered"))))</f>
        <v>Not Opened</v>
      </c>
      <c r="X22" s="2">
        <f>IF(R22=0,0,S22/R22)</f>
        <v>0</v>
      </c>
      <c r="Y22" s="2">
        <f>R22</f>
        <v>0</v>
      </c>
      <c r="Z22" s="2">
        <f>IF(R22=0,"",S22/R22)</f>
        <v/>
      </c>
      <c r="AA22" s="2" t="str">
        <f>IF(R22=0,"Not Opened",IF(R22&gt;=Assumptions!$B$3,"High Frequency","Low Frequency")&amp;" / "&amp;IF(X22&gt;=Assumptions!$B$4,"High Contribution","Low Contribution"))</f>
        <v>Not Opened</v>
      </c>
    </row>
    <row r="23" spans="1:27">
      <c r="A23" s="2" t="s">
        <v>49</v>
      </c>
      <c r="B23" s="2" t="s">
        <v>239</v>
      </c>
      <c r="C23" s="2" t="s">
        <v>214</v>
      </c>
      <c r="D23" s="2">
        <v>1</v>
      </c>
      <c r="E23" s="2">
        <v>6</v>
      </c>
      <c r="F23" s="2">
        <v>75</v>
      </c>
      <c r="G23" s="2">
        <f>E23*F23</f>
        <v>450</v>
      </c>
      <c r="H23" s="2">
        <v>118</v>
      </c>
      <c r="I23" s="2" t="s">
        <v>20</v>
      </c>
      <c r="J23" s="2">
        <f>G23-H23</f>
        <v>332</v>
      </c>
      <c r="K23" s="2">
        <v>7</v>
      </c>
      <c r="L23" s="2">
        <v>1500</v>
      </c>
      <c r="M23" s="2">
        <v>2000</v>
      </c>
      <c r="N23" s="2">
        <v>2500</v>
      </c>
      <c r="O23" s="2">
        <f>ROUND(L23/Assumptions!$B$2,0)</f>
        <v>208</v>
      </c>
      <c r="P23" s="2">
        <f>ROUND(M23/Assumptions!$B$2,0)</f>
        <v>278</v>
      </c>
      <c r="Q23" s="2">
        <f>ROUND(N23/Assumptions!$B$2,0)</f>
        <v>347</v>
      </c>
      <c r="R23" s="2">
        <f>COUNTIF('Raw Data'!$B$2:$B$417,A23)</f>
        <v>1</v>
      </c>
      <c r="S23" s="8">
        <f>SUMIF('Raw Data'!$B$2:$B$417,A23,'Raw Data'!$L$2:$L$417)</f>
        <v>332.0</v>
      </c>
      <c r="T23" s="8">
        <f>S23-O23</f>
        <v>124.0</v>
      </c>
      <c r="U23" s="8">
        <f>S23-P23</f>
        <v>54.0</v>
      </c>
      <c r="V23" s="8">
        <f>S23-Q23</f>
        <v>-15.0</v>
      </c>
      <c r="W23" s="2" t="str">
        <f>IF(R23=0,"Not Opened",IF(V23&gt;=0,"Recovered - All Scenarios",IF(U23&gt;=0,"Recovered - Low &amp; Base",IF(T23&gt;=0,"Recovered - Low Only","Not Recovered"))))</f>
        <v>Recovered - Low &amp; Base</v>
      </c>
      <c r="X23" s="8">
        <f>IF(R23=0,0,S23/R23)</f>
        <v>332.0</v>
      </c>
      <c r="Y23" s="2">
        <f>R23</f>
        <v>1</v>
      </c>
      <c r="Z23" s="8">
        <f>IF(R23=0,"",S23/R23)</f>
        <v>332.0</v>
      </c>
      <c r="AA23" s="2" t="str">
        <f>IF(R23=0,"Not Opened",IF(R23&gt;=Assumptions!$B$3,"High Frequency","Low Frequency")&amp;" / "&amp;IF(X23&gt;=Assumptions!$B$4,"High Contribution","Low Contribution"))</f>
        <v>Low Frequency / Low Contribution</v>
      </c>
    </row>
    <row r="24" spans="1:27">
      <c r="A24" s="2" t="s">
        <v>50</v>
      </c>
      <c r="B24" s="2" t="s">
        <v>240</v>
      </c>
      <c r="C24" s="2" t="s">
        <v>212</v>
      </c>
      <c r="D24" s="2">
        <v>3</v>
      </c>
      <c r="E24" s="2">
        <v>6</v>
      </c>
      <c r="F24" s="2">
        <v>118</v>
      </c>
      <c r="G24" s="2">
        <f>E24*F24</f>
        <v>708</v>
      </c>
      <c r="H24" s="2">
        <v>270</v>
      </c>
      <c r="I24" s="2" t="s">
        <v>22</v>
      </c>
      <c r="J24" s="2">
        <f>G24-H24</f>
        <v>438</v>
      </c>
      <c r="K24" s="2">
        <v>7.7</v>
      </c>
      <c r="L24" s="2">
        <v>0</v>
      </c>
      <c r="M24" s="2">
        <v>750</v>
      </c>
      <c r="N24" s="2">
        <v>1000</v>
      </c>
      <c r="O24" s="2">
        <f>ROUND(L24/Assumptions!$B$2,0)</f>
        <v>0</v>
      </c>
      <c r="P24" s="2">
        <f>ROUND(M24/Assumptions!$B$2,0)</f>
        <v>104</v>
      </c>
      <c r="Q24" s="2">
        <f>ROUND(N24/Assumptions!$B$2,0)</f>
        <v>139</v>
      </c>
      <c r="R24" s="2">
        <f>COUNTIF('Raw Data'!$B$2:$B$417,A24)</f>
        <v>3</v>
      </c>
      <c r="S24" s="8">
        <f>SUMIF('Raw Data'!$B$2:$B$417,A24,'Raw Data'!$L$2:$L$417)</f>
        <v>1314.0</v>
      </c>
      <c r="T24" s="8">
        <f>S24-O24</f>
        <v>1314.0</v>
      </c>
      <c r="U24" s="8">
        <f>S24-P24</f>
        <v>1210.0</v>
      </c>
      <c r="V24" s="8">
        <f>S24-Q24</f>
        <v>1175.0</v>
      </c>
      <c r="W24" s="2" t="str">
        <f>IF(R24=0,"Not Opened",IF(V24&gt;=0,"Recovered - All Scenarios",IF(U24&gt;=0,"Recovered - Low &amp; Base",IF(T24&gt;=0,"Recovered - Low Only","Not Recovered"))))</f>
        <v>Recovered - All Scenarios</v>
      </c>
      <c r="X24" s="8">
        <f>IF(R24=0,0,S24/R24)</f>
        <v>438.0</v>
      </c>
      <c r="Y24" s="2">
        <f>R24</f>
        <v>3</v>
      </c>
      <c r="Z24" s="8">
        <f>IF(R24=0,"",S24/R24)</f>
        <v>438.0</v>
      </c>
      <c r="AA24" s="2" t="str">
        <f>IF(R24=0,"Not Opened",IF(R24&gt;=Assumptions!$B$3,"High Frequency","Low Frequency")&amp;" / "&amp;IF(X24&gt;=Assumptions!$B$4,"High Contribution","Low Contribution"))</f>
        <v>High Frequency / Low Contribution</v>
      </c>
    </row>
    <row r="25" spans="1:27">
      <c r="A25" s="2" t="s">
        <v>241</v>
      </c>
      <c r="B25" s="2" t="s">
        <v>242</v>
      </c>
      <c r="C25" s="2" t="s">
        <v>218</v>
      </c>
      <c r="D25" s="2">
        <v>3</v>
      </c>
      <c r="E25" s="2">
        <v>7</v>
      </c>
      <c r="F25" s="2">
        <v>129</v>
      </c>
      <c r="G25" s="2">
        <f>E25*F25</f>
        <v>903</v>
      </c>
      <c r="H25" s="2">
        <v>237</v>
      </c>
      <c r="I25" s="2" t="s">
        <v>21</v>
      </c>
      <c r="J25" s="2">
        <f>G25-H25</f>
        <v>666</v>
      </c>
      <c r="K25" s="2">
        <v>8.4</v>
      </c>
      <c r="L25" s="2">
        <v>2500</v>
      </c>
      <c r="M25" s="2">
        <v>3000</v>
      </c>
      <c r="N25" s="2">
        <v>3500</v>
      </c>
      <c r="O25" s="2">
        <f>ROUND(L25/Assumptions!$B$2,0)</f>
        <v>347</v>
      </c>
      <c r="P25" s="2">
        <f>ROUND(M25/Assumptions!$B$2,0)</f>
        <v>417</v>
      </c>
      <c r="Q25" s="2">
        <f>ROUND(N25/Assumptions!$B$2,0)</f>
        <v>486</v>
      </c>
      <c r="R25" s="2">
        <f>COUNTIF('Raw Data'!$B$2:$B$417,A25)</f>
        <v>0</v>
      </c>
      <c r="S25" s="8">
        <f>SUMIF('Raw Data'!$B$2:$B$417,A25,'Raw Data'!$L$2:$L$417)</f>
        <v>0.0</v>
      </c>
      <c r="T25" s="8">
        <f>S25-O25</f>
        <v>-347.0</v>
      </c>
      <c r="U25" s="8">
        <f>S25-P25</f>
        <v>-417.0</v>
      </c>
      <c r="V25" s="8">
        <f>S25-Q25</f>
        <v>-486.0</v>
      </c>
      <c r="W25" s="2" t="str">
        <f>IF(R25=0,"Not Opened",IF(V25&gt;=0,"Recovered - All Scenarios",IF(U25&gt;=0,"Recovered - Low &amp; Base",IF(T25&gt;=0,"Recovered - Low Only","Not Recovered"))))</f>
        <v>Not Opened</v>
      </c>
      <c r="X25" s="2">
        <f>IF(R25=0,0,S25/R25)</f>
        <v>0</v>
      </c>
      <c r="Y25" s="2">
        <f>R25</f>
        <v>0</v>
      </c>
      <c r="Z25" s="2">
        <f>IF(R25=0,"",S25/R25)</f>
        <v/>
      </c>
      <c r="AA25" s="2" t="str">
        <f>IF(R25=0,"Not Opened",IF(R25&gt;=Assumptions!$B$3,"High Frequency","Low Frequency")&amp;" / "&amp;IF(X25&gt;=Assumptions!$B$4,"High Contribution","Low Contribution"))</f>
        <v>Not Opened</v>
      </c>
    </row>
    <row r="26" spans="1:27">
      <c r="A26" s="2" t="s">
        <v>51</v>
      </c>
      <c r="B26" s="2" t="s">
        <v>243</v>
      </c>
      <c r="C26" s="2" t="s">
        <v>214</v>
      </c>
      <c r="D26" s="2">
        <v>2</v>
      </c>
      <c r="E26" s="2">
        <v>8</v>
      </c>
      <c r="F26" s="2">
        <v>65</v>
      </c>
      <c r="G26" s="2">
        <f>E26*F26</f>
        <v>520</v>
      </c>
      <c r="H26" s="2">
        <v>137</v>
      </c>
      <c r="I26" s="2" t="s">
        <v>20</v>
      </c>
      <c r="J26" s="2">
        <f>G26-H26</f>
        <v>383</v>
      </c>
      <c r="K26" s="2">
        <v>7</v>
      </c>
      <c r="L26" s="2">
        <v>1500</v>
      </c>
      <c r="M26" s="2">
        <v>2000</v>
      </c>
      <c r="N26" s="2">
        <v>2500</v>
      </c>
      <c r="O26" s="2">
        <f>ROUND(L26/Assumptions!$B$2,0)</f>
        <v>208</v>
      </c>
      <c r="P26" s="2">
        <f>ROUND(M26/Assumptions!$B$2,0)</f>
        <v>278</v>
      </c>
      <c r="Q26" s="2">
        <f>ROUND(N26/Assumptions!$B$2,0)</f>
        <v>347</v>
      </c>
      <c r="R26" s="2">
        <f>COUNTIF('Raw Data'!$B$2:$B$417,A26)</f>
        <v>2</v>
      </c>
      <c r="S26" s="8">
        <f>SUMIF('Raw Data'!$B$2:$B$417,A26,'Raw Data'!$L$2:$L$417)</f>
        <v>766.0</v>
      </c>
      <c r="T26" s="8">
        <f>S26-O26</f>
        <v>558.0</v>
      </c>
      <c r="U26" s="8">
        <f>S26-P26</f>
        <v>488.0</v>
      </c>
      <c r="V26" s="8">
        <f>S26-Q26</f>
        <v>419.0</v>
      </c>
      <c r="W26" s="2" t="str">
        <f>IF(R26=0,"Not Opened",IF(V26&gt;=0,"Recovered - All Scenarios",IF(U26&gt;=0,"Recovered - Low &amp; Base",IF(T26&gt;=0,"Recovered - Low Only","Not Recovered"))))</f>
        <v>Recovered - All Scenarios</v>
      </c>
      <c r="X26" s="8">
        <f>IF(R26=0,0,S26/R26)</f>
        <v>383.0</v>
      </c>
      <c r="Y26" s="2">
        <f>R26</f>
        <v>2</v>
      </c>
      <c r="Z26" s="8">
        <f>IF(R26=0,"",S26/R26)</f>
        <v>383.0</v>
      </c>
      <c r="AA26" s="2" t="str">
        <f>IF(R26=0,"Not Opened",IF(R26&gt;=Assumptions!$B$3,"High Frequency","Low Frequency")&amp;" / "&amp;IF(X26&gt;=Assumptions!$B$4,"High Contribution","Low Contribution"))</f>
        <v>High Frequency / Low Contribution</v>
      </c>
    </row>
    <row r="27" spans="1:27">
      <c r="A27" s="2" t="s">
        <v>52</v>
      </c>
      <c r="B27" s="2" t="s">
        <v>244</v>
      </c>
      <c r="C27" s="2" t="s">
        <v>212</v>
      </c>
      <c r="D27" s="2">
        <v>2</v>
      </c>
      <c r="E27" s="2">
        <v>6</v>
      </c>
      <c r="F27" s="2">
        <v>109</v>
      </c>
      <c r="G27" s="2">
        <f>E27*F27</f>
        <v>654</v>
      </c>
      <c r="H27" s="2">
        <v>180</v>
      </c>
      <c r="I27" s="2" t="s">
        <v>22</v>
      </c>
      <c r="J27" s="2">
        <f>G27-H27</f>
        <v>474</v>
      </c>
      <c r="K27" s="2">
        <v>7.7</v>
      </c>
      <c r="L27" s="2">
        <v>0</v>
      </c>
      <c r="M27" s="2">
        <v>750</v>
      </c>
      <c r="N27" s="2">
        <v>1000</v>
      </c>
      <c r="O27" s="2">
        <f>ROUND(L27/Assumptions!$B$2,0)</f>
        <v>0</v>
      </c>
      <c r="P27" s="2">
        <f>ROUND(M27/Assumptions!$B$2,0)</f>
        <v>104</v>
      </c>
      <c r="Q27" s="2">
        <f>ROUND(N27/Assumptions!$B$2,0)</f>
        <v>139</v>
      </c>
      <c r="R27" s="2">
        <f>COUNTIF('Raw Data'!$B$2:$B$417,A27)</f>
        <v>4</v>
      </c>
      <c r="S27" s="8">
        <f>SUMIF('Raw Data'!$B$2:$B$417,A27,'Raw Data'!$L$2:$L$417)</f>
        <v>1896.0</v>
      </c>
      <c r="T27" s="8">
        <f>S27-O27</f>
        <v>1896.0</v>
      </c>
      <c r="U27" s="8">
        <f>S27-P27</f>
        <v>1792.0</v>
      </c>
      <c r="V27" s="8">
        <f>S27-Q27</f>
        <v>1757.0</v>
      </c>
      <c r="W27" s="2" t="str">
        <f>IF(R27=0,"Not Opened",IF(V27&gt;=0,"Recovered - All Scenarios",IF(U27&gt;=0,"Recovered - Low &amp; Base",IF(T27&gt;=0,"Recovered - Low Only","Not Recovered"))))</f>
        <v>Recovered - All Scenarios</v>
      </c>
      <c r="X27" s="8">
        <f>IF(R27=0,0,S27/R27)</f>
        <v>474.0</v>
      </c>
      <c r="Y27" s="2">
        <f>R27</f>
        <v>4</v>
      </c>
      <c r="Z27" s="8">
        <f>IF(R27=0,"",S27/R27)</f>
        <v>474.0</v>
      </c>
      <c r="AA27" s="2" t="str">
        <f>IF(R27=0,"Not Opened",IF(R27&gt;=Assumptions!$B$3,"High Frequency","Low Frequency")&amp;" / "&amp;IF(X27&gt;=Assumptions!$B$4,"High Contribution","Low Contribution"))</f>
        <v>High Frequency / Low Contribution</v>
      </c>
    </row>
    <row r="28" spans="1:27">
      <c r="A28" s="2" t="s">
        <v>245</v>
      </c>
      <c r="B28" s="2" t="s">
        <v>246</v>
      </c>
      <c r="C28" s="2" t="s">
        <v>223</v>
      </c>
      <c r="D28" s="2">
        <v>1</v>
      </c>
      <c r="E28" s="2">
        <v>6</v>
      </c>
      <c r="F28" s="2">
        <v>129</v>
      </c>
      <c r="G28" s="2">
        <f>E28*F28</f>
        <v>774</v>
      </c>
      <c r="H28" s="2">
        <v>203</v>
      </c>
      <c r="I28" s="2" t="s">
        <v>20</v>
      </c>
      <c r="J28" s="2">
        <f>G28-H28</f>
        <v>571</v>
      </c>
      <c r="K28" s="2">
        <v>8.4</v>
      </c>
      <c r="L28" s="2">
        <v>1500</v>
      </c>
      <c r="M28" s="2">
        <v>2000</v>
      </c>
      <c r="N28" s="2">
        <v>2500</v>
      </c>
      <c r="O28" s="2">
        <f>ROUND(L28/Assumptions!$B$2,0)</f>
        <v>208</v>
      </c>
      <c r="P28" s="2">
        <f>ROUND(M28/Assumptions!$B$2,0)</f>
        <v>278</v>
      </c>
      <c r="Q28" s="2">
        <f>ROUND(N28/Assumptions!$B$2,0)</f>
        <v>347</v>
      </c>
      <c r="R28" s="2">
        <f>COUNTIF('Raw Data'!$B$2:$B$417,A28)</f>
        <v>0</v>
      </c>
      <c r="S28" s="8">
        <f>SUMIF('Raw Data'!$B$2:$B$417,A28,'Raw Data'!$L$2:$L$417)</f>
        <v>0.0</v>
      </c>
      <c r="T28" s="8">
        <f>S28-O28</f>
        <v>-208.0</v>
      </c>
      <c r="U28" s="8">
        <f>S28-P28</f>
        <v>-278.0</v>
      </c>
      <c r="V28" s="8">
        <f>S28-Q28</f>
        <v>-347.0</v>
      </c>
      <c r="W28" s="2" t="str">
        <f>IF(R28=0,"Not Opened",IF(V28&gt;=0,"Recovered - All Scenarios",IF(U28&gt;=0,"Recovered - Low &amp; Base",IF(T28&gt;=0,"Recovered - Low Only","Not Recovered"))))</f>
        <v>Not Opened</v>
      </c>
      <c r="X28" s="2">
        <f>IF(R28=0,0,S28/R28)</f>
        <v>0</v>
      </c>
      <c r="Y28" s="2">
        <f>R28</f>
        <v>0</v>
      </c>
      <c r="Z28" s="2">
        <f>IF(R28=0,"",S28/R28)</f>
        <v/>
      </c>
      <c r="AA28" s="2" t="str">
        <f>IF(R28=0,"Not Opened",IF(R28&gt;=Assumptions!$B$3,"High Frequency","Low Frequency")&amp;" / "&amp;IF(X28&gt;=Assumptions!$B$4,"High Contribution","Low Contribution"))</f>
        <v>Not Opened</v>
      </c>
    </row>
    <row r="29" spans="1:27">
      <c r="A29" s="2" t="s">
        <v>53</v>
      </c>
      <c r="B29" s="2" t="s">
        <v>247</v>
      </c>
      <c r="C29" s="2" t="s">
        <v>214</v>
      </c>
      <c r="D29" s="2">
        <v>1</v>
      </c>
      <c r="E29" s="2">
        <v>6</v>
      </c>
      <c r="F29" s="2">
        <v>119</v>
      </c>
      <c r="G29" s="2">
        <f>E29*F29</f>
        <v>714</v>
      </c>
      <c r="H29" s="2">
        <v>187</v>
      </c>
      <c r="I29" s="2" t="s">
        <v>22</v>
      </c>
      <c r="J29" s="2">
        <f>G29-H29</f>
        <v>527</v>
      </c>
      <c r="K29" s="2">
        <v>7</v>
      </c>
      <c r="L29" s="2">
        <v>0</v>
      </c>
      <c r="M29" s="2">
        <v>750</v>
      </c>
      <c r="N29" s="2">
        <v>1000</v>
      </c>
      <c r="O29" s="2">
        <f>ROUND(L29/Assumptions!$B$2,0)</f>
        <v>0</v>
      </c>
      <c r="P29" s="2">
        <f>ROUND(M29/Assumptions!$B$2,0)</f>
        <v>104</v>
      </c>
      <c r="Q29" s="2">
        <f>ROUND(N29/Assumptions!$B$2,0)</f>
        <v>139</v>
      </c>
      <c r="R29" s="2">
        <f>COUNTIF('Raw Data'!$B$2:$B$417,A29)</f>
        <v>2</v>
      </c>
      <c r="S29" s="8">
        <f>SUMIF('Raw Data'!$B$2:$B$417,A29,'Raw Data'!$L$2:$L$417)</f>
        <v>1054.0</v>
      </c>
      <c r="T29" s="8">
        <f>S29-O29</f>
        <v>1054.0</v>
      </c>
      <c r="U29" s="8">
        <f>S29-P29</f>
        <v>950.0</v>
      </c>
      <c r="V29" s="8">
        <f>S29-Q29</f>
        <v>915.0</v>
      </c>
      <c r="W29" s="2" t="str">
        <f>IF(R29=0,"Not Opened",IF(V29&gt;=0,"Recovered - All Scenarios",IF(U29&gt;=0,"Recovered - Low &amp; Base",IF(T29&gt;=0,"Recovered - Low Only","Not Recovered"))))</f>
        <v>Recovered - All Scenarios</v>
      </c>
      <c r="X29" s="8">
        <f>IF(R29=0,0,S29/R29)</f>
        <v>527.0</v>
      </c>
      <c r="Y29" s="2">
        <f>R29</f>
        <v>2</v>
      </c>
      <c r="Z29" s="8">
        <f>IF(R29=0,"",S29/R29)</f>
        <v>527.0</v>
      </c>
      <c r="AA29" s="2" t="str">
        <f>IF(R29=0,"Not Opened",IF(R29&gt;=Assumptions!$B$3,"High Frequency","Low Frequency")&amp;" / "&amp;IF(X29&gt;=Assumptions!$B$4,"High Contribution","Low Contribution"))</f>
        <v>High Frequency / High Contribution</v>
      </c>
    </row>
    <row r="30" spans="1:27">
      <c r="A30" s="2" t="s">
        <v>54</v>
      </c>
      <c r="B30" s="2" t="s">
        <v>248</v>
      </c>
      <c r="C30" s="2" t="s">
        <v>218</v>
      </c>
      <c r="D30" s="2">
        <v>3</v>
      </c>
      <c r="E30" s="2">
        <v>7</v>
      </c>
      <c r="F30" s="2">
        <v>95</v>
      </c>
      <c r="G30" s="2">
        <f>E30*F30</f>
        <v>665</v>
      </c>
      <c r="H30" s="2">
        <v>175</v>
      </c>
      <c r="I30" s="2" t="s">
        <v>21</v>
      </c>
      <c r="J30" s="2">
        <f>G30-H30</f>
        <v>490</v>
      </c>
      <c r="K30" s="2">
        <v>7.7</v>
      </c>
      <c r="L30" s="2">
        <v>2500</v>
      </c>
      <c r="M30" s="2">
        <v>3000</v>
      </c>
      <c r="N30" s="2">
        <v>3500</v>
      </c>
      <c r="O30" s="2">
        <f>ROUND(L30/Assumptions!$B$2,0)</f>
        <v>347</v>
      </c>
      <c r="P30" s="2">
        <f>ROUND(M30/Assumptions!$B$2,0)</f>
        <v>417</v>
      </c>
      <c r="Q30" s="2">
        <f>ROUND(N30/Assumptions!$B$2,0)</f>
        <v>486</v>
      </c>
      <c r="R30" s="2">
        <f>COUNTIF('Raw Data'!$B$2:$B$417,A30)</f>
        <v>4</v>
      </c>
      <c r="S30" s="8">
        <f>SUMIF('Raw Data'!$B$2:$B$417,A30,'Raw Data'!$L$2:$L$417)</f>
        <v>1960.0</v>
      </c>
      <c r="T30" s="8">
        <f>S30-O30</f>
        <v>1613.0</v>
      </c>
      <c r="U30" s="8">
        <f>S30-P30</f>
        <v>1543.0</v>
      </c>
      <c r="V30" s="8">
        <f>S30-Q30</f>
        <v>1474.0</v>
      </c>
      <c r="W30" s="2" t="str">
        <f>IF(R30=0,"Not Opened",IF(V30&gt;=0,"Recovered - All Scenarios",IF(U30&gt;=0,"Recovered - Low &amp; Base",IF(T30&gt;=0,"Recovered - Low Only","Not Recovered"))))</f>
        <v>Recovered - All Scenarios</v>
      </c>
      <c r="X30" s="8">
        <f>IF(R30=0,0,S30/R30)</f>
        <v>490.0</v>
      </c>
      <c r="Y30" s="2">
        <f>R30</f>
        <v>4</v>
      </c>
      <c r="Z30" s="8">
        <f>IF(R30=0,"",S30/R30)</f>
        <v>490.0</v>
      </c>
      <c r="AA30" s="2" t="str">
        <f>IF(R30=0,"Not Opened",IF(R30&gt;=Assumptions!$B$3,"High Frequency","Low Frequency")&amp;" / "&amp;IF(X30&gt;=Assumptions!$B$4,"High Contribution","Low Contribution"))</f>
        <v>High Frequency / High Contribution</v>
      </c>
    </row>
    <row r="31" spans="1:27">
      <c r="A31" s="2" t="s">
        <v>55</v>
      </c>
      <c r="B31" s="2" t="s">
        <v>249</v>
      </c>
      <c r="C31" s="2" t="s">
        <v>212</v>
      </c>
      <c r="D31" s="2">
        <v>6</v>
      </c>
      <c r="E31" s="2">
        <v>8</v>
      </c>
      <c r="F31" s="2">
        <v>109</v>
      </c>
      <c r="G31" s="2">
        <f>E31*F31</f>
        <v>872</v>
      </c>
      <c r="H31" s="2">
        <v>540</v>
      </c>
      <c r="I31" s="2" t="s">
        <v>22</v>
      </c>
      <c r="J31" s="2">
        <f>G31-H31</f>
        <v>332</v>
      </c>
      <c r="K31" s="2">
        <v>8.4</v>
      </c>
      <c r="L31" s="2">
        <v>0</v>
      </c>
      <c r="M31" s="2">
        <v>750</v>
      </c>
      <c r="N31" s="2">
        <v>1000</v>
      </c>
      <c r="O31" s="2">
        <f>ROUND(L31/Assumptions!$B$2,0)</f>
        <v>0</v>
      </c>
      <c r="P31" s="2">
        <f>ROUND(M31/Assumptions!$B$2,0)</f>
        <v>104</v>
      </c>
      <c r="Q31" s="2">
        <f>ROUND(N31/Assumptions!$B$2,0)</f>
        <v>139</v>
      </c>
      <c r="R31" s="2">
        <f>COUNTIF('Raw Data'!$B$2:$B$417,A31)</f>
        <v>1</v>
      </c>
      <c r="S31" s="8">
        <f>SUMIF('Raw Data'!$B$2:$B$417,A31,'Raw Data'!$L$2:$L$417)</f>
        <v>332.0</v>
      </c>
      <c r="T31" s="8">
        <f>S31-O31</f>
        <v>332.0</v>
      </c>
      <c r="U31" s="8">
        <f>S31-P31</f>
        <v>228.0</v>
      </c>
      <c r="V31" s="8">
        <f>S31-Q31</f>
        <v>193.0</v>
      </c>
      <c r="W31" s="2" t="str">
        <f>IF(R31=0,"Not Opened",IF(V31&gt;=0,"Recovered - All Scenarios",IF(U31&gt;=0,"Recovered - Low &amp; Base",IF(T31&gt;=0,"Recovered - Low Only","Not Recovered"))))</f>
        <v>Recovered - All Scenarios</v>
      </c>
      <c r="X31" s="8">
        <f>IF(R31=0,0,S31/R31)</f>
        <v>332.0</v>
      </c>
      <c r="Y31" s="2">
        <f>R31</f>
        <v>1</v>
      </c>
      <c r="Z31" s="8">
        <f>IF(R31=0,"",S31/R31)</f>
        <v>332.0</v>
      </c>
      <c r="AA31" s="2" t="str">
        <f>IF(R31=0,"Not Opened",IF(R31&gt;=Assumptions!$B$3,"High Frequency","Low Frequency")&amp;" / "&amp;IF(X31&gt;=Assumptions!$B$4,"High Contribution","Low Contribution"))</f>
        <v>Low Frequency / Low Contribution</v>
      </c>
    </row>
    <row r="32" spans="1:27">
      <c r="A32" s="2" t="s">
        <v>56</v>
      </c>
      <c r="B32" s="2" t="s">
        <v>250</v>
      </c>
      <c r="C32" s="2" t="s">
        <v>212</v>
      </c>
      <c r="D32" s="2">
        <v>2</v>
      </c>
      <c r="E32" s="2">
        <v>6</v>
      </c>
      <c r="F32" s="2">
        <v>118</v>
      </c>
      <c r="G32" s="2">
        <f>E32*F32</f>
        <v>708</v>
      </c>
      <c r="H32" s="2">
        <v>180</v>
      </c>
      <c r="I32" s="2" t="s">
        <v>22</v>
      </c>
      <c r="J32" s="2">
        <f>G32-H32</f>
        <v>528</v>
      </c>
      <c r="K32" s="2">
        <v>7</v>
      </c>
      <c r="L32" s="2">
        <v>0</v>
      </c>
      <c r="M32" s="2">
        <v>750</v>
      </c>
      <c r="N32" s="2">
        <v>1000</v>
      </c>
      <c r="O32" s="2">
        <f>ROUND(L32/Assumptions!$B$2,0)</f>
        <v>0</v>
      </c>
      <c r="P32" s="2">
        <f>ROUND(M32/Assumptions!$B$2,0)</f>
        <v>104</v>
      </c>
      <c r="Q32" s="2">
        <f>ROUND(N32/Assumptions!$B$2,0)</f>
        <v>139</v>
      </c>
      <c r="R32" s="2">
        <f>COUNTIF('Raw Data'!$B$2:$B$417,A32)</f>
        <v>2</v>
      </c>
      <c r="S32" s="8">
        <f>SUMIF('Raw Data'!$B$2:$B$417,A32,'Raw Data'!$L$2:$L$417)</f>
        <v>1056.0</v>
      </c>
      <c r="T32" s="8">
        <f>S32-O32</f>
        <v>1056.0</v>
      </c>
      <c r="U32" s="8">
        <f>S32-P32</f>
        <v>952.0</v>
      </c>
      <c r="V32" s="8">
        <f>S32-Q32</f>
        <v>917.0</v>
      </c>
      <c r="W32" s="2" t="str">
        <f>IF(R32=0,"Not Opened",IF(V32&gt;=0,"Recovered - All Scenarios",IF(U32&gt;=0,"Recovered - Low &amp; Base",IF(T32&gt;=0,"Recovered - Low Only","Not Recovered"))))</f>
        <v>Recovered - All Scenarios</v>
      </c>
      <c r="X32" s="8">
        <f>IF(R32=0,0,S32/R32)</f>
        <v>528.0</v>
      </c>
      <c r="Y32" s="2">
        <f>R32</f>
        <v>2</v>
      </c>
      <c r="Z32" s="8">
        <f>IF(R32=0,"",S32/R32)</f>
        <v>528.0</v>
      </c>
      <c r="AA32" s="2" t="str">
        <f>IF(R32=0,"Not Opened",IF(R32&gt;=Assumptions!$B$3,"High Frequency","Low Frequency")&amp;" / "&amp;IF(X32&gt;=Assumptions!$B$4,"High Contribution","Low Contribution"))</f>
        <v>High Frequency / High Contribution</v>
      </c>
    </row>
    <row r="33" spans="1:27">
      <c r="A33" s="2" t="s">
        <v>57</v>
      </c>
      <c r="B33" s="2" t="s">
        <v>251</v>
      </c>
      <c r="C33" s="2" t="s">
        <v>214</v>
      </c>
      <c r="D33" s="2">
        <v>1</v>
      </c>
      <c r="E33" s="2">
        <v>6</v>
      </c>
      <c r="F33" s="2">
        <v>119</v>
      </c>
      <c r="G33" s="2">
        <f>E33*F33</f>
        <v>714</v>
      </c>
      <c r="H33" s="2">
        <v>187</v>
      </c>
      <c r="I33" s="2" t="s">
        <v>20</v>
      </c>
      <c r="J33" s="2">
        <f>G33-H33</f>
        <v>527</v>
      </c>
      <c r="K33" s="2">
        <v>7.7</v>
      </c>
      <c r="L33" s="2">
        <v>1500</v>
      </c>
      <c r="M33" s="2">
        <v>2000</v>
      </c>
      <c r="N33" s="2">
        <v>2500</v>
      </c>
      <c r="O33" s="2">
        <f>ROUND(L33/Assumptions!$B$2,0)</f>
        <v>208</v>
      </c>
      <c r="P33" s="2">
        <f>ROUND(M33/Assumptions!$B$2,0)</f>
        <v>278</v>
      </c>
      <c r="Q33" s="2">
        <f>ROUND(N33/Assumptions!$B$2,0)</f>
        <v>347</v>
      </c>
      <c r="R33" s="2">
        <f>COUNTIF('Raw Data'!$B$2:$B$417,A33)</f>
        <v>5</v>
      </c>
      <c r="S33" s="8">
        <f>SUMIF('Raw Data'!$B$2:$B$417,A33,'Raw Data'!$L$2:$L$417)</f>
        <v>2635.0</v>
      </c>
      <c r="T33" s="8">
        <f>S33-O33</f>
        <v>2427.0</v>
      </c>
      <c r="U33" s="8">
        <f>S33-P33</f>
        <v>2357.0</v>
      </c>
      <c r="V33" s="8">
        <f>S33-Q33</f>
        <v>2288.0</v>
      </c>
      <c r="W33" s="2" t="str">
        <f>IF(R33=0,"Not Opened",IF(V33&gt;=0,"Recovered - All Scenarios",IF(U33&gt;=0,"Recovered - Low &amp; Base",IF(T33&gt;=0,"Recovered - Low Only","Not Recovered"))))</f>
        <v>Recovered - All Scenarios</v>
      </c>
      <c r="X33" s="8">
        <f>IF(R33=0,0,S33/R33)</f>
        <v>527.0</v>
      </c>
      <c r="Y33" s="2">
        <f>R33</f>
        <v>5</v>
      </c>
      <c r="Z33" s="8">
        <f>IF(R33=0,"",S33/R33)</f>
        <v>527.0</v>
      </c>
      <c r="AA33" s="2" t="str">
        <f>IF(R33=0,"Not Opened",IF(R33&gt;=Assumptions!$B$3,"High Frequency","Low Frequency")&amp;" / "&amp;IF(X33&gt;=Assumptions!$B$4,"High Contribution","Low Contribution"))</f>
        <v>High Frequency / High Contribution</v>
      </c>
    </row>
    <row r="34" spans="1:27">
      <c r="A34" s="2" t="s">
        <v>58</v>
      </c>
      <c r="B34" s="2" t="s">
        <v>252</v>
      </c>
      <c r="C34" s="2" t="s">
        <v>212</v>
      </c>
      <c r="D34" s="2">
        <v>3</v>
      </c>
      <c r="E34" s="2">
        <v>6</v>
      </c>
      <c r="F34" s="2">
        <v>99</v>
      </c>
      <c r="G34" s="2">
        <f>E34*F34</f>
        <v>594</v>
      </c>
      <c r="H34" s="2">
        <v>270</v>
      </c>
      <c r="I34" s="2" t="s">
        <v>22</v>
      </c>
      <c r="J34" s="2">
        <f>G34-H34</f>
        <v>324</v>
      </c>
      <c r="K34" s="2">
        <v>8.4</v>
      </c>
      <c r="L34" s="2">
        <v>0</v>
      </c>
      <c r="M34" s="2">
        <v>750</v>
      </c>
      <c r="N34" s="2">
        <v>1000</v>
      </c>
      <c r="O34" s="2">
        <f>ROUND(L34/Assumptions!$B$2,0)</f>
        <v>0</v>
      </c>
      <c r="P34" s="2">
        <f>ROUND(M34/Assumptions!$B$2,0)</f>
        <v>104</v>
      </c>
      <c r="Q34" s="2">
        <f>ROUND(N34/Assumptions!$B$2,0)</f>
        <v>139</v>
      </c>
      <c r="R34" s="2">
        <f>COUNTIF('Raw Data'!$B$2:$B$417,A34)</f>
        <v>1</v>
      </c>
      <c r="S34" s="8">
        <f>SUMIF('Raw Data'!$B$2:$B$417,A34,'Raw Data'!$L$2:$L$417)</f>
        <v>324.0</v>
      </c>
      <c r="T34" s="8">
        <f>S34-O34</f>
        <v>324.0</v>
      </c>
      <c r="U34" s="8">
        <f>S34-P34</f>
        <v>220.0</v>
      </c>
      <c r="V34" s="8">
        <f>S34-Q34</f>
        <v>185.0</v>
      </c>
      <c r="W34" s="2" t="str">
        <f>IF(R34=0,"Not Opened",IF(V34&gt;=0,"Recovered - All Scenarios",IF(U34&gt;=0,"Recovered - Low &amp; Base",IF(T34&gt;=0,"Recovered - Low Only","Not Recovered"))))</f>
        <v>Recovered - All Scenarios</v>
      </c>
      <c r="X34" s="8">
        <f>IF(R34=0,0,S34/R34)</f>
        <v>324.0</v>
      </c>
      <c r="Y34" s="2">
        <f>R34</f>
        <v>1</v>
      </c>
      <c r="Z34" s="8">
        <f>IF(R34=0,"",S34/R34)</f>
        <v>324.0</v>
      </c>
      <c r="AA34" s="2" t="str">
        <f>IF(R34=0,"Not Opened",IF(R34&gt;=Assumptions!$B$3,"High Frequency","Low Frequency")&amp;" / "&amp;IF(X34&gt;=Assumptions!$B$4,"High Contribution","Low Contribution"))</f>
        <v>Low Frequency / Low Contribution</v>
      </c>
    </row>
    <row r="35" spans="1:27">
      <c r="A35" s="2" t="s">
        <v>59</v>
      </c>
      <c r="B35" s="2" t="s">
        <v>253</v>
      </c>
      <c r="C35" s="2" t="s">
        <v>218</v>
      </c>
      <c r="D35" s="2">
        <v>3</v>
      </c>
      <c r="E35" s="2">
        <v>7</v>
      </c>
      <c r="F35" s="2">
        <v>109</v>
      </c>
      <c r="G35" s="2">
        <f>E35*F35</f>
        <v>763</v>
      </c>
      <c r="H35" s="2">
        <v>200</v>
      </c>
      <c r="I35" s="2" t="s">
        <v>21</v>
      </c>
      <c r="J35" s="2">
        <f>G35-H35</f>
        <v>563</v>
      </c>
      <c r="K35" s="2">
        <v>7</v>
      </c>
      <c r="L35" s="2">
        <v>2500</v>
      </c>
      <c r="M35" s="2">
        <v>3000</v>
      </c>
      <c r="N35" s="2">
        <v>3500</v>
      </c>
      <c r="O35" s="2">
        <f>ROUND(L35/Assumptions!$B$2,0)</f>
        <v>347</v>
      </c>
      <c r="P35" s="2">
        <f>ROUND(M35/Assumptions!$B$2,0)</f>
        <v>417</v>
      </c>
      <c r="Q35" s="2">
        <f>ROUND(N35/Assumptions!$B$2,0)</f>
        <v>486</v>
      </c>
      <c r="R35" s="2">
        <f>COUNTIF('Raw Data'!$B$2:$B$417,A35)</f>
        <v>2</v>
      </c>
      <c r="S35" s="8">
        <f>SUMIF('Raw Data'!$B$2:$B$417,A35,'Raw Data'!$L$2:$L$417)</f>
        <v>1126.0</v>
      </c>
      <c r="T35" s="8">
        <f>S35-O35</f>
        <v>779.0</v>
      </c>
      <c r="U35" s="8">
        <f>S35-P35</f>
        <v>709.0</v>
      </c>
      <c r="V35" s="8">
        <f>S35-Q35</f>
        <v>640.0</v>
      </c>
      <c r="W35" s="2" t="str">
        <f>IF(R35=0,"Not Opened",IF(V35&gt;=0,"Recovered - All Scenarios",IF(U35&gt;=0,"Recovered - Low &amp; Base",IF(T35&gt;=0,"Recovered - Low Only","Not Recovered"))))</f>
        <v>Recovered - All Scenarios</v>
      </c>
      <c r="X35" s="8">
        <f>IF(R35=0,0,S35/R35)</f>
        <v>563.0</v>
      </c>
      <c r="Y35" s="2">
        <f>R35</f>
        <v>2</v>
      </c>
      <c r="Z35" s="8">
        <f>IF(R35=0,"",S35/R35)</f>
        <v>563.0</v>
      </c>
      <c r="AA35" s="2" t="str">
        <f>IF(R35=0,"Not Opened",IF(R35&gt;=Assumptions!$B$3,"High Frequency","Low Frequency")&amp;" / "&amp;IF(X35&gt;=Assumptions!$B$4,"High Contribution","Low Contribution"))</f>
        <v>High Frequency / High Contribution</v>
      </c>
    </row>
    <row r="36" spans="1:27">
      <c r="A36" s="2" t="s">
        <v>60</v>
      </c>
      <c r="B36" s="2" t="s">
        <v>254</v>
      </c>
      <c r="C36" s="2" t="s">
        <v>214</v>
      </c>
      <c r="D36" s="2">
        <v>2</v>
      </c>
      <c r="E36" s="2">
        <v>8</v>
      </c>
      <c r="F36" s="2">
        <v>95</v>
      </c>
      <c r="G36" s="2">
        <f>E36*F36</f>
        <v>760</v>
      </c>
      <c r="H36" s="2">
        <v>200</v>
      </c>
      <c r="I36" s="2" t="s">
        <v>20</v>
      </c>
      <c r="J36" s="2">
        <f>G36-H36</f>
        <v>560</v>
      </c>
      <c r="K36" s="2">
        <v>7.7</v>
      </c>
      <c r="L36" s="2">
        <v>1500</v>
      </c>
      <c r="M36" s="2">
        <v>2000</v>
      </c>
      <c r="N36" s="2">
        <v>2500</v>
      </c>
      <c r="O36" s="2">
        <f>ROUND(L36/Assumptions!$B$2,0)</f>
        <v>208</v>
      </c>
      <c r="P36" s="2">
        <f>ROUND(M36/Assumptions!$B$2,0)</f>
        <v>278</v>
      </c>
      <c r="Q36" s="2">
        <f>ROUND(N36/Assumptions!$B$2,0)</f>
        <v>347</v>
      </c>
      <c r="R36" s="2">
        <f>COUNTIF('Raw Data'!$B$2:$B$417,A36)</f>
        <v>7</v>
      </c>
      <c r="S36" s="8">
        <f>SUMIF('Raw Data'!$B$2:$B$417,A36,'Raw Data'!$L$2:$L$417)</f>
        <v>3920.0</v>
      </c>
      <c r="T36" s="8">
        <f>S36-O36</f>
        <v>3712.0</v>
      </c>
      <c r="U36" s="8">
        <f>S36-P36</f>
        <v>3642.0</v>
      </c>
      <c r="V36" s="8">
        <f>S36-Q36</f>
        <v>3573.0</v>
      </c>
      <c r="W36" s="2" t="str">
        <f>IF(R36=0,"Not Opened",IF(V36&gt;=0,"Recovered - All Scenarios",IF(U36&gt;=0,"Recovered - Low &amp; Base",IF(T36&gt;=0,"Recovered - Low Only","Not Recovered"))))</f>
        <v>Recovered - All Scenarios</v>
      </c>
      <c r="X36" s="8">
        <f>IF(R36=0,0,S36/R36)</f>
        <v>560.0</v>
      </c>
      <c r="Y36" s="2">
        <f>R36</f>
        <v>7</v>
      </c>
      <c r="Z36" s="8">
        <f>IF(R36=0,"",S36/R36)</f>
        <v>560.0</v>
      </c>
      <c r="AA36" s="2" t="str">
        <f>IF(R36=0,"Not Opened",IF(R36&gt;=Assumptions!$B$3,"High Frequency","Low Frequency")&amp;" / "&amp;IF(X36&gt;=Assumptions!$B$4,"High Contribution","Low Contribution"))</f>
        <v>High Frequency / High Contribution</v>
      </c>
    </row>
    <row r="37" spans="1:27">
      <c r="A37" s="2" t="s">
        <v>61</v>
      </c>
      <c r="B37" s="2" t="s">
        <v>255</v>
      </c>
      <c r="C37" s="2" t="s">
        <v>212</v>
      </c>
      <c r="D37" s="2">
        <v>2</v>
      </c>
      <c r="E37" s="2">
        <v>6</v>
      </c>
      <c r="F37" s="2">
        <v>138</v>
      </c>
      <c r="G37" s="2">
        <f>E37*F37</f>
        <v>828</v>
      </c>
      <c r="H37" s="2">
        <v>180</v>
      </c>
      <c r="I37" s="2" t="s">
        <v>22</v>
      </c>
      <c r="J37" s="2">
        <f>G37-H37</f>
        <v>648</v>
      </c>
      <c r="K37" s="2">
        <v>8.4</v>
      </c>
      <c r="L37" s="2">
        <v>0</v>
      </c>
      <c r="M37" s="2">
        <v>750</v>
      </c>
      <c r="N37" s="2">
        <v>1000</v>
      </c>
      <c r="O37" s="2">
        <f>ROUND(L37/Assumptions!$B$2,0)</f>
        <v>0</v>
      </c>
      <c r="P37" s="2">
        <f>ROUND(M37/Assumptions!$B$2,0)</f>
        <v>104</v>
      </c>
      <c r="Q37" s="2">
        <f>ROUND(N37/Assumptions!$B$2,0)</f>
        <v>139</v>
      </c>
      <c r="R37" s="2">
        <f>COUNTIF('Raw Data'!$B$2:$B$417,A37)</f>
        <v>1</v>
      </c>
      <c r="S37" s="8">
        <f>SUMIF('Raw Data'!$B$2:$B$417,A37,'Raw Data'!$L$2:$L$417)</f>
        <v>648.0</v>
      </c>
      <c r="T37" s="8">
        <f>S37-O37</f>
        <v>648.0</v>
      </c>
      <c r="U37" s="8">
        <f>S37-P37</f>
        <v>544.0</v>
      </c>
      <c r="V37" s="8">
        <f>S37-Q37</f>
        <v>509.0</v>
      </c>
      <c r="W37" s="2" t="str">
        <f>IF(R37=0,"Not Opened",IF(V37&gt;=0,"Recovered - All Scenarios",IF(U37&gt;=0,"Recovered - Low &amp; Base",IF(T37&gt;=0,"Recovered - Low Only","Not Recovered"))))</f>
        <v>Recovered - All Scenarios</v>
      </c>
      <c r="X37" s="8">
        <f>IF(R37=0,0,S37/R37)</f>
        <v>648.0</v>
      </c>
      <c r="Y37" s="2">
        <f>R37</f>
        <v>1</v>
      </c>
      <c r="Z37" s="8">
        <f>IF(R37=0,"",S37/R37)</f>
        <v>648.0</v>
      </c>
      <c r="AA37" s="2" t="str">
        <f>IF(R37=0,"Not Opened",IF(R37&gt;=Assumptions!$B$3,"High Frequency","Low Frequency")&amp;" / "&amp;IF(X37&gt;=Assumptions!$B$4,"High Contribution","Low Contribution"))</f>
        <v>Low Frequency / High Contribution</v>
      </c>
    </row>
    <row r="38" spans="1:27">
      <c r="A38" s="2" t="s">
        <v>62</v>
      </c>
      <c r="B38" s="2" t="s">
        <v>256</v>
      </c>
      <c r="C38" s="2" t="s">
        <v>223</v>
      </c>
      <c r="D38" s="2">
        <v>1</v>
      </c>
      <c r="E38" s="2">
        <v>6</v>
      </c>
      <c r="F38" s="2">
        <v>109</v>
      </c>
      <c r="G38" s="2">
        <f>E38*F38</f>
        <v>654</v>
      </c>
      <c r="H38" s="2">
        <v>172</v>
      </c>
      <c r="I38" s="2" t="s">
        <v>20</v>
      </c>
      <c r="J38" s="2">
        <f>G38-H38</f>
        <v>482</v>
      </c>
      <c r="K38" s="2">
        <v>7</v>
      </c>
      <c r="L38" s="2">
        <v>1500</v>
      </c>
      <c r="M38" s="2">
        <v>2000</v>
      </c>
      <c r="N38" s="2">
        <v>2500</v>
      </c>
      <c r="O38" s="2">
        <f>ROUND(L38/Assumptions!$B$2,0)</f>
        <v>208</v>
      </c>
      <c r="P38" s="2">
        <f>ROUND(M38/Assumptions!$B$2,0)</f>
        <v>278</v>
      </c>
      <c r="Q38" s="2">
        <f>ROUND(N38/Assumptions!$B$2,0)</f>
        <v>347</v>
      </c>
      <c r="R38" s="2">
        <f>COUNTIF('Raw Data'!$B$2:$B$417,A38)</f>
        <v>3</v>
      </c>
      <c r="S38" s="8">
        <f>SUMIF('Raw Data'!$B$2:$B$417,A38,'Raw Data'!$L$2:$L$417)</f>
        <v>1446.0</v>
      </c>
      <c r="T38" s="8">
        <f>S38-O38</f>
        <v>1238.0</v>
      </c>
      <c r="U38" s="8">
        <f>S38-P38</f>
        <v>1168.0</v>
      </c>
      <c r="V38" s="8">
        <f>S38-Q38</f>
        <v>1099.0</v>
      </c>
      <c r="W38" s="2" t="str">
        <f>IF(R38=0,"Not Opened",IF(V38&gt;=0,"Recovered - All Scenarios",IF(U38&gt;=0,"Recovered - Low &amp; Base",IF(T38&gt;=0,"Recovered - Low Only","Not Recovered"))))</f>
        <v>Recovered - All Scenarios</v>
      </c>
      <c r="X38" s="8">
        <f>IF(R38=0,0,S38/R38)</f>
        <v>482.0</v>
      </c>
      <c r="Y38" s="2">
        <f>R38</f>
        <v>3</v>
      </c>
      <c r="Z38" s="8">
        <f>IF(R38=0,"",S38/R38)</f>
        <v>482.0</v>
      </c>
      <c r="AA38" s="2" t="str">
        <f>IF(R38=0,"Not Opened",IF(R38&gt;=Assumptions!$B$3,"High Frequency","Low Frequency")&amp;" / "&amp;IF(X38&gt;=Assumptions!$B$4,"High Contribution","Low Contribution"))</f>
        <v>High Frequency / Low Contribution</v>
      </c>
    </row>
    <row r="39" spans="1:27">
      <c r="A39" s="2" t="s">
        <v>63</v>
      </c>
      <c r="B39" s="2" t="s">
        <v>257</v>
      </c>
      <c r="C39" s="2" t="s">
        <v>214</v>
      </c>
      <c r="D39" s="2">
        <v>1</v>
      </c>
      <c r="E39" s="2">
        <v>6</v>
      </c>
      <c r="F39" s="2">
        <v>75</v>
      </c>
      <c r="G39" s="2">
        <f>E39*F39</f>
        <v>450</v>
      </c>
      <c r="H39" s="2">
        <v>118</v>
      </c>
      <c r="I39" s="2" t="s">
        <v>22</v>
      </c>
      <c r="J39" s="2">
        <f>G39-H39</f>
        <v>332</v>
      </c>
      <c r="K39" s="2">
        <v>7.7</v>
      </c>
      <c r="L39" s="2">
        <v>0</v>
      </c>
      <c r="M39" s="2">
        <v>750</v>
      </c>
      <c r="N39" s="2">
        <v>1000</v>
      </c>
      <c r="O39" s="2">
        <f>ROUND(L39/Assumptions!$B$2,0)</f>
        <v>0</v>
      </c>
      <c r="P39" s="2">
        <f>ROUND(M39/Assumptions!$B$2,0)</f>
        <v>104</v>
      </c>
      <c r="Q39" s="2">
        <f>ROUND(N39/Assumptions!$B$2,0)</f>
        <v>139</v>
      </c>
      <c r="R39" s="2">
        <f>COUNTIF('Raw Data'!$B$2:$B$417,A39)</f>
        <v>10</v>
      </c>
      <c r="S39" s="8">
        <f>SUMIF('Raw Data'!$B$2:$B$417,A39,'Raw Data'!$L$2:$L$417)</f>
        <v>3320.0</v>
      </c>
      <c r="T39" s="8">
        <f>S39-O39</f>
        <v>3320.0</v>
      </c>
      <c r="U39" s="8">
        <f>S39-P39</f>
        <v>3216.0</v>
      </c>
      <c r="V39" s="8">
        <f>S39-Q39</f>
        <v>3181.0</v>
      </c>
      <c r="W39" s="2" t="str">
        <f>IF(R39=0,"Not Opened",IF(V39&gt;=0,"Recovered - All Scenarios",IF(U39&gt;=0,"Recovered - Low &amp; Base",IF(T39&gt;=0,"Recovered - Low Only","Not Recovered"))))</f>
        <v>Recovered - All Scenarios</v>
      </c>
      <c r="X39" s="8">
        <f>IF(R39=0,0,S39/R39)</f>
        <v>332.0</v>
      </c>
      <c r="Y39" s="2">
        <f>R39</f>
        <v>10</v>
      </c>
      <c r="Z39" s="8">
        <f>IF(R39=0,"",S39/R39)</f>
        <v>332.0</v>
      </c>
      <c r="AA39" s="2" t="str">
        <f>IF(R39=0,"Not Opened",IF(R39&gt;=Assumptions!$B$3,"High Frequency","Low Frequency")&amp;" / "&amp;IF(X39&gt;=Assumptions!$B$4,"High Contribution","Low Contribution"))</f>
        <v>High Frequency / Low Contribution</v>
      </c>
    </row>
    <row r="40" spans="1:27">
      <c r="A40" s="2" t="s">
        <v>64</v>
      </c>
      <c r="B40" s="2" t="s">
        <v>258</v>
      </c>
      <c r="C40" s="2" t="s">
        <v>218</v>
      </c>
      <c r="D40" s="2">
        <v>3</v>
      </c>
      <c r="E40" s="2">
        <v>7</v>
      </c>
      <c r="F40" s="2">
        <v>118</v>
      </c>
      <c r="G40" s="2">
        <f>E40*F40</f>
        <v>826</v>
      </c>
      <c r="H40" s="2">
        <v>217</v>
      </c>
      <c r="I40" s="2" t="s">
        <v>21</v>
      </c>
      <c r="J40" s="2">
        <f>G40-H40</f>
        <v>609</v>
      </c>
      <c r="K40" s="2">
        <v>8.4</v>
      </c>
      <c r="L40" s="2">
        <v>2500</v>
      </c>
      <c r="M40" s="2">
        <v>3000</v>
      </c>
      <c r="N40" s="2">
        <v>3500</v>
      </c>
      <c r="O40" s="2">
        <f>ROUND(L40/Assumptions!$B$2,0)</f>
        <v>347</v>
      </c>
      <c r="P40" s="2">
        <f>ROUND(M40/Assumptions!$B$2,0)</f>
        <v>417</v>
      </c>
      <c r="Q40" s="2">
        <f>ROUND(N40/Assumptions!$B$2,0)</f>
        <v>486</v>
      </c>
      <c r="R40" s="2">
        <f>COUNTIF('Raw Data'!$B$2:$B$417,A40)</f>
        <v>1</v>
      </c>
      <c r="S40" s="8">
        <f>SUMIF('Raw Data'!$B$2:$B$417,A40,'Raw Data'!$L$2:$L$417)</f>
        <v>609.0</v>
      </c>
      <c r="T40" s="8">
        <f>S40-O40</f>
        <v>262.0</v>
      </c>
      <c r="U40" s="8">
        <f>S40-P40</f>
        <v>192.0</v>
      </c>
      <c r="V40" s="8">
        <f>S40-Q40</f>
        <v>123.0</v>
      </c>
      <c r="W40" s="2" t="str">
        <f>IF(R40=0,"Not Opened",IF(V40&gt;=0,"Recovered - All Scenarios",IF(U40&gt;=0,"Recovered - Low &amp; Base",IF(T40&gt;=0,"Recovered - Low Only","Not Recovered"))))</f>
        <v>Recovered - All Scenarios</v>
      </c>
      <c r="X40" s="8">
        <f>IF(R40=0,0,S40/R40)</f>
        <v>609.0</v>
      </c>
      <c r="Y40" s="2">
        <f>R40</f>
        <v>1</v>
      </c>
      <c r="Z40" s="8">
        <f>IF(R40=0,"",S40/R40)</f>
        <v>609.0</v>
      </c>
      <c r="AA40" s="2" t="str">
        <f>IF(R40=0,"Not Opened",IF(R40&gt;=Assumptions!$B$3,"High Frequency","Low Frequency")&amp;" / "&amp;IF(X40&gt;=Assumptions!$B$4,"High Contribution","Low Contribution"))</f>
        <v>Low Frequency / High Contribution</v>
      </c>
    </row>
    <row r="41" spans="1:27">
      <c r="A41" s="2" t="s">
        <v>65</v>
      </c>
      <c r="B41" s="2" t="s">
        <v>259</v>
      </c>
      <c r="C41" s="2" t="s">
        <v>212</v>
      </c>
      <c r="D41" s="2">
        <v>6</v>
      </c>
      <c r="E41" s="2">
        <v>8</v>
      </c>
      <c r="F41" s="2">
        <v>138</v>
      </c>
      <c r="G41" s="2">
        <f>E41*F41</f>
        <v>1104</v>
      </c>
      <c r="H41" s="2">
        <v>540</v>
      </c>
      <c r="I41" s="2" t="s">
        <v>22</v>
      </c>
      <c r="J41" s="2">
        <f>G41-H41</f>
        <v>564</v>
      </c>
      <c r="K41" s="2">
        <v>7</v>
      </c>
      <c r="L41" s="2">
        <v>0</v>
      </c>
      <c r="M41" s="2">
        <v>750</v>
      </c>
      <c r="N41" s="2">
        <v>1000</v>
      </c>
      <c r="O41" s="2">
        <f>ROUND(L41/Assumptions!$B$2,0)</f>
        <v>0</v>
      </c>
      <c r="P41" s="2">
        <f>ROUND(M41/Assumptions!$B$2,0)</f>
        <v>104</v>
      </c>
      <c r="Q41" s="2">
        <f>ROUND(N41/Assumptions!$B$2,0)</f>
        <v>139</v>
      </c>
      <c r="R41" s="2">
        <f>COUNTIF('Raw Data'!$B$2:$B$417,A41)</f>
        <v>3</v>
      </c>
      <c r="S41" s="8">
        <f>SUMIF('Raw Data'!$B$2:$B$417,A41,'Raw Data'!$L$2:$L$417)</f>
        <v>1692.0</v>
      </c>
      <c r="T41" s="8">
        <f>S41-O41</f>
        <v>1692.0</v>
      </c>
      <c r="U41" s="8">
        <f>S41-P41</f>
        <v>1588.0</v>
      </c>
      <c r="V41" s="8">
        <f>S41-Q41</f>
        <v>1553.0</v>
      </c>
      <c r="W41" s="2" t="str">
        <f>IF(R41=0,"Not Opened",IF(V41&gt;=0,"Recovered - All Scenarios",IF(U41&gt;=0,"Recovered - Low &amp; Base",IF(T41&gt;=0,"Recovered - Low Only","Not Recovered"))))</f>
        <v>Recovered - All Scenarios</v>
      </c>
      <c r="X41" s="8">
        <f>IF(R41=0,0,S41/R41)</f>
        <v>564.0</v>
      </c>
      <c r="Y41" s="2">
        <f>R41</f>
        <v>3</v>
      </c>
      <c r="Z41" s="8">
        <f>IF(R41=0,"",S41/R41)</f>
        <v>564.0</v>
      </c>
      <c r="AA41" s="2" t="str">
        <f>IF(R41=0,"Not Opened",IF(R41&gt;=Assumptions!$B$3,"High Frequency","Low Frequency")&amp;" / "&amp;IF(X41&gt;=Assumptions!$B$4,"High Contribution","Low Contribution"))</f>
        <v>High Frequency / High Contribution</v>
      </c>
    </row>
    <row r="42" spans="1:27">
      <c r="A42" s="2" t="s">
        <v>260</v>
      </c>
      <c r="B42" s="2" t="s">
        <v>261</v>
      </c>
      <c r="C42" s="2" t="s">
        <v>212</v>
      </c>
      <c r="D42" s="2">
        <v>2</v>
      </c>
      <c r="E42" s="2">
        <v>6</v>
      </c>
      <c r="F42" s="2">
        <v>99</v>
      </c>
      <c r="G42" s="2">
        <f>E42*F42</f>
        <v>594</v>
      </c>
      <c r="H42" s="2">
        <v>180</v>
      </c>
      <c r="I42" s="2" t="s">
        <v>22</v>
      </c>
      <c r="J42" s="2">
        <f>G42-H42</f>
        <v>414</v>
      </c>
      <c r="K42" s="2">
        <v>7.7</v>
      </c>
      <c r="L42" s="2">
        <v>0</v>
      </c>
      <c r="M42" s="2">
        <v>750</v>
      </c>
      <c r="N42" s="2">
        <v>1000</v>
      </c>
      <c r="O42" s="2">
        <f>ROUND(L42/Assumptions!$B$2,0)</f>
        <v>0</v>
      </c>
      <c r="P42" s="2">
        <f>ROUND(M42/Assumptions!$B$2,0)</f>
        <v>104</v>
      </c>
      <c r="Q42" s="2">
        <f>ROUND(N42/Assumptions!$B$2,0)</f>
        <v>139</v>
      </c>
      <c r="R42" s="2">
        <f>COUNTIF('Raw Data'!$B$2:$B$417,A42)</f>
        <v>0</v>
      </c>
      <c r="S42" s="8">
        <f>SUMIF('Raw Data'!$B$2:$B$417,A42,'Raw Data'!$L$2:$L$417)</f>
        <v>0.0</v>
      </c>
      <c r="T42" s="8">
        <f>S42-O42</f>
        <v>0.0</v>
      </c>
      <c r="U42" s="8">
        <f>S42-P42</f>
        <v>-104.0</v>
      </c>
      <c r="V42" s="8">
        <f>S42-Q42</f>
        <v>-139.0</v>
      </c>
      <c r="W42" s="2" t="str">
        <f>IF(R42=0,"Not Opened",IF(V42&gt;=0,"Recovered - All Scenarios",IF(U42&gt;=0,"Recovered - Low &amp; Base",IF(T42&gt;=0,"Recovered - Low Only","Not Recovered"))))</f>
        <v>Not Opened</v>
      </c>
      <c r="X42" s="2">
        <f>IF(R42=0,0,S42/R42)</f>
        <v>0</v>
      </c>
      <c r="Y42" s="2">
        <f>R42</f>
        <v>0</v>
      </c>
      <c r="Z42" s="2">
        <f>IF(R42=0,"",S42/R42)</f>
        <v/>
      </c>
      <c r="AA42" s="2" t="str">
        <f>IF(R42=0,"Not Opened",IF(R42&gt;=Assumptions!$B$3,"High Frequency","Low Frequency")&amp;" / "&amp;IF(X42&gt;=Assumptions!$B$4,"High Contribution","Low Contribution"))</f>
        <v>Not Opened</v>
      </c>
    </row>
    <row r="43" spans="1:27">
      <c r="A43" s="2" t="s">
        <v>66</v>
      </c>
      <c r="B43" s="2" t="s">
        <v>262</v>
      </c>
      <c r="C43" s="2" t="s">
        <v>214</v>
      </c>
      <c r="D43" s="2">
        <v>1</v>
      </c>
      <c r="E43" s="2">
        <v>6</v>
      </c>
      <c r="F43" s="2">
        <v>75</v>
      </c>
      <c r="G43" s="2">
        <f>E43*F43</f>
        <v>450</v>
      </c>
      <c r="H43" s="2">
        <v>118</v>
      </c>
      <c r="I43" s="2" t="s">
        <v>20</v>
      </c>
      <c r="J43" s="2">
        <f>G43-H43</f>
        <v>332</v>
      </c>
      <c r="K43" s="2">
        <v>8.4</v>
      </c>
      <c r="L43" s="2">
        <v>1500</v>
      </c>
      <c r="M43" s="2">
        <v>2000</v>
      </c>
      <c r="N43" s="2">
        <v>2500</v>
      </c>
      <c r="O43" s="2">
        <f>ROUND(L43/Assumptions!$B$2,0)</f>
        <v>208</v>
      </c>
      <c r="P43" s="2">
        <f>ROUND(M43/Assumptions!$B$2,0)</f>
        <v>278</v>
      </c>
      <c r="Q43" s="2">
        <f>ROUND(N43/Assumptions!$B$2,0)</f>
        <v>347</v>
      </c>
      <c r="R43" s="2">
        <f>COUNTIF('Raw Data'!$B$2:$B$417,A43)</f>
        <v>1</v>
      </c>
      <c r="S43" s="8">
        <f>SUMIF('Raw Data'!$B$2:$B$417,A43,'Raw Data'!$L$2:$L$417)</f>
        <v>332.0</v>
      </c>
      <c r="T43" s="8">
        <f>S43-O43</f>
        <v>124.0</v>
      </c>
      <c r="U43" s="8">
        <f>S43-P43</f>
        <v>54.0</v>
      </c>
      <c r="V43" s="8">
        <f>S43-Q43</f>
        <v>-15.0</v>
      </c>
      <c r="W43" s="2" t="str">
        <f>IF(R43=0,"Not Opened",IF(V43&gt;=0,"Recovered - All Scenarios",IF(U43&gt;=0,"Recovered - Low &amp; Base",IF(T43&gt;=0,"Recovered - Low Only","Not Recovered"))))</f>
        <v>Recovered - Low &amp; Base</v>
      </c>
      <c r="X43" s="8">
        <f>IF(R43=0,0,S43/R43)</f>
        <v>332.0</v>
      </c>
      <c r="Y43" s="2">
        <f>R43</f>
        <v>1</v>
      </c>
      <c r="Z43" s="8">
        <f>IF(R43=0,"",S43/R43)</f>
        <v>332.0</v>
      </c>
      <c r="AA43" s="2" t="str">
        <f>IF(R43=0,"Not Opened",IF(R43&gt;=Assumptions!$B$3,"High Frequency","Low Frequency")&amp;" / "&amp;IF(X43&gt;=Assumptions!$B$4,"High Contribution","Low Contribution"))</f>
        <v>Low Frequency / Low Contribution</v>
      </c>
    </row>
    <row r="44" spans="1:27">
      <c r="A44" s="2" t="s">
        <v>67</v>
      </c>
      <c r="B44" s="2" t="s">
        <v>263</v>
      </c>
      <c r="C44" s="2" t="s">
        <v>212</v>
      </c>
      <c r="D44" s="2">
        <v>3</v>
      </c>
      <c r="E44" s="2">
        <v>6</v>
      </c>
      <c r="F44" s="2">
        <v>118</v>
      </c>
      <c r="G44" s="2">
        <f>E44*F44</f>
        <v>708</v>
      </c>
      <c r="H44" s="2">
        <v>270</v>
      </c>
      <c r="I44" s="2" t="s">
        <v>22</v>
      </c>
      <c r="J44" s="2">
        <f>G44-H44</f>
        <v>438</v>
      </c>
      <c r="K44" s="2">
        <v>7</v>
      </c>
      <c r="L44" s="2">
        <v>0</v>
      </c>
      <c r="M44" s="2">
        <v>750</v>
      </c>
      <c r="N44" s="2">
        <v>1000</v>
      </c>
      <c r="O44" s="2">
        <f>ROUND(L44/Assumptions!$B$2,0)</f>
        <v>0</v>
      </c>
      <c r="P44" s="2">
        <f>ROUND(M44/Assumptions!$B$2,0)</f>
        <v>104</v>
      </c>
      <c r="Q44" s="2">
        <f>ROUND(N44/Assumptions!$B$2,0)</f>
        <v>139</v>
      </c>
      <c r="R44" s="2">
        <f>COUNTIF('Raw Data'!$B$2:$B$417,A44)</f>
        <v>3</v>
      </c>
      <c r="S44" s="8">
        <f>SUMIF('Raw Data'!$B$2:$B$417,A44,'Raw Data'!$L$2:$L$417)</f>
        <v>1314.0</v>
      </c>
      <c r="T44" s="8">
        <f>S44-O44</f>
        <v>1314.0</v>
      </c>
      <c r="U44" s="8">
        <f>S44-P44</f>
        <v>1210.0</v>
      </c>
      <c r="V44" s="8">
        <f>S44-Q44</f>
        <v>1175.0</v>
      </c>
      <c r="W44" s="2" t="str">
        <f>IF(R44=0,"Not Opened",IF(V44&gt;=0,"Recovered - All Scenarios",IF(U44&gt;=0,"Recovered - Low &amp; Base",IF(T44&gt;=0,"Recovered - Low Only","Not Recovered"))))</f>
        <v>Recovered - All Scenarios</v>
      </c>
      <c r="X44" s="8">
        <f>IF(R44=0,0,S44/R44)</f>
        <v>438.0</v>
      </c>
      <c r="Y44" s="2">
        <f>R44</f>
        <v>3</v>
      </c>
      <c r="Z44" s="8">
        <f>IF(R44=0,"",S44/R44)</f>
        <v>438.0</v>
      </c>
      <c r="AA44" s="2" t="str">
        <f>IF(R44=0,"Not Opened",IF(R44&gt;=Assumptions!$B$3,"High Frequency","Low Frequency")&amp;" / "&amp;IF(X44&gt;=Assumptions!$B$4,"High Contribution","Low Contribution"))</f>
        <v>High Frequency / Low Contribution</v>
      </c>
    </row>
    <row r="45" spans="1:27">
      <c r="A45" s="2" t="s">
        <v>264</v>
      </c>
      <c r="B45" s="2" t="s">
        <v>265</v>
      </c>
      <c r="C45" s="2" t="s">
        <v>218</v>
      </c>
      <c r="D45" s="2">
        <v>3</v>
      </c>
      <c r="E45" s="2">
        <v>7</v>
      </c>
      <c r="F45" s="2">
        <v>129</v>
      </c>
      <c r="G45" s="2">
        <f>E45*F45</f>
        <v>903</v>
      </c>
      <c r="H45" s="2">
        <v>237</v>
      </c>
      <c r="I45" s="2" t="s">
        <v>21</v>
      </c>
      <c r="J45" s="2">
        <f>G45-H45</f>
        <v>666</v>
      </c>
      <c r="K45" s="2">
        <v>7.7</v>
      </c>
      <c r="L45" s="2">
        <v>2500</v>
      </c>
      <c r="M45" s="2">
        <v>3000</v>
      </c>
      <c r="N45" s="2">
        <v>3500</v>
      </c>
      <c r="O45" s="2">
        <f>ROUND(L45/Assumptions!$B$2,0)</f>
        <v>347</v>
      </c>
      <c r="P45" s="2">
        <f>ROUND(M45/Assumptions!$B$2,0)</f>
        <v>417</v>
      </c>
      <c r="Q45" s="2">
        <f>ROUND(N45/Assumptions!$B$2,0)</f>
        <v>486</v>
      </c>
      <c r="R45" s="2">
        <f>COUNTIF('Raw Data'!$B$2:$B$417,A45)</f>
        <v>0</v>
      </c>
      <c r="S45" s="8">
        <f>SUMIF('Raw Data'!$B$2:$B$417,A45,'Raw Data'!$L$2:$L$417)</f>
        <v>0.0</v>
      </c>
      <c r="T45" s="8">
        <f>S45-O45</f>
        <v>-347.0</v>
      </c>
      <c r="U45" s="8">
        <f>S45-P45</f>
        <v>-417.0</v>
      </c>
      <c r="V45" s="8">
        <f>S45-Q45</f>
        <v>-486.0</v>
      </c>
      <c r="W45" s="2" t="str">
        <f>IF(R45=0,"Not Opened",IF(V45&gt;=0,"Recovered - All Scenarios",IF(U45&gt;=0,"Recovered - Low &amp; Base",IF(T45&gt;=0,"Recovered - Low Only","Not Recovered"))))</f>
        <v>Not Opened</v>
      </c>
      <c r="X45" s="2">
        <f>IF(R45=0,0,S45/R45)</f>
        <v>0</v>
      </c>
      <c r="Y45" s="2">
        <f>R45</f>
        <v>0</v>
      </c>
      <c r="Z45" s="2">
        <f>IF(R45=0,"",S45/R45)</f>
        <v/>
      </c>
      <c r="AA45" s="2" t="str">
        <f>IF(R45=0,"Not Opened",IF(R45&gt;=Assumptions!$B$3,"High Frequency","Low Frequency")&amp;" / "&amp;IF(X45&gt;=Assumptions!$B$4,"High Contribution","Low Contribution"))</f>
        <v>Not Opened</v>
      </c>
    </row>
    <row r="46" spans="1:27">
      <c r="A46" s="2" t="s">
        <v>68</v>
      </c>
      <c r="B46" s="2" t="s">
        <v>266</v>
      </c>
      <c r="C46" s="2" t="s">
        <v>214</v>
      </c>
      <c r="D46" s="2">
        <v>2</v>
      </c>
      <c r="E46" s="2">
        <v>8</v>
      </c>
      <c r="F46" s="2">
        <v>65</v>
      </c>
      <c r="G46" s="2">
        <f>E46*F46</f>
        <v>520</v>
      </c>
      <c r="H46" s="2">
        <v>137</v>
      </c>
      <c r="I46" s="2" t="s">
        <v>20</v>
      </c>
      <c r="J46" s="2">
        <f>G46-H46</f>
        <v>383</v>
      </c>
      <c r="K46" s="2">
        <v>8.4</v>
      </c>
      <c r="L46" s="2">
        <v>1500</v>
      </c>
      <c r="M46" s="2">
        <v>2000</v>
      </c>
      <c r="N46" s="2">
        <v>2500</v>
      </c>
      <c r="O46" s="2">
        <f>ROUND(L46/Assumptions!$B$2,0)</f>
        <v>208</v>
      </c>
      <c r="P46" s="2">
        <f>ROUND(M46/Assumptions!$B$2,0)</f>
        <v>278</v>
      </c>
      <c r="Q46" s="2">
        <f>ROUND(N46/Assumptions!$B$2,0)</f>
        <v>347</v>
      </c>
      <c r="R46" s="2">
        <f>COUNTIF('Raw Data'!$B$2:$B$417,A46)</f>
        <v>2</v>
      </c>
      <c r="S46" s="8">
        <f>SUMIF('Raw Data'!$B$2:$B$417,A46,'Raw Data'!$L$2:$L$417)</f>
        <v>766.0</v>
      </c>
      <c r="T46" s="8">
        <f>S46-O46</f>
        <v>558.0</v>
      </c>
      <c r="U46" s="8">
        <f>S46-P46</f>
        <v>488.0</v>
      </c>
      <c r="V46" s="8">
        <f>S46-Q46</f>
        <v>419.0</v>
      </c>
      <c r="W46" s="2" t="str">
        <f>IF(R46=0,"Not Opened",IF(V46&gt;=0,"Recovered - All Scenarios",IF(U46&gt;=0,"Recovered - Low &amp; Base",IF(T46&gt;=0,"Recovered - Low Only","Not Recovered"))))</f>
        <v>Recovered - All Scenarios</v>
      </c>
      <c r="X46" s="8">
        <f>IF(R46=0,0,S46/R46)</f>
        <v>383.0</v>
      </c>
      <c r="Y46" s="2">
        <f>R46</f>
        <v>2</v>
      </c>
      <c r="Z46" s="8">
        <f>IF(R46=0,"",S46/R46)</f>
        <v>383.0</v>
      </c>
      <c r="AA46" s="2" t="str">
        <f>IF(R46=0,"Not Opened",IF(R46&gt;=Assumptions!$B$3,"High Frequency","Low Frequency")&amp;" / "&amp;IF(X46&gt;=Assumptions!$B$4,"High Contribution","Low Contribution"))</f>
        <v>High Frequency / Low Contribution</v>
      </c>
    </row>
    <row r="47" spans="1:27">
      <c r="A47" s="2" t="s">
        <v>69</v>
      </c>
      <c r="B47" s="2" t="s">
        <v>267</v>
      </c>
      <c r="C47" s="2" t="s">
        <v>212</v>
      </c>
      <c r="D47" s="2">
        <v>2</v>
      </c>
      <c r="E47" s="2">
        <v>6</v>
      </c>
      <c r="F47" s="2">
        <v>109</v>
      </c>
      <c r="G47" s="2">
        <f>E47*F47</f>
        <v>654</v>
      </c>
      <c r="H47" s="2">
        <v>180</v>
      </c>
      <c r="I47" s="2" t="s">
        <v>22</v>
      </c>
      <c r="J47" s="2">
        <f>G47-H47</f>
        <v>474</v>
      </c>
      <c r="K47" s="2">
        <v>7</v>
      </c>
      <c r="L47" s="2">
        <v>0</v>
      </c>
      <c r="M47" s="2">
        <v>750</v>
      </c>
      <c r="N47" s="2">
        <v>1000</v>
      </c>
      <c r="O47" s="2">
        <f>ROUND(L47/Assumptions!$B$2,0)</f>
        <v>0</v>
      </c>
      <c r="P47" s="2">
        <f>ROUND(M47/Assumptions!$B$2,0)</f>
        <v>104</v>
      </c>
      <c r="Q47" s="2">
        <f>ROUND(N47/Assumptions!$B$2,0)</f>
        <v>139</v>
      </c>
      <c r="R47" s="2">
        <f>COUNTIF('Raw Data'!$B$2:$B$417,A47)</f>
        <v>4</v>
      </c>
      <c r="S47" s="8">
        <f>SUMIF('Raw Data'!$B$2:$B$417,A47,'Raw Data'!$L$2:$L$417)</f>
        <v>1896.0</v>
      </c>
      <c r="T47" s="8">
        <f>S47-O47</f>
        <v>1896.0</v>
      </c>
      <c r="U47" s="8">
        <f>S47-P47</f>
        <v>1792.0</v>
      </c>
      <c r="V47" s="8">
        <f>S47-Q47</f>
        <v>1757.0</v>
      </c>
      <c r="W47" s="2" t="str">
        <f>IF(R47=0,"Not Opened",IF(V47&gt;=0,"Recovered - All Scenarios",IF(U47&gt;=0,"Recovered - Low &amp; Base",IF(T47&gt;=0,"Recovered - Low Only","Not Recovered"))))</f>
        <v>Recovered - All Scenarios</v>
      </c>
      <c r="X47" s="8">
        <f>IF(R47=0,0,S47/R47)</f>
        <v>474.0</v>
      </c>
      <c r="Y47" s="2">
        <f>R47</f>
        <v>4</v>
      </c>
      <c r="Z47" s="8">
        <f>IF(R47=0,"",S47/R47)</f>
        <v>474.0</v>
      </c>
      <c r="AA47" s="2" t="str">
        <f>IF(R47=0,"Not Opened",IF(R47&gt;=Assumptions!$B$3,"High Frequency","Low Frequency")&amp;" / "&amp;IF(X47&gt;=Assumptions!$B$4,"High Contribution","Low Contribution"))</f>
        <v>High Frequency / Low Contribution</v>
      </c>
    </row>
    <row r="48" spans="1:27">
      <c r="A48" s="2" t="s">
        <v>268</v>
      </c>
      <c r="B48" s="2" t="s">
        <v>269</v>
      </c>
      <c r="C48" s="2" t="s">
        <v>223</v>
      </c>
      <c r="D48" s="2">
        <v>1</v>
      </c>
      <c r="E48" s="2">
        <v>6</v>
      </c>
      <c r="F48" s="2">
        <v>129</v>
      </c>
      <c r="G48" s="2">
        <f>E48*F48</f>
        <v>774</v>
      </c>
      <c r="H48" s="2">
        <v>203</v>
      </c>
      <c r="I48" s="2" t="s">
        <v>20</v>
      </c>
      <c r="J48" s="2">
        <f>G48-H48</f>
        <v>571</v>
      </c>
      <c r="K48" s="2">
        <v>7.7</v>
      </c>
      <c r="L48" s="2">
        <v>1500</v>
      </c>
      <c r="M48" s="2">
        <v>2000</v>
      </c>
      <c r="N48" s="2">
        <v>2500</v>
      </c>
      <c r="O48" s="2">
        <f>ROUND(L48/Assumptions!$B$2,0)</f>
        <v>208</v>
      </c>
      <c r="P48" s="2">
        <f>ROUND(M48/Assumptions!$B$2,0)</f>
        <v>278</v>
      </c>
      <c r="Q48" s="2">
        <f>ROUND(N48/Assumptions!$B$2,0)</f>
        <v>347</v>
      </c>
      <c r="R48" s="2">
        <f>COUNTIF('Raw Data'!$B$2:$B$417,A48)</f>
        <v>0</v>
      </c>
      <c r="S48" s="8">
        <f>SUMIF('Raw Data'!$B$2:$B$417,A48,'Raw Data'!$L$2:$L$417)</f>
        <v>0.0</v>
      </c>
      <c r="T48" s="8">
        <f>S48-O48</f>
        <v>-208.0</v>
      </c>
      <c r="U48" s="8">
        <f>S48-P48</f>
        <v>-278.0</v>
      </c>
      <c r="V48" s="8">
        <f>S48-Q48</f>
        <v>-347.0</v>
      </c>
      <c r="W48" s="2" t="str">
        <f>IF(R48=0,"Not Opened",IF(V48&gt;=0,"Recovered - All Scenarios",IF(U48&gt;=0,"Recovered - Low &amp; Base",IF(T48&gt;=0,"Recovered - Low Only","Not Recovered"))))</f>
        <v>Not Opened</v>
      </c>
      <c r="X48" s="2">
        <f>IF(R48=0,0,S48/R48)</f>
        <v>0</v>
      </c>
      <c r="Y48" s="2">
        <f>R48</f>
        <v>0</v>
      </c>
      <c r="Z48" s="2">
        <f>IF(R48=0,"",S48/R48)</f>
        <v/>
      </c>
      <c r="AA48" s="2" t="str">
        <f>IF(R48=0,"Not Opened",IF(R48&gt;=Assumptions!$B$3,"High Frequency","Low Frequency")&amp;" / "&amp;IF(X48&gt;=Assumptions!$B$4,"High Contribution","Low Contribution"))</f>
        <v>Not Opened</v>
      </c>
    </row>
    <row r="49" spans="1:27">
      <c r="A49" s="2" t="s">
        <v>70</v>
      </c>
      <c r="B49" s="2" t="s">
        <v>270</v>
      </c>
      <c r="C49" s="2" t="s">
        <v>214</v>
      </c>
      <c r="D49" s="2">
        <v>1</v>
      </c>
      <c r="E49" s="2">
        <v>6</v>
      </c>
      <c r="F49" s="2">
        <v>119</v>
      </c>
      <c r="G49" s="2">
        <f>E49*F49</f>
        <v>714</v>
      </c>
      <c r="H49" s="2">
        <v>187</v>
      </c>
      <c r="I49" s="2" t="s">
        <v>22</v>
      </c>
      <c r="J49" s="2">
        <f>G49-H49</f>
        <v>527</v>
      </c>
      <c r="K49" s="2">
        <v>8.4</v>
      </c>
      <c r="L49" s="2">
        <v>0</v>
      </c>
      <c r="M49" s="2">
        <v>750</v>
      </c>
      <c r="N49" s="2">
        <v>1000</v>
      </c>
      <c r="O49" s="2">
        <f>ROUND(L49/Assumptions!$B$2,0)</f>
        <v>0</v>
      </c>
      <c r="P49" s="2">
        <f>ROUND(M49/Assumptions!$B$2,0)</f>
        <v>104</v>
      </c>
      <c r="Q49" s="2">
        <f>ROUND(N49/Assumptions!$B$2,0)</f>
        <v>139</v>
      </c>
      <c r="R49" s="2">
        <f>COUNTIF('Raw Data'!$B$2:$B$417,A49)</f>
        <v>2</v>
      </c>
      <c r="S49" s="8">
        <f>SUMIF('Raw Data'!$B$2:$B$417,A49,'Raw Data'!$L$2:$L$417)</f>
        <v>1054.0</v>
      </c>
      <c r="T49" s="8">
        <f>S49-O49</f>
        <v>1054.0</v>
      </c>
      <c r="U49" s="8">
        <f>S49-P49</f>
        <v>950.0</v>
      </c>
      <c r="V49" s="8">
        <f>S49-Q49</f>
        <v>915.0</v>
      </c>
      <c r="W49" s="2" t="str">
        <f>IF(R49=0,"Not Opened",IF(V49&gt;=0,"Recovered - All Scenarios",IF(U49&gt;=0,"Recovered - Low &amp; Base",IF(T49&gt;=0,"Recovered - Low Only","Not Recovered"))))</f>
        <v>Recovered - All Scenarios</v>
      </c>
      <c r="X49" s="8">
        <f>IF(R49=0,0,S49/R49)</f>
        <v>527.0</v>
      </c>
      <c r="Y49" s="2">
        <f>R49</f>
        <v>2</v>
      </c>
      <c r="Z49" s="8">
        <f>IF(R49=0,"",S49/R49)</f>
        <v>527.0</v>
      </c>
      <c r="AA49" s="2" t="str">
        <f>IF(R49=0,"Not Opened",IF(R49&gt;=Assumptions!$B$3,"High Frequency","Low Frequency")&amp;" / "&amp;IF(X49&gt;=Assumptions!$B$4,"High Contribution","Low Contribution"))</f>
        <v>High Frequency / High Contribution</v>
      </c>
    </row>
    <row r="50" spans="1:27">
      <c r="A50" s="2" t="s">
        <v>71</v>
      </c>
      <c r="B50" s="2" t="s">
        <v>271</v>
      </c>
      <c r="C50" s="2" t="s">
        <v>218</v>
      </c>
      <c r="D50" s="2">
        <v>3</v>
      </c>
      <c r="E50" s="2">
        <v>7</v>
      </c>
      <c r="F50" s="2">
        <v>95</v>
      </c>
      <c r="G50" s="2">
        <f>E50*F50</f>
        <v>665</v>
      </c>
      <c r="H50" s="2">
        <v>175</v>
      </c>
      <c r="I50" s="2" t="s">
        <v>21</v>
      </c>
      <c r="J50" s="2">
        <f>G50-H50</f>
        <v>490</v>
      </c>
      <c r="K50" s="2">
        <v>7</v>
      </c>
      <c r="L50" s="2">
        <v>2500</v>
      </c>
      <c r="M50" s="2">
        <v>3000</v>
      </c>
      <c r="N50" s="2">
        <v>3500</v>
      </c>
      <c r="O50" s="2">
        <f>ROUND(L50/Assumptions!$B$2,0)</f>
        <v>347</v>
      </c>
      <c r="P50" s="2">
        <f>ROUND(M50/Assumptions!$B$2,0)</f>
        <v>417</v>
      </c>
      <c r="Q50" s="2">
        <f>ROUND(N50/Assumptions!$B$2,0)</f>
        <v>486</v>
      </c>
      <c r="R50" s="2">
        <f>COUNTIF('Raw Data'!$B$2:$B$417,A50)</f>
        <v>4</v>
      </c>
      <c r="S50" s="8">
        <f>SUMIF('Raw Data'!$B$2:$B$417,A50,'Raw Data'!$L$2:$L$417)</f>
        <v>1960.0</v>
      </c>
      <c r="T50" s="8">
        <f>S50-O50</f>
        <v>1613.0</v>
      </c>
      <c r="U50" s="8">
        <f>S50-P50</f>
        <v>1543.0</v>
      </c>
      <c r="V50" s="8">
        <f>S50-Q50</f>
        <v>1474.0</v>
      </c>
      <c r="W50" s="2" t="str">
        <f>IF(R50=0,"Not Opened",IF(V50&gt;=0,"Recovered - All Scenarios",IF(U50&gt;=0,"Recovered - Low &amp; Base",IF(T50&gt;=0,"Recovered - Low Only","Not Recovered"))))</f>
        <v>Recovered - All Scenarios</v>
      </c>
      <c r="X50" s="8">
        <f>IF(R50=0,0,S50/R50)</f>
        <v>490.0</v>
      </c>
      <c r="Y50" s="2">
        <f>R50</f>
        <v>4</v>
      </c>
      <c r="Z50" s="8">
        <f>IF(R50=0,"",S50/R50)</f>
        <v>490.0</v>
      </c>
      <c r="AA50" s="2" t="str">
        <f>IF(R50=0,"Not Opened",IF(R50&gt;=Assumptions!$B$3,"High Frequency","Low Frequency")&amp;" / "&amp;IF(X50&gt;=Assumptions!$B$4,"High Contribution","Low Contribution"))</f>
        <v>High Frequency / High Contribution</v>
      </c>
    </row>
    <row r="51" spans="1:27">
      <c r="A51" s="2" t="s">
        <v>72</v>
      </c>
      <c r="B51" s="2" t="s">
        <v>272</v>
      </c>
      <c r="C51" s="2" t="s">
        <v>212</v>
      </c>
      <c r="D51" s="2">
        <v>6</v>
      </c>
      <c r="E51" s="2">
        <v>8</v>
      </c>
      <c r="F51" s="2">
        <v>109</v>
      </c>
      <c r="G51" s="2">
        <f>E51*F51</f>
        <v>872</v>
      </c>
      <c r="H51" s="2">
        <v>540</v>
      </c>
      <c r="I51" s="2" t="s">
        <v>22</v>
      </c>
      <c r="J51" s="2">
        <f>G51-H51</f>
        <v>332</v>
      </c>
      <c r="K51" s="2">
        <v>7.7</v>
      </c>
      <c r="L51" s="2">
        <v>0</v>
      </c>
      <c r="M51" s="2">
        <v>750</v>
      </c>
      <c r="N51" s="2">
        <v>1000</v>
      </c>
      <c r="O51" s="2">
        <f>ROUND(L51/Assumptions!$B$2,0)</f>
        <v>0</v>
      </c>
      <c r="P51" s="2">
        <f>ROUND(M51/Assumptions!$B$2,0)</f>
        <v>104</v>
      </c>
      <c r="Q51" s="2">
        <f>ROUND(N51/Assumptions!$B$2,0)</f>
        <v>139</v>
      </c>
      <c r="R51" s="2">
        <f>COUNTIF('Raw Data'!$B$2:$B$417,A51)</f>
        <v>1</v>
      </c>
      <c r="S51" s="8">
        <f>SUMIF('Raw Data'!$B$2:$B$417,A51,'Raw Data'!$L$2:$L$417)</f>
        <v>332.0</v>
      </c>
      <c r="T51" s="8">
        <f>S51-O51</f>
        <v>332.0</v>
      </c>
      <c r="U51" s="8">
        <f>S51-P51</f>
        <v>228.0</v>
      </c>
      <c r="V51" s="8">
        <f>S51-Q51</f>
        <v>193.0</v>
      </c>
      <c r="W51" s="2" t="str">
        <f>IF(R51=0,"Not Opened",IF(V51&gt;=0,"Recovered - All Scenarios",IF(U51&gt;=0,"Recovered - Low &amp; Base",IF(T51&gt;=0,"Recovered - Low Only","Not Recovered"))))</f>
        <v>Recovered - All Scenarios</v>
      </c>
      <c r="X51" s="8">
        <f>IF(R51=0,0,S51/R51)</f>
        <v>332.0</v>
      </c>
      <c r="Y51" s="2">
        <f>R51</f>
        <v>1</v>
      </c>
      <c r="Z51" s="8">
        <f>IF(R51=0,"",S51/R51)</f>
        <v>332.0</v>
      </c>
      <c r="AA51" s="2" t="str">
        <f>IF(R51=0,"Not Opened",IF(R51&gt;=Assumptions!$B$3,"High Frequency","Low Frequency")&amp;" / "&amp;IF(X51&gt;=Assumptions!$B$4,"High Contribution","Low Contribution"))</f>
        <v>Low Frequency / Low Contribution</v>
      </c>
    </row>
    <row r="52" spans="1:27">
      <c r="A52" s="2" t="s">
        <v>73</v>
      </c>
      <c r="B52" s="2" t="s">
        <v>273</v>
      </c>
      <c r="C52" s="2" t="s">
        <v>212</v>
      </c>
      <c r="D52" s="2">
        <v>2</v>
      </c>
      <c r="E52" s="2">
        <v>6</v>
      </c>
      <c r="F52" s="2">
        <v>118</v>
      </c>
      <c r="G52" s="2">
        <f>E52*F52</f>
        <v>708</v>
      </c>
      <c r="H52" s="2">
        <v>180</v>
      </c>
      <c r="I52" s="2" t="s">
        <v>22</v>
      </c>
      <c r="J52" s="2">
        <f>G52-H52</f>
        <v>528</v>
      </c>
      <c r="K52" s="2">
        <v>8.4</v>
      </c>
      <c r="L52" s="2">
        <v>0</v>
      </c>
      <c r="M52" s="2">
        <v>750</v>
      </c>
      <c r="N52" s="2">
        <v>1000</v>
      </c>
      <c r="O52" s="2">
        <f>ROUND(L52/Assumptions!$B$2,0)</f>
        <v>0</v>
      </c>
      <c r="P52" s="2">
        <f>ROUND(M52/Assumptions!$B$2,0)</f>
        <v>104</v>
      </c>
      <c r="Q52" s="2">
        <f>ROUND(N52/Assumptions!$B$2,0)</f>
        <v>139</v>
      </c>
      <c r="R52" s="2">
        <f>COUNTIF('Raw Data'!$B$2:$B$417,A52)</f>
        <v>2</v>
      </c>
      <c r="S52" s="8">
        <f>SUMIF('Raw Data'!$B$2:$B$417,A52,'Raw Data'!$L$2:$L$417)</f>
        <v>1056.0</v>
      </c>
      <c r="T52" s="8">
        <f>S52-O52</f>
        <v>1056.0</v>
      </c>
      <c r="U52" s="8">
        <f>S52-P52</f>
        <v>952.0</v>
      </c>
      <c r="V52" s="8">
        <f>S52-Q52</f>
        <v>917.0</v>
      </c>
      <c r="W52" s="2" t="str">
        <f>IF(R52=0,"Not Opened",IF(V52&gt;=0,"Recovered - All Scenarios",IF(U52&gt;=0,"Recovered - Low &amp; Base",IF(T52&gt;=0,"Recovered - Low Only","Not Recovered"))))</f>
        <v>Recovered - All Scenarios</v>
      </c>
      <c r="X52" s="8">
        <f>IF(R52=0,0,S52/R52)</f>
        <v>528.0</v>
      </c>
      <c r="Y52" s="2">
        <f>R52</f>
        <v>2</v>
      </c>
      <c r="Z52" s="8">
        <f>IF(R52=0,"",S52/R52)</f>
        <v>528.0</v>
      </c>
      <c r="AA52" s="2" t="str">
        <f>IF(R52=0,"Not Opened",IF(R52&gt;=Assumptions!$B$3,"High Frequency","Low Frequency")&amp;" / "&amp;IF(X52&gt;=Assumptions!$B$4,"High Contribution","Low Contribution"))</f>
        <v>High Frequency / High Contribution</v>
      </c>
    </row>
    <row r="53" spans="1:27">
      <c r="A53" s="2" t="s">
        <v>74</v>
      </c>
      <c r="B53" s="2" t="s">
        <v>274</v>
      </c>
      <c r="C53" s="2" t="s">
        <v>214</v>
      </c>
      <c r="D53" s="2">
        <v>1</v>
      </c>
      <c r="E53" s="2">
        <v>6</v>
      </c>
      <c r="F53" s="2">
        <v>119</v>
      </c>
      <c r="G53" s="2">
        <f>E53*F53</f>
        <v>714</v>
      </c>
      <c r="H53" s="2">
        <v>187</v>
      </c>
      <c r="I53" s="2" t="s">
        <v>20</v>
      </c>
      <c r="J53" s="2">
        <f>G53-H53</f>
        <v>527</v>
      </c>
      <c r="K53" s="2">
        <v>7</v>
      </c>
      <c r="L53" s="2">
        <v>1500</v>
      </c>
      <c r="M53" s="2">
        <v>2000</v>
      </c>
      <c r="N53" s="2">
        <v>2500</v>
      </c>
      <c r="O53" s="2">
        <f>ROUND(L53/Assumptions!$B$2,0)</f>
        <v>208</v>
      </c>
      <c r="P53" s="2">
        <f>ROUND(M53/Assumptions!$B$2,0)</f>
        <v>278</v>
      </c>
      <c r="Q53" s="2">
        <f>ROUND(N53/Assumptions!$B$2,0)</f>
        <v>347</v>
      </c>
      <c r="R53" s="2">
        <f>COUNTIF('Raw Data'!$B$2:$B$417,A53)</f>
        <v>5</v>
      </c>
      <c r="S53" s="8">
        <f>SUMIF('Raw Data'!$B$2:$B$417,A53,'Raw Data'!$L$2:$L$417)</f>
        <v>2635.0</v>
      </c>
      <c r="T53" s="8">
        <f>S53-O53</f>
        <v>2427.0</v>
      </c>
      <c r="U53" s="8">
        <f>S53-P53</f>
        <v>2357.0</v>
      </c>
      <c r="V53" s="8">
        <f>S53-Q53</f>
        <v>2288.0</v>
      </c>
      <c r="W53" s="2" t="str">
        <f>IF(R53=0,"Not Opened",IF(V53&gt;=0,"Recovered - All Scenarios",IF(U53&gt;=0,"Recovered - Low &amp; Base",IF(T53&gt;=0,"Recovered - Low Only","Not Recovered"))))</f>
        <v>Recovered - All Scenarios</v>
      </c>
      <c r="X53" s="8">
        <f>IF(R53=0,0,S53/R53)</f>
        <v>527.0</v>
      </c>
      <c r="Y53" s="2">
        <f>R53</f>
        <v>5</v>
      </c>
      <c r="Z53" s="8">
        <f>IF(R53=0,"",S53/R53)</f>
        <v>527.0</v>
      </c>
      <c r="AA53" s="2" t="str">
        <f>IF(R53=0,"Not Opened",IF(R53&gt;=Assumptions!$B$3,"High Frequency","Low Frequency")&amp;" / "&amp;IF(X53&gt;=Assumptions!$B$4,"High Contribution","Low Contribution"))</f>
        <v>High Frequency / High Contribution</v>
      </c>
    </row>
    <row r="54" spans="1:27">
      <c r="A54" s="2" t="s">
        <v>75</v>
      </c>
      <c r="B54" s="2" t="s">
        <v>275</v>
      </c>
      <c r="C54" s="2" t="s">
        <v>212</v>
      </c>
      <c r="D54" s="2">
        <v>3</v>
      </c>
      <c r="E54" s="2">
        <v>6</v>
      </c>
      <c r="F54" s="2">
        <v>99</v>
      </c>
      <c r="G54" s="2">
        <f>E54*F54</f>
        <v>594</v>
      </c>
      <c r="H54" s="2">
        <v>270</v>
      </c>
      <c r="I54" s="2" t="s">
        <v>22</v>
      </c>
      <c r="J54" s="2">
        <f>G54-H54</f>
        <v>324</v>
      </c>
      <c r="K54" s="2">
        <v>7.7</v>
      </c>
      <c r="L54" s="2">
        <v>0</v>
      </c>
      <c r="M54" s="2">
        <v>750</v>
      </c>
      <c r="N54" s="2">
        <v>1000</v>
      </c>
      <c r="O54" s="2">
        <f>ROUND(L54/Assumptions!$B$2,0)</f>
        <v>0</v>
      </c>
      <c r="P54" s="2">
        <f>ROUND(M54/Assumptions!$B$2,0)</f>
        <v>104</v>
      </c>
      <c r="Q54" s="2">
        <f>ROUND(N54/Assumptions!$B$2,0)</f>
        <v>139</v>
      </c>
      <c r="R54" s="2">
        <f>COUNTIF('Raw Data'!$B$2:$B$417,A54)</f>
        <v>1</v>
      </c>
      <c r="S54" s="8">
        <f>SUMIF('Raw Data'!$B$2:$B$417,A54,'Raw Data'!$L$2:$L$417)</f>
        <v>324.0</v>
      </c>
      <c r="T54" s="8">
        <f>S54-O54</f>
        <v>324.0</v>
      </c>
      <c r="U54" s="8">
        <f>S54-P54</f>
        <v>220.0</v>
      </c>
      <c r="V54" s="8">
        <f>S54-Q54</f>
        <v>185.0</v>
      </c>
      <c r="W54" s="2" t="str">
        <f>IF(R54=0,"Not Opened",IF(V54&gt;=0,"Recovered - All Scenarios",IF(U54&gt;=0,"Recovered - Low &amp; Base",IF(T54&gt;=0,"Recovered - Low Only","Not Recovered"))))</f>
        <v>Recovered - All Scenarios</v>
      </c>
      <c r="X54" s="8">
        <f>IF(R54=0,0,S54/R54)</f>
        <v>324.0</v>
      </c>
      <c r="Y54" s="2">
        <f>R54</f>
        <v>1</v>
      </c>
      <c r="Z54" s="8">
        <f>IF(R54=0,"",S54/R54)</f>
        <v>324.0</v>
      </c>
      <c r="AA54" s="2" t="str">
        <f>IF(R54=0,"Not Opened",IF(R54&gt;=Assumptions!$B$3,"High Frequency","Low Frequency")&amp;" / "&amp;IF(X54&gt;=Assumptions!$B$4,"High Contribution","Low Contribution"))</f>
        <v>Low Frequency / Low Contribution</v>
      </c>
    </row>
    <row r="55" spans="1:27">
      <c r="A55" s="2" t="s">
        <v>76</v>
      </c>
      <c r="B55" s="2" t="s">
        <v>276</v>
      </c>
      <c r="C55" s="2" t="s">
        <v>218</v>
      </c>
      <c r="D55" s="2">
        <v>3</v>
      </c>
      <c r="E55" s="2">
        <v>7</v>
      </c>
      <c r="F55" s="2">
        <v>109</v>
      </c>
      <c r="G55" s="2">
        <f>E55*F55</f>
        <v>763</v>
      </c>
      <c r="H55" s="2">
        <v>200</v>
      </c>
      <c r="I55" s="2" t="s">
        <v>21</v>
      </c>
      <c r="J55" s="2">
        <f>G55-H55</f>
        <v>563</v>
      </c>
      <c r="K55" s="2">
        <v>8.4</v>
      </c>
      <c r="L55" s="2">
        <v>2500</v>
      </c>
      <c r="M55" s="2">
        <v>3000</v>
      </c>
      <c r="N55" s="2">
        <v>3500</v>
      </c>
      <c r="O55" s="2">
        <f>ROUND(L55/Assumptions!$B$2,0)</f>
        <v>347</v>
      </c>
      <c r="P55" s="2">
        <f>ROUND(M55/Assumptions!$B$2,0)</f>
        <v>417</v>
      </c>
      <c r="Q55" s="2">
        <f>ROUND(N55/Assumptions!$B$2,0)</f>
        <v>486</v>
      </c>
      <c r="R55" s="2">
        <f>COUNTIF('Raw Data'!$B$2:$B$417,A55)</f>
        <v>2</v>
      </c>
      <c r="S55" s="8">
        <f>SUMIF('Raw Data'!$B$2:$B$417,A55,'Raw Data'!$L$2:$L$417)</f>
        <v>1126.0</v>
      </c>
      <c r="T55" s="8">
        <f>S55-O55</f>
        <v>779.0</v>
      </c>
      <c r="U55" s="8">
        <f>S55-P55</f>
        <v>709.0</v>
      </c>
      <c r="V55" s="8">
        <f>S55-Q55</f>
        <v>640.0</v>
      </c>
      <c r="W55" s="2" t="str">
        <f>IF(R55=0,"Not Opened",IF(V55&gt;=0,"Recovered - All Scenarios",IF(U55&gt;=0,"Recovered - Low &amp; Base",IF(T55&gt;=0,"Recovered - Low Only","Not Recovered"))))</f>
        <v>Recovered - All Scenarios</v>
      </c>
      <c r="X55" s="8">
        <f>IF(R55=0,0,S55/R55)</f>
        <v>563.0</v>
      </c>
      <c r="Y55" s="2">
        <f>R55</f>
        <v>2</v>
      </c>
      <c r="Z55" s="8">
        <f>IF(R55=0,"",S55/R55)</f>
        <v>563.0</v>
      </c>
      <c r="AA55" s="2" t="str">
        <f>IF(R55=0,"Not Opened",IF(R55&gt;=Assumptions!$B$3,"High Frequency","Low Frequency")&amp;" / "&amp;IF(X55&gt;=Assumptions!$B$4,"High Contribution","Low Contribution"))</f>
        <v>High Frequency / High Contribution</v>
      </c>
    </row>
    <row r="56" spans="1:27">
      <c r="A56" s="2" t="s">
        <v>77</v>
      </c>
      <c r="B56" s="2" t="s">
        <v>277</v>
      </c>
      <c r="C56" s="2" t="s">
        <v>214</v>
      </c>
      <c r="D56" s="2">
        <v>2</v>
      </c>
      <c r="E56" s="2">
        <v>8</v>
      </c>
      <c r="F56" s="2">
        <v>95</v>
      </c>
      <c r="G56" s="2">
        <f>E56*F56</f>
        <v>760</v>
      </c>
      <c r="H56" s="2">
        <v>200</v>
      </c>
      <c r="I56" s="2" t="s">
        <v>20</v>
      </c>
      <c r="J56" s="2">
        <f>G56-H56</f>
        <v>560</v>
      </c>
      <c r="K56" s="2">
        <v>7</v>
      </c>
      <c r="L56" s="2">
        <v>1500</v>
      </c>
      <c r="M56" s="2">
        <v>2000</v>
      </c>
      <c r="N56" s="2">
        <v>2500</v>
      </c>
      <c r="O56" s="2">
        <f>ROUND(L56/Assumptions!$B$2,0)</f>
        <v>208</v>
      </c>
      <c r="P56" s="2">
        <f>ROUND(M56/Assumptions!$B$2,0)</f>
        <v>278</v>
      </c>
      <c r="Q56" s="2">
        <f>ROUND(N56/Assumptions!$B$2,0)</f>
        <v>347</v>
      </c>
      <c r="R56" s="2">
        <f>COUNTIF('Raw Data'!$B$2:$B$417,A56)</f>
        <v>7</v>
      </c>
      <c r="S56" s="8">
        <f>SUMIF('Raw Data'!$B$2:$B$417,A56,'Raw Data'!$L$2:$L$417)</f>
        <v>3920.0</v>
      </c>
      <c r="T56" s="8">
        <f>S56-O56</f>
        <v>3712.0</v>
      </c>
      <c r="U56" s="8">
        <f>S56-P56</f>
        <v>3642.0</v>
      </c>
      <c r="V56" s="8">
        <f>S56-Q56</f>
        <v>3573.0</v>
      </c>
      <c r="W56" s="2" t="str">
        <f>IF(R56=0,"Not Opened",IF(V56&gt;=0,"Recovered - All Scenarios",IF(U56&gt;=0,"Recovered - Low &amp; Base",IF(T56&gt;=0,"Recovered - Low Only","Not Recovered"))))</f>
        <v>Recovered - All Scenarios</v>
      </c>
      <c r="X56" s="8">
        <f>IF(R56=0,0,S56/R56)</f>
        <v>560.0</v>
      </c>
      <c r="Y56" s="2">
        <f>R56</f>
        <v>7</v>
      </c>
      <c r="Z56" s="8">
        <f>IF(R56=0,"",S56/R56)</f>
        <v>560.0</v>
      </c>
      <c r="AA56" s="2" t="str">
        <f>IF(R56=0,"Not Opened",IF(R56&gt;=Assumptions!$B$3,"High Frequency","Low Frequency")&amp;" / "&amp;IF(X56&gt;=Assumptions!$B$4,"High Contribution","Low Contribution"))</f>
        <v>High Frequency / High Contribution</v>
      </c>
    </row>
    <row r="57" spans="1:27">
      <c r="A57" s="2" t="s">
        <v>78</v>
      </c>
      <c r="B57" s="2" t="s">
        <v>278</v>
      </c>
      <c r="C57" s="2" t="s">
        <v>212</v>
      </c>
      <c r="D57" s="2">
        <v>2</v>
      </c>
      <c r="E57" s="2">
        <v>6</v>
      </c>
      <c r="F57" s="2">
        <v>138</v>
      </c>
      <c r="G57" s="2">
        <f>E57*F57</f>
        <v>828</v>
      </c>
      <c r="H57" s="2">
        <v>180</v>
      </c>
      <c r="I57" s="2" t="s">
        <v>22</v>
      </c>
      <c r="J57" s="2">
        <f>G57-H57</f>
        <v>648</v>
      </c>
      <c r="K57" s="2">
        <v>7.7</v>
      </c>
      <c r="L57" s="2">
        <v>0</v>
      </c>
      <c r="M57" s="2">
        <v>750</v>
      </c>
      <c r="N57" s="2">
        <v>1000</v>
      </c>
      <c r="O57" s="2">
        <f>ROUND(L57/Assumptions!$B$2,0)</f>
        <v>0</v>
      </c>
      <c r="P57" s="2">
        <f>ROUND(M57/Assumptions!$B$2,0)</f>
        <v>104</v>
      </c>
      <c r="Q57" s="2">
        <f>ROUND(N57/Assumptions!$B$2,0)</f>
        <v>139</v>
      </c>
      <c r="R57" s="2">
        <f>COUNTIF('Raw Data'!$B$2:$B$417,A57)</f>
        <v>1</v>
      </c>
      <c r="S57" s="8">
        <f>SUMIF('Raw Data'!$B$2:$B$417,A57,'Raw Data'!$L$2:$L$417)</f>
        <v>648.0</v>
      </c>
      <c r="T57" s="8">
        <f>S57-O57</f>
        <v>648.0</v>
      </c>
      <c r="U57" s="8">
        <f>S57-P57</f>
        <v>544.0</v>
      </c>
      <c r="V57" s="8">
        <f>S57-Q57</f>
        <v>509.0</v>
      </c>
      <c r="W57" s="2" t="str">
        <f>IF(R57=0,"Not Opened",IF(V57&gt;=0,"Recovered - All Scenarios",IF(U57&gt;=0,"Recovered - Low &amp; Base",IF(T57&gt;=0,"Recovered - Low Only","Not Recovered"))))</f>
        <v>Recovered - All Scenarios</v>
      </c>
      <c r="X57" s="8">
        <f>IF(R57=0,0,S57/R57)</f>
        <v>648.0</v>
      </c>
      <c r="Y57" s="2">
        <f>R57</f>
        <v>1</v>
      </c>
      <c r="Z57" s="8">
        <f>IF(R57=0,"",S57/R57)</f>
        <v>648.0</v>
      </c>
      <c r="AA57" s="2" t="str">
        <f>IF(R57=0,"Not Opened",IF(R57&gt;=Assumptions!$B$3,"High Frequency","Low Frequency")&amp;" / "&amp;IF(X57&gt;=Assumptions!$B$4,"High Contribution","Low Contribution"))</f>
        <v>Low Frequency / High Contribution</v>
      </c>
    </row>
    <row r="58" spans="1:27">
      <c r="A58" s="2" t="s">
        <v>79</v>
      </c>
      <c r="B58" s="2" t="s">
        <v>279</v>
      </c>
      <c r="C58" s="2" t="s">
        <v>223</v>
      </c>
      <c r="D58" s="2">
        <v>1</v>
      </c>
      <c r="E58" s="2">
        <v>6</v>
      </c>
      <c r="F58" s="2">
        <v>109</v>
      </c>
      <c r="G58" s="2">
        <f>E58*F58</f>
        <v>654</v>
      </c>
      <c r="H58" s="2">
        <v>172</v>
      </c>
      <c r="I58" s="2" t="s">
        <v>20</v>
      </c>
      <c r="J58" s="2">
        <f>G58-H58</f>
        <v>482</v>
      </c>
      <c r="K58" s="2">
        <v>8.4</v>
      </c>
      <c r="L58" s="2">
        <v>1500</v>
      </c>
      <c r="M58" s="2">
        <v>2000</v>
      </c>
      <c r="N58" s="2">
        <v>2500</v>
      </c>
      <c r="O58" s="2">
        <f>ROUND(L58/Assumptions!$B$2,0)</f>
        <v>208</v>
      </c>
      <c r="P58" s="2">
        <f>ROUND(M58/Assumptions!$B$2,0)</f>
        <v>278</v>
      </c>
      <c r="Q58" s="2">
        <f>ROUND(N58/Assumptions!$B$2,0)</f>
        <v>347</v>
      </c>
      <c r="R58" s="2">
        <f>COUNTIF('Raw Data'!$B$2:$B$417,A58)</f>
        <v>3</v>
      </c>
      <c r="S58" s="8">
        <f>SUMIF('Raw Data'!$B$2:$B$417,A58,'Raw Data'!$L$2:$L$417)</f>
        <v>1446.0</v>
      </c>
      <c r="T58" s="8">
        <f>S58-O58</f>
        <v>1238.0</v>
      </c>
      <c r="U58" s="8">
        <f>S58-P58</f>
        <v>1168.0</v>
      </c>
      <c r="V58" s="8">
        <f>S58-Q58</f>
        <v>1099.0</v>
      </c>
      <c r="W58" s="2" t="str">
        <f>IF(R58=0,"Not Opened",IF(V58&gt;=0,"Recovered - All Scenarios",IF(U58&gt;=0,"Recovered - Low &amp; Base",IF(T58&gt;=0,"Recovered - Low Only","Not Recovered"))))</f>
        <v>Recovered - All Scenarios</v>
      </c>
      <c r="X58" s="8">
        <f>IF(R58=0,0,S58/R58)</f>
        <v>482.0</v>
      </c>
      <c r="Y58" s="2">
        <f>R58</f>
        <v>3</v>
      </c>
      <c r="Z58" s="8">
        <f>IF(R58=0,"",S58/R58)</f>
        <v>482.0</v>
      </c>
      <c r="AA58" s="2" t="str">
        <f>IF(R58=0,"Not Opened",IF(R58&gt;=Assumptions!$B$3,"High Frequency","Low Frequency")&amp;" / "&amp;IF(X58&gt;=Assumptions!$B$4,"High Contribution","Low Contribution"))</f>
        <v>High Frequency / Low Contribution</v>
      </c>
    </row>
    <row r="59" spans="1:27">
      <c r="A59" s="2" t="s">
        <v>80</v>
      </c>
      <c r="B59" s="2" t="s">
        <v>280</v>
      </c>
      <c r="C59" s="2" t="s">
        <v>214</v>
      </c>
      <c r="D59" s="2">
        <v>1</v>
      </c>
      <c r="E59" s="2">
        <v>6</v>
      </c>
      <c r="F59" s="2">
        <v>75</v>
      </c>
      <c r="G59" s="2">
        <f>E59*F59</f>
        <v>450</v>
      </c>
      <c r="H59" s="2">
        <v>118</v>
      </c>
      <c r="I59" s="2" t="s">
        <v>22</v>
      </c>
      <c r="J59" s="2">
        <f>G59-H59</f>
        <v>332</v>
      </c>
      <c r="K59" s="2">
        <v>7</v>
      </c>
      <c r="L59" s="2">
        <v>0</v>
      </c>
      <c r="M59" s="2">
        <v>750</v>
      </c>
      <c r="N59" s="2">
        <v>1000</v>
      </c>
      <c r="O59" s="2">
        <f>ROUND(L59/Assumptions!$B$2,0)</f>
        <v>0</v>
      </c>
      <c r="P59" s="2">
        <f>ROUND(M59/Assumptions!$B$2,0)</f>
        <v>104</v>
      </c>
      <c r="Q59" s="2">
        <f>ROUND(N59/Assumptions!$B$2,0)</f>
        <v>139</v>
      </c>
      <c r="R59" s="2">
        <f>COUNTIF('Raw Data'!$B$2:$B$417,A59)</f>
        <v>10</v>
      </c>
      <c r="S59" s="8">
        <f>SUMIF('Raw Data'!$B$2:$B$417,A59,'Raw Data'!$L$2:$L$417)</f>
        <v>3320.0</v>
      </c>
      <c r="T59" s="8">
        <f>S59-O59</f>
        <v>3320.0</v>
      </c>
      <c r="U59" s="8">
        <f>S59-P59</f>
        <v>3216.0</v>
      </c>
      <c r="V59" s="8">
        <f>S59-Q59</f>
        <v>3181.0</v>
      </c>
      <c r="W59" s="2" t="str">
        <f>IF(R59=0,"Not Opened",IF(V59&gt;=0,"Recovered - All Scenarios",IF(U59&gt;=0,"Recovered - Low &amp; Base",IF(T59&gt;=0,"Recovered - Low Only","Not Recovered"))))</f>
        <v>Recovered - All Scenarios</v>
      </c>
      <c r="X59" s="8">
        <f>IF(R59=0,0,S59/R59)</f>
        <v>332.0</v>
      </c>
      <c r="Y59" s="2">
        <f>R59</f>
        <v>10</v>
      </c>
      <c r="Z59" s="8">
        <f>IF(R59=0,"",S59/R59)</f>
        <v>332.0</v>
      </c>
      <c r="AA59" s="2" t="str">
        <f>IF(R59=0,"Not Opened",IF(R59&gt;=Assumptions!$B$3,"High Frequency","Low Frequency")&amp;" / "&amp;IF(X59&gt;=Assumptions!$B$4,"High Contribution","Low Contribution"))</f>
        <v>High Frequency / Low Contribution</v>
      </c>
    </row>
    <row r="60" spans="1:27">
      <c r="A60" s="2" t="s">
        <v>81</v>
      </c>
      <c r="B60" s="2" t="s">
        <v>281</v>
      </c>
      <c r="C60" s="2" t="s">
        <v>218</v>
      </c>
      <c r="D60" s="2">
        <v>3</v>
      </c>
      <c r="E60" s="2">
        <v>7</v>
      </c>
      <c r="F60" s="2">
        <v>118</v>
      </c>
      <c r="G60" s="2">
        <f>E60*F60</f>
        <v>826</v>
      </c>
      <c r="H60" s="2">
        <v>217</v>
      </c>
      <c r="I60" s="2" t="s">
        <v>21</v>
      </c>
      <c r="J60" s="2">
        <f>G60-H60</f>
        <v>609</v>
      </c>
      <c r="K60" s="2">
        <v>7.7</v>
      </c>
      <c r="L60" s="2">
        <v>2500</v>
      </c>
      <c r="M60" s="2">
        <v>3000</v>
      </c>
      <c r="N60" s="2">
        <v>3500</v>
      </c>
      <c r="O60" s="2">
        <f>ROUND(L60/Assumptions!$B$2,0)</f>
        <v>347</v>
      </c>
      <c r="P60" s="2">
        <f>ROUND(M60/Assumptions!$B$2,0)</f>
        <v>417</v>
      </c>
      <c r="Q60" s="2">
        <f>ROUND(N60/Assumptions!$B$2,0)</f>
        <v>486</v>
      </c>
      <c r="R60" s="2">
        <f>COUNTIF('Raw Data'!$B$2:$B$417,A60)</f>
        <v>1</v>
      </c>
      <c r="S60" s="8">
        <f>SUMIF('Raw Data'!$B$2:$B$417,A60,'Raw Data'!$L$2:$L$417)</f>
        <v>609.0</v>
      </c>
      <c r="T60" s="8">
        <f>S60-O60</f>
        <v>262.0</v>
      </c>
      <c r="U60" s="8">
        <f>S60-P60</f>
        <v>192.0</v>
      </c>
      <c r="V60" s="8">
        <f>S60-Q60</f>
        <v>123.0</v>
      </c>
      <c r="W60" s="2" t="str">
        <f>IF(R60=0,"Not Opened",IF(V60&gt;=0,"Recovered - All Scenarios",IF(U60&gt;=0,"Recovered - Low &amp; Base",IF(T60&gt;=0,"Recovered - Low Only","Not Recovered"))))</f>
        <v>Recovered - All Scenarios</v>
      </c>
      <c r="X60" s="8">
        <f>IF(R60=0,0,S60/R60)</f>
        <v>609.0</v>
      </c>
      <c r="Y60" s="2">
        <f>R60</f>
        <v>1</v>
      </c>
      <c r="Z60" s="8">
        <f>IF(R60=0,"",S60/R60)</f>
        <v>609.0</v>
      </c>
      <c r="AA60" s="2" t="str">
        <f>IF(R60=0,"Not Opened",IF(R60&gt;=Assumptions!$B$3,"High Frequency","Low Frequency")&amp;" / "&amp;IF(X60&gt;=Assumptions!$B$4,"High Contribution","Low Contribution"))</f>
        <v>Low Frequency / High Contribution</v>
      </c>
    </row>
    <row r="61" spans="1:27">
      <c r="A61" s="2" t="s">
        <v>82</v>
      </c>
      <c r="B61" s="2" t="s">
        <v>282</v>
      </c>
      <c r="C61" s="2" t="s">
        <v>212</v>
      </c>
      <c r="D61" s="2">
        <v>6</v>
      </c>
      <c r="E61" s="2">
        <v>8</v>
      </c>
      <c r="F61" s="2">
        <v>138</v>
      </c>
      <c r="G61" s="2">
        <f>E61*F61</f>
        <v>1104</v>
      </c>
      <c r="H61" s="2">
        <v>540</v>
      </c>
      <c r="I61" s="2" t="s">
        <v>22</v>
      </c>
      <c r="J61" s="2">
        <f>G61-H61</f>
        <v>564</v>
      </c>
      <c r="K61" s="2">
        <v>8.4</v>
      </c>
      <c r="L61" s="2">
        <v>0</v>
      </c>
      <c r="M61" s="2">
        <v>750</v>
      </c>
      <c r="N61" s="2">
        <v>1000</v>
      </c>
      <c r="O61" s="2">
        <f>ROUND(L61/Assumptions!$B$2,0)</f>
        <v>0</v>
      </c>
      <c r="P61" s="2">
        <f>ROUND(M61/Assumptions!$B$2,0)</f>
        <v>104</v>
      </c>
      <c r="Q61" s="2">
        <f>ROUND(N61/Assumptions!$B$2,0)</f>
        <v>139</v>
      </c>
      <c r="R61" s="2">
        <f>COUNTIF('Raw Data'!$B$2:$B$417,A61)</f>
        <v>3</v>
      </c>
      <c r="S61" s="8">
        <f>SUMIF('Raw Data'!$B$2:$B$417,A61,'Raw Data'!$L$2:$L$417)</f>
        <v>1692.0</v>
      </c>
      <c r="T61" s="8">
        <f>S61-O61</f>
        <v>1692.0</v>
      </c>
      <c r="U61" s="8">
        <f>S61-P61</f>
        <v>1588.0</v>
      </c>
      <c r="V61" s="8">
        <f>S61-Q61</f>
        <v>1553.0</v>
      </c>
      <c r="W61" s="2" t="str">
        <f>IF(R61=0,"Not Opened",IF(V61&gt;=0,"Recovered - All Scenarios",IF(U61&gt;=0,"Recovered - Low &amp; Base",IF(T61&gt;=0,"Recovered - Low Only","Not Recovered"))))</f>
        <v>Recovered - All Scenarios</v>
      </c>
      <c r="X61" s="8">
        <f>IF(R61=0,0,S61/R61)</f>
        <v>564.0</v>
      </c>
      <c r="Y61" s="2">
        <f>R61</f>
        <v>3</v>
      </c>
      <c r="Z61" s="8">
        <f>IF(R61=0,"",S61/R61)</f>
        <v>564.0</v>
      </c>
      <c r="AA61" s="2" t="str">
        <f>IF(R61=0,"Not Opened",IF(R61&gt;=Assumptions!$B$3,"High Frequency","Low Frequency")&amp;" / "&amp;IF(X61&gt;=Assumptions!$B$4,"High Contribution","Low Contribution"))</f>
        <v>High Frequency / High Contribution</v>
      </c>
    </row>
    <row r="62" spans="1:27">
      <c r="A62" s="2" t="s">
        <v>283</v>
      </c>
      <c r="B62" s="2" t="s">
        <v>284</v>
      </c>
      <c r="C62" s="2" t="s">
        <v>212</v>
      </c>
      <c r="D62" s="2">
        <v>2</v>
      </c>
      <c r="E62" s="2">
        <v>6</v>
      </c>
      <c r="F62" s="2">
        <v>99</v>
      </c>
      <c r="G62" s="2">
        <f>E62*F62</f>
        <v>594</v>
      </c>
      <c r="H62" s="2">
        <v>180</v>
      </c>
      <c r="I62" s="2" t="s">
        <v>22</v>
      </c>
      <c r="J62" s="2">
        <f>G62-H62</f>
        <v>414</v>
      </c>
      <c r="K62" s="2">
        <v>7</v>
      </c>
      <c r="L62" s="2">
        <v>0</v>
      </c>
      <c r="M62" s="2">
        <v>750</v>
      </c>
      <c r="N62" s="2">
        <v>1000</v>
      </c>
      <c r="O62" s="2">
        <f>ROUND(L62/Assumptions!$B$2,0)</f>
        <v>0</v>
      </c>
      <c r="P62" s="2">
        <f>ROUND(M62/Assumptions!$B$2,0)</f>
        <v>104</v>
      </c>
      <c r="Q62" s="2">
        <f>ROUND(N62/Assumptions!$B$2,0)</f>
        <v>139</v>
      </c>
      <c r="R62" s="2">
        <f>COUNTIF('Raw Data'!$B$2:$B$417,A62)</f>
        <v>0</v>
      </c>
      <c r="S62" s="8">
        <f>SUMIF('Raw Data'!$B$2:$B$417,A62,'Raw Data'!$L$2:$L$417)</f>
        <v>0.0</v>
      </c>
      <c r="T62" s="8">
        <f>S62-O62</f>
        <v>0.0</v>
      </c>
      <c r="U62" s="8">
        <f>S62-P62</f>
        <v>-104.0</v>
      </c>
      <c r="V62" s="8">
        <f>S62-Q62</f>
        <v>-139.0</v>
      </c>
      <c r="W62" s="2" t="str">
        <f>IF(R62=0,"Not Opened",IF(V62&gt;=0,"Recovered - All Scenarios",IF(U62&gt;=0,"Recovered - Low &amp; Base",IF(T62&gt;=0,"Recovered - Low Only","Not Recovered"))))</f>
        <v>Not Opened</v>
      </c>
      <c r="X62" s="2">
        <f>IF(R62=0,0,S62/R62)</f>
        <v>0</v>
      </c>
      <c r="Y62" s="2">
        <f>R62</f>
        <v>0</v>
      </c>
      <c r="Z62" s="2">
        <f>IF(R62=0,"",S62/R62)</f>
        <v/>
      </c>
      <c r="AA62" s="2" t="str">
        <f>IF(R62=0,"Not Opened",IF(R62&gt;=Assumptions!$B$3,"High Frequency","Low Frequency")&amp;" / "&amp;IF(X62&gt;=Assumptions!$B$4,"High Contribution","Low Contribution"))</f>
        <v>Not Opened</v>
      </c>
    </row>
    <row r="63" spans="1:27">
      <c r="A63" s="2" t="s">
        <v>83</v>
      </c>
      <c r="B63" s="2" t="s">
        <v>285</v>
      </c>
      <c r="C63" s="2" t="s">
        <v>214</v>
      </c>
      <c r="D63" s="2">
        <v>1</v>
      </c>
      <c r="E63" s="2">
        <v>6</v>
      </c>
      <c r="F63" s="2">
        <v>75</v>
      </c>
      <c r="G63" s="2">
        <f>E63*F63</f>
        <v>450</v>
      </c>
      <c r="H63" s="2">
        <v>118</v>
      </c>
      <c r="I63" s="2" t="s">
        <v>20</v>
      </c>
      <c r="J63" s="2">
        <f>G63-H63</f>
        <v>332</v>
      </c>
      <c r="K63" s="2">
        <v>7.7</v>
      </c>
      <c r="L63" s="2">
        <v>1500</v>
      </c>
      <c r="M63" s="2">
        <v>2000</v>
      </c>
      <c r="N63" s="2">
        <v>2500</v>
      </c>
      <c r="O63" s="2">
        <f>ROUND(L63/Assumptions!$B$2,0)</f>
        <v>208</v>
      </c>
      <c r="P63" s="2">
        <f>ROUND(M63/Assumptions!$B$2,0)</f>
        <v>278</v>
      </c>
      <c r="Q63" s="2">
        <f>ROUND(N63/Assumptions!$B$2,0)</f>
        <v>347</v>
      </c>
      <c r="R63" s="2">
        <f>COUNTIF('Raw Data'!$B$2:$B$417,A63)</f>
        <v>1</v>
      </c>
      <c r="S63" s="8">
        <f>SUMIF('Raw Data'!$B$2:$B$417,A63,'Raw Data'!$L$2:$L$417)</f>
        <v>332.0</v>
      </c>
      <c r="T63" s="8">
        <f>S63-O63</f>
        <v>124.0</v>
      </c>
      <c r="U63" s="8">
        <f>S63-P63</f>
        <v>54.0</v>
      </c>
      <c r="V63" s="8">
        <f>S63-Q63</f>
        <v>-15.0</v>
      </c>
      <c r="W63" s="2" t="str">
        <f>IF(R63=0,"Not Opened",IF(V63&gt;=0,"Recovered - All Scenarios",IF(U63&gt;=0,"Recovered - Low &amp; Base",IF(T63&gt;=0,"Recovered - Low Only","Not Recovered"))))</f>
        <v>Recovered - Low &amp; Base</v>
      </c>
      <c r="X63" s="8">
        <f>IF(R63=0,0,S63/R63)</f>
        <v>332.0</v>
      </c>
      <c r="Y63" s="2">
        <f>R63</f>
        <v>1</v>
      </c>
      <c r="Z63" s="8">
        <f>IF(R63=0,"",S63/R63)</f>
        <v>332.0</v>
      </c>
      <c r="AA63" s="2" t="str">
        <f>IF(R63=0,"Not Opened",IF(R63&gt;=Assumptions!$B$3,"High Frequency","Low Frequency")&amp;" / "&amp;IF(X63&gt;=Assumptions!$B$4,"High Contribution","Low Contribution"))</f>
        <v>Low Frequency / Low Contribution</v>
      </c>
    </row>
    <row r="64" spans="1:27">
      <c r="A64" s="2" t="s">
        <v>84</v>
      </c>
      <c r="B64" s="2" t="s">
        <v>286</v>
      </c>
      <c r="C64" s="2" t="s">
        <v>212</v>
      </c>
      <c r="D64" s="2">
        <v>3</v>
      </c>
      <c r="E64" s="2">
        <v>6</v>
      </c>
      <c r="F64" s="2">
        <v>118</v>
      </c>
      <c r="G64" s="2">
        <f>E64*F64</f>
        <v>708</v>
      </c>
      <c r="H64" s="2">
        <v>270</v>
      </c>
      <c r="I64" s="2" t="s">
        <v>22</v>
      </c>
      <c r="J64" s="2">
        <f>G64-H64</f>
        <v>438</v>
      </c>
      <c r="K64" s="2">
        <v>8.4</v>
      </c>
      <c r="L64" s="2">
        <v>0</v>
      </c>
      <c r="M64" s="2">
        <v>750</v>
      </c>
      <c r="N64" s="2">
        <v>1000</v>
      </c>
      <c r="O64" s="2">
        <f>ROUND(L64/Assumptions!$B$2,0)</f>
        <v>0</v>
      </c>
      <c r="P64" s="2">
        <f>ROUND(M64/Assumptions!$B$2,0)</f>
        <v>104</v>
      </c>
      <c r="Q64" s="2">
        <f>ROUND(N64/Assumptions!$B$2,0)</f>
        <v>139</v>
      </c>
      <c r="R64" s="2">
        <f>COUNTIF('Raw Data'!$B$2:$B$417,A64)</f>
        <v>3</v>
      </c>
      <c r="S64" s="8">
        <f>SUMIF('Raw Data'!$B$2:$B$417,A64,'Raw Data'!$L$2:$L$417)</f>
        <v>1314.0</v>
      </c>
      <c r="T64" s="8">
        <f>S64-O64</f>
        <v>1314.0</v>
      </c>
      <c r="U64" s="8">
        <f>S64-P64</f>
        <v>1210.0</v>
      </c>
      <c r="V64" s="8">
        <f>S64-Q64</f>
        <v>1175.0</v>
      </c>
      <c r="W64" s="2" t="str">
        <f>IF(R64=0,"Not Opened",IF(V64&gt;=0,"Recovered - All Scenarios",IF(U64&gt;=0,"Recovered - Low &amp; Base",IF(T64&gt;=0,"Recovered - Low Only","Not Recovered"))))</f>
        <v>Recovered - All Scenarios</v>
      </c>
      <c r="X64" s="8">
        <f>IF(R64=0,0,S64/R64)</f>
        <v>438.0</v>
      </c>
      <c r="Y64" s="2">
        <f>R64</f>
        <v>3</v>
      </c>
      <c r="Z64" s="8">
        <f>IF(R64=0,"",S64/R64)</f>
        <v>438.0</v>
      </c>
      <c r="AA64" s="2" t="str">
        <f>IF(R64=0,"Not Opened",IF(R64&gt;=Assumptions!$B$3,"High Frequency","Low Frequency")&amp;" / "&amp;IF(X64&gt;=Assumptions!$B$4,"High Contribution","Low Contribution"))</f>
        <v>High Frequency / Low Contribution</v>
      </c>
    </row>
    <row r="65" spans="1:27">
      <c r="A65" s="2" t="s">
        <v>287</v>
      </c>
      <c r="B65" s="2" t="s">
        <v>288</v>
      </c>
      <c r="C65" s="2" t="s">
        <v>218</v>
      </c>
      <c r="D65" s="2">
        <v>3</v>
      </c>
      <c r="E65" s="2">
        <v>7</v>
      </c>
      <c r="F65" s="2">
        <v>129</v>
      </c>
      <c r="G65" s="2">
        <f>E65*F65</f>
        <v>903</v>
      </c>
      <c r="H65" s="2">
        <v>237</v>
      </c>
      <c r="I65" s="2" t="s">
        <v>21</v>
      </c>
      <c r="J65" s="2">
        <f>G65-H65</f>
        <v>666</v>
      </c>
      <c r="K65" s="2">
        <v>7</v>
      </c>
      <c r="L65" s="2">
        <v>2500</v>
      </c>
      <c r="M65" s="2">
        <v>3000</v>
      </c>
      <c r="N65" s="2">
        <v>3500</v>
      </c>
      <c r="O65" s="2">
        <f>ROUND(L65/Assumptions!$B$2,0)</f>
        <v>347</v>
      </c>
      <c r="P65" s="2">
        <f>ROUND(M65/Assumptions!$B$2,0)</f>
        <v>417</v>
      </c>
      <c r="Q65" s="2">
        <f>ROUND(N65/Assumptions!$B$2,0)</f>
        <v>486</v>
      </c>
      <c r="R65" s="2">
        <f>COUNTIF('Raw Data'!$B$2:$B$417,A65)</f>
        <v>0</v>
      </c>
      <c r="S65" s="8">
        <f>SUMIF('Raw Data'!$B$2:$B$417,A65,'Raw Data'!$L$2:$L$417)</f>
        <v>0.0</v>
      </c>
      <c r="T65" s="8">
        <f>S65-O65</f>
        <v>-347.0</v>
      </c>
      <c r="U65" s="8">
        <f>S65-P65</f>
        <v>-417.0</v>
      </c>
      <c r="V65" s="8">
        <f>S65-Q65</f>
        <v>-486.0</v>
      </c>
      <c r="W65" s="2" t="str">
        <f>IF(R65=0,"Not Opened",IF(V65&gt;=0,"Recovered - All Scenarios",IF(U65&gt;=0,"Recovered - Low &amp; Base",IF(T65&gt;=0,"Recovered - Low Only","Not Recovered"))))</f>
        <v>Not Opened</v>
      </c>
      <c r="X65" s="2">
        <f>IF(R65=0,0,S65/R65)</f>
        <v>0</v>
      </c>
      <c r="Y65" s="2">
        <f>R65</f>
        <v>0</v>
      </c>
      <c r="Z65" s="2">
        <f>IF(R65=0,"",S65/R65)</f>
        <v/>
      </c>
      <c r="AA65" s="2" t="str">
        <f>IF(R65=0,"Not Opened",IF(R65&gt;=Assumptions!$B$3,"High Frequency","Low Frequency")&amp;" / "&amp;IF(X65&gt;=Assumptions!$B$4,"High Contribution","Low Contribution"))</f>
        <v>Not Opened</v>
      </c>
    </row>
    <row r="66" spans="1:27">
      <c r="A66" s="2" t="s">
        <v>85</v>
      </c>
      <c r="B66" s="2" t="s">
        <v>289</v>
      </c>
      <c r="C66" s="2" t="s">
        <v>214</v>
      </c>
      <c r="D66" s="2">
        <v>2</v>
      </c>
      <c r="E66" s="2">
        <v>8</v>
      </c>
      <c r="F66" s="2">
        <v>65</v>
      </c>
      <c r="G66" s="2">
        <f>E66*F66</f>
        <v>520</v>
      </c>
      <c r="H66" s="2">
        <v>137</v>
      </c>
      <c r="I66" s="2" t="s">
        <v>20</v>
      </c>
      <c r="J66" s="2">
        <f>G66-H66</f>
        <v>383</v>
      </c>
      <c r="K66" s="2">
        <v>7.7</v>
      </c>
      <c r="L66" s="2">
        <v>1500</v>
      </c>
      <c r="M66" s="2">
        <v>2000</v>
      </c>
      <c r="N66" s="2">
        <v>2500</v>
      </c>
      <c r="O66" s="2">
        <f>ROUND(L66/Assumptions!$B$2,0)</f>
        <v>208</v>
      </c>
      <c r="P66" s="2">
        <f>ROUND(M66/Assumptions!$B$2,0)</f>
        <v>278</v>
      </c>
      <c r="Q66" s="2">
        <f>ROUND(N66/Assumptions!$B$2,0)</f>
        <v>347</v>
      </c>
      <c r="R66" s="2">
        <f>COUNTIF('Raw Data'!$B$2:$B$417,A66)</f>
        <v>2</v>
      </c>
      <c r="S66" s="8">
        <f>SUMIF('Raw Data'!$B$2:$B$417,A66,'Raw Data'!$L$2:$L$417)</f>
        <v>766.0</v>
      </c>
      <c r="T66" s="8">
        <f>S66-O66</f>
        <v>558.0</v>
      </c>
      <c r="U66" s="8">
        <f>S66-P66</f>
        <v>488.0</v>
      </c>
      <c r="V66" s="8">
        <f>S66-Q66</f>
        <v>419.0</v>
      </c>
      <c r="W66" s="2" t="str">
        <f>IF(R66=0,"Not Opened",IF(V66&gt;=0,"Recovered - All Scenarios",IF(U66&gt;=0,"Recovered - Low &amp; Base",IF(T66&gt;=0,"Recovered - Low Only","Not Recovered"))))</f>
        <v>Recovered - All Scenarios</v>
      </c>
      <c r="X66" s="8">
        <f>IF(R66=0,0,S66/R66)</f>
        <v>383.0</v>
      </c>
      <c r="Y66" s="2">
        <f>R66</f>
        <v>2</v>
      </c>
      <c r="Z66" s="8">
        <f>IF(R66=0,"",S66/R66)</f>
        <v>383.0</v>
      </c>
      <c r="AA66" s="2" t="str">
        <f>IF(R66=0,"Not Opened",IF(R66&gt;=Assumptions!$B$3,"High Frequency","Low Frequency")&amp;" / "&amp;IF(X66&gt;=Assumptions!$B$4,"High Contribution","Low Contribution"))</f>
        <v>High Frequency / Low Contribution</v>
      </c>
    </row>
    <row r="67" spans="1:27">
      <c r="A67" s="2" t="s">
        <v>86</v>
      </c>
      <c r="B67" s="2" t="s">
        <v>290</v>
      </c>
      <c r="C67" s="2" t="s">
        <v>212</v>
      </c>
      <c r="D67" s="2">
        <v>2</v>
      </c>
      <c r="E67" s="2">
        <v>6</v>
      </c>
      <c r="F67" s="2">
        <v>109</v>
      </c>
      <c r="G67" s="2">
        <f>E67*F67</f>
        <v>654</v>
      </c>
      <c r="H67" s="2">
        <v>180</v>
      </c>
      <c r="I67" s="2" t="s">
        <v>22</v>
      </c>
      <c r="J67" s="2">
        <f>G67-H67</f>
        <v>474</v>
      </c>
      <c r="K67" s="2">
        <v>8.4</v>
      </c>
      <c r="L67" s="2">
        <v>0</v>
      </c>
      <c r="M67" s="2">
        <v>750</v>
      </c>
      <c r="N67" s="2">
        <v>1000</v>
      </c>
      <c r="O67" s="2">
        <f>ROUND(L67/Assumptions!$B$2,0)</f>
        <v>0</v>
      </c>
      <c r="P67" s="2">
        <f>ROUND(M67/Assumptions!$B$2,0)</f>
        <v>104</v>
      </c>
      <c r="Q67" s="2">
        <f>ROUND(N67/Assumptions!$B$2,0)</f>
        <v>139</v>
      </c>
      <c r="R67" s="2">
        <f>COUNTIF('Raw Data'!$B$2:$B$417,A67)</f>
        <v>4</v>
      </c>
      <c r="S67" s="8">
        <f>SUMIF('Raw Data'!$B$2:$B$417,A67,'Raw Data'!$L$2:$L$417)</f>
        <v>1896.0</v>
      </c>
      <c r="T67" s="8">
        <f>S67-O67</f>
        <v>1896.0</v>
      </c>
      <c r="U67" s="8">
        <f>S67-P67</f>
        <v>1792.0</v>
      </c>
      <c r="V67" s="8">
        <f>S67-Q67</f>
        <v>1757.0</v>
      </c>
      <c r="W67" s="2" t="str">
        <f>IF(R67=0,"Not Opened",IF(V67&gt;=0,"Recovered - All Scenarios",IF(U67&gt;=0,"Recovered - Low &amp; Base",IF(T67&gt;=0,"Recovered - Low Only","Not Recovered"))))</f>
        <v>Recovered - All Scenarios</v>
      </c>
      <c r="X67" s="8">
        <f>IF(R67=0,0,S67/R67)</f>
        <v>474.0</v>
      </c>
      <c r="Y67" s="2">
        <f>R67</f>
        <v>4</v>
      </c>
      <c r="Z67" s="8">
        <f>IF(R67=0,"",S67/R67)</f>
        <v>474.0</v>
      </c>
      <c r="AA67" s="2" t="str">
        <f>IF(R67=0,"Not Opened",IF(R67&gt;=Assumptions!$B$3,"High Frequency","Low Frequency")&amp;" / "&amp;IF(X67&gt;=Assumptions!$B$4,"High Contribution","Low Contribution"))</f>
        <v>High Frequency / Low Contribution</v>
      </c>
    </row>
    <row r="68" spans="1:27">
      <c r="A68" s="2" t="s">
        <v>291</v>
      </c>
      <c r="B68" s="2" t="s">
        <v>292</v>
      </c>
      <c r="C68" s="2" t="s">
        <v>223</v>
      </c>
      <c r="D68" s="2">
        <v>1</v>
      </c>
      <c r="E68" s="2">
        <v>6</v>
      </c>
      <c r="F68" s="2">
        <v>129</v>
      </c>
      <c r="G68" s="2">
        <f>E68*F68</f>
        <v>774</v>
      </c>
      <c r="H68" s="2">
        <v>203</v>
      </c>
      <c r="I68" s="2" t="s">
        <v>20</v>
      </c>
      <c r="J68" s="2">
        <f>G68-H68</f>
        <v>571</v>
      </c>
      <c r="K68" s="2">
        <v>7</v>
      </c>
      <c r="L68" s="2">
        <v>1500</v>
      </c>
      <c r="M68" s="2">
        <v>2000</v>
      </c>
      <c r="N68" s="2">
        <v>2500</v>
      </c>
      <c r="O68" s="2">
        <f>ROUND(L68/Assumptions!$B$2,0)</f>
        <v>208</v>
      </c>
      <c r="P68" s="2">
        <f>ROUND(M68/Assumptions!$B$2,0)</f>
        <v>278</v>
      </c>
      <c r="Q68" s="2">
        <f>ROUND(N68/Assumptions!$B$2,0)</f>
        <v>347</v>
      </c>
      <c r="R68" s="2">
        <f>COUNTIF('Raw Data'!$B$2:$B$417,A68)</f>
        <v>0</v>
      </c>
      <c r="S68" s="8">
        <f>SUMIF('Raw Data'!$B$2:$B$417,A68,'Raw Data'!$L$2:$L$417)</f>
        <v>0.0</v>
      </c>
      <c r="T68" s="8">
        <f>S68-O68</f>
        <v>-208.0</v>
      </c>
      <c r="U68" s="8">
        <f>S68-P68</f>
        <v>-278.0</v>
      </c>
      <c r="V68" s="8">
        <f>S68-Q68</f>
        <v>-347.0</v>
      </c>
      <c r="W68" s="2" t="str">
        <f>IF(R68=0,"Not Opened",IF(V68&gt;=0,"Recovered - All Scenarios",IF(U68&gt;=0,"Recovered - Low &amp; Base",IF(T68&gt;=0,"Recovered - Low Only","Not Recovered"))))</f>
        <v>Not Opened</v>
      </c>
      <c r="X68" s="2">
        <f>IF(R68=0,0,S68/R68)</f>
        <v>0</v>
      </c>
      <c r="Y68" s="2">
        <f>R68</f>
        <v>0</v>
      </c>
      <c r="Z68" s="2">
        <f>IF(R68=0,"",S68/R68)</f>
        <v/>
      </c>
      <c r="AA68" s="2" t="str">
        <f>IF(R68=0,"Not Opened",IF(R68&gt;=Assumptions!$B$3,"High Frequency","Low Frequency")&amp;" / "&amp;IF(X68&gt;=Assumptions!$B$4,"High Contribution","Low Contribution"))</f>
        <v>Not Opened</v>
      </c>
    </row>
    <row r="69" spans="1:27">
      <c r="A69" s="2" t="s">
        <v>87</v>
      </c>
      <c r="B69" s="2" t="s">
        <v>293</v>
      </c>
      <c r="C69" s="2" t="s">
        <v>214</v>
      </c>
      <c r="D69" s="2">
        <v>1</v>
      </c>
      <c r="E69" s="2">
        <v>6</v>
      </c>
      <c r="F69" s="2">
        <v>119</v>
      </c>
      <c r="G69" s="2">
        <f>E69*F69</f>
        <v>714</v>
      </c>
      <c r="H69" s="2">
        <v>187</v>
      </c>
      <c r="I69" s="2" t="s">
        <v>22</v>
      </c>
      <c r="J69" s="2">
        <f>G69-H69</f>
        <v>527</v>
      </c>
      <c r="K69" s="2">
        <v>7.7</v>
      </c>
      <c r="L69" s="2">
        <v>0</v>
      </c>
      <c r="M69" s="2">
        <v>750</v>
      </c>
      <c r="N69" s="2">
        <v>1000</v>
      </c>
      <c r="O69" s="2">
        <f>ROUND(L69/Assumptions!$B$2,0)</f>
        <v>0</v>
      </c>
      <c r="P69" s="2">
        <f>ROUND(M69/Assumptions!$B$2,0)</f>
        <v>104</v>
      </c>
      <c r="Q69" s="2">
        <f>ROUND(N69/Assumptions!$B$2,0)</f>
        <v>139</v>
      </c>
      <c r="R69" s="2">
        <f>COUNTIF('Raw Data'!$B$2:$B$417,A69)</f>
        <v>2</v>
      </c>
      <c r="S69" s="8">
        <f>SUMIF('Raw Data'!$B$2:$B$417,A69,'Raw Data'!$L$2:$L$417)</f>
        <v>1054.0</v>
      </c>
      <c r="T69" s="8">
        <f>S69-O69</f>
        <v>1054.0</v>
      </c>
      <c r="U69" s="8">
        <f>S69-P69</f>
        <v>950.0</v>
      </c>
      <c r="V69" s="8">
        <f>S69-Q69</f>
        <v>915.0</v>
      </c>
      <c r="W69" s="2" t="str">
        <f>IF(R69=0,"Not Opened",IF(V69&gt;=0,"Recovered - All Scenarios",IF(U69&gt;=0,"Recovered - Low &amp; Base",IF(T69&gt;=0,"Recovered - Low Only","Not Recovered"))))</f>
        <v>Recovered - All Scenarios</v>
      </c>
      <c r="X69" s="8">
        <f>IF(R69=0,0,S69/R69)</f>
        <v>527.0</v>
      </c>
      <c r="Y69" s="2">
        <f>R69</f>
        <v>2</v>
      </c>
      <c r="Z69" s="8">
        <f>IF(R69=0,"",S69/R69)</f>
        <v>527.0</v>
      </c>
      <c r="AA69" s="2" t="str">
        <f>IF(R69=0,"Not Opened",IF(R69&gt;=Assumptions!$B$3,"High Frequency","Low Frequency")&amp;" / "&amp;IF(X69&gt;=Assumptions!$B$4,"High Contribution","Low Contribution"))</f>
        <v>High Frequency / High Contribution</v>
      </c>
    </row>
    <row r="70" spans="1:27">
      <c r="A70" s="2" t="s">
        <v>88</v>
      </c>
      <c r="B70" s="2" t="s">
        <v>294</v>
      </c>
      <c r="C70" s="2" t="s">
        <v>218</v>
      </c>
      <c r="D70" s="2">
        <v>3</v>
      </c>
      <c r="E70" s="2">
        <v>7</v>
      </c>
      <c r="F70" s="2">
        <v>95</v>
      </c>
      <c r="G70" s="2">
        <f>E70*F70</f>
        <v>665</v>
      </c>
      <c r="H70" s="2">
        <v>175</v>
      </c>
      <c r="I70" s="2" t="s">
        <v>21</v>
      </c>
      <c r="J70" s="2">
        <f>G70-H70</f>
        <v>490</v>
      </c>
      <c r="K70" s="2">
        <v>8.4</v>
      </c>
      <c r="L70" s="2">
        <v>2500</v>
      </c>
      <c r="M70" s="2">
        <v>3000</v>
      </c>
      <c r="N70" s="2">
        <v>3500</v>
      </c>
      <c r="O70" s="2">
        <f>ROUND(L70/Assumptions!$B$2,0)</f>
        <v>347</v>
      </c>
      <c r="P70" s="2">
        <f>ROUND(M70/Assumptions!$B$2,0)</f>
        <v>417</v>
      </c>
      <c r="Q70" s="2">
        <f>ROUND(N70/Assumptions!$B$2,0)</f>
        <v>486</v>
      </c>
      <c r="R70" s="2">
        <f>COUNTIF('Raw Data'!$B$2:$B$417,A70)</f>
        <v>4</v>
      </c>
      <c r="S70" s="8">
        <f>SUMIF('Raw Data'!$B$2:$B$417,A70,'Raw Data'!$L$2:$L$417)</f>
        <v>1960.0</v>
      </c>
      <c r="T70" s="8">
        <f>S70-O70</f>
        <v>1613.0</v>
      </c>
      <c r="U70" s="8">
        <f>S70-P70</f>
        <v>1543.0</v>
      </c>
      <c r="V70" s="8">
        <f>S70-Q70</f>
        <v>1474.0</v>
      </c>
      <c r="W70" s="2" t="str">
        <f>IF(R70=0,"Not Opened",IF(V70&gt;=0,"Recovered - All Scenarios",IF(U70&gt;=0,"Recovered - Low &amp; Base",IF(T70&gt;=0,"Recovered - Low Only","Not Recovered"))))</f>
        <v>Recovered - All Scenarios</v>
      </c>
      <c r="X70" s="8">
        <f>IF(R70=0,0,S70/R70)</f>
        <v>490.0</v>
      </c>
      <c r="Y70" s="2">
        <f>R70</f>
        <v>4</v>
      </c>
      <c r="Z70" s="8">
        <f>IF(R70=0,"",S70/R70)</f>
        <v>490.0</v>
      </c>
      <c r="AA70" s="2" t="str">
        <f>IF(R70=0,"Not Opened",IF(R70&gt;=Assumptions!$B$3,"High Frequency","Low Frequency")&amp;" / "&amp;IF(X70&gt;=Assumptions!$B$4,"High Contribution","Low Contribution"))</f>
        <v>High Frequency / High Contribution</v>
      </c>
    </row>
    <row r="71" spans="1:27">
      <c r="A71" s="2" t="s">
        <v>89</v>
      </c>
      <c r="B71" s="2" t="s">
        <v>295</v>
      </c>
      <c r="C71" s="2" t="s">
        <v>212</v>
      </c>
      <c r="D71" s="2">
        <v>6</v>
      </c>
      <c r="E71" s="2">
        <v>8</v>
      </c>
      <c r="F71" s="2">
        <v>109</v>
      </c>
      <c r="G71" s="2">
        <f>E71*F71</f>
        <v>872</v>
      </c>
      <c r="H71" s="2">
        <v>540</v>
      </c>
      <c r="I71" s="2" t="s">
        <v>22</v>
      </c>
      <c r="J71" s="2">
        <f>G71-H71</f>
        <v>332</v>
      </c>
      <c r="K71" s="2">
        <v>7</v>
      </c>
      <c r="L71" s="2">
        <v>0</v>
      </c>
      <c r="M71" s="2">
        <v>750</v>
      </c>
      <c r="N71" s="2">
        <v>1000</v>
      </c>
      <c r="O71" s="2">
        <f>ROUND(L71/Assumptions!$B$2,0)</f>
        <v>0</v>
      </c>
      <c r="P71" s="2">
        <f>ROUND(M71/Assumptions!$B$2,0)</f>
        <v>104</v>
      </c>
      <c r="Q71" s="2">
        <f>ROUND(N71/Assumptions!$B$2,0)</f>
        <v>139</v>
      </c>
      <c r="R71" s="2">
        <f>COUNTIF('Raw Data'!$B$2:$B$417,A71)</f>
        <v>1</v>
      </c>
      <c r="S71" s="8">
        <f>SUMIF('Raw Data'!$B$2:$B$417,A71,'Raw Data'!$L$2:$L$417)</f>
        <v>332.0</v>
      </c>
      <c r="T71" s="8">
        <f>S71-O71</f>
        <v>332.0</v>
      </c>
      <c r="U71" s="8">
        <f>S71-P71</f>
        <v>228.0</v>
      </c>
      <c r="V71" s="8">
        <f>S71-Q71</f>
        <v>193.0</v>
      </c>
      <c r="W71" s="2" t="str">
        <f>IF(R71=0,"Not Opened",IF(V71&gt;=0,"Recovered - All Scenarios",IF(U71&gt;=0,"Recovered - Low &amp; Base",IF(T71&gt;=0,"Recovered - Low Only","Not Recovered"))))</f>
        <v>Recovered - All Scenarios</v>
      </c>
      <c r="X71" s="8">
        <f>IF(R71=0,0,S71/R71)</f>
        <v>332.0</v>
      </c>
      <c r="Y71" s="2">
        <f>R71</f>
        <v>1</v>
      </c>
      <c r="Z71" s="8">
        <f>IF(R71=0,"",S71/R71)</f>
        <v>332.0</v>
      </c>
      <c r="AA71" s="2" t="str">
        <f>IF(R71=0,"Not Opened",IF(R71&gt;=Assumptions!$B$3,"High Frequency","Low Frequency")&amp;" / "&amp;IF(X71&gt;=Assumptions!$B$4,"High Contribution","Low Contribution"))</f>
        <v>Low Frequency / Low Contribution</v>
      </c>
    </row>
    <row r="72" spans="1:27">
      <c r="A72" s="2" t="s">
        <v>90</v>
      </c>
      <c r="B72" s="2" t="s">
        <v>296</v>
      </c>
      <c r="C72" s="2" t="s">
        <v>212</v>
      </c>
      <c r="D72" s="2">
        <v>2</v>
      </c>
      <c r="E72" s="2">
        <v>6</v>
      </c>
      <c r="F72" s="2">
        <v>118</v>
      </c>
      <c r="G72" s="2">
        <f>E72*F72</f>
        <v>708</v>
      </c>
      <c r="H72" s="2">
        <v>180</v>
      </c>
      <c r="I72" s="2" t="s">
        <v>22</v>
      </c>
      <c r="J72" s="2">
        <f>G72-H72</f>
        <v>528</v>
      </c>
      <c r="K72" s="2">
        <v>7.7</v>
      </c>
      <c r="L72" s="2">
        <v>0</v>
      </c>
      <c r="M72" s="2">
        <v>750</v>
      </c>
      <c r="N72" s="2">
        <v>1000</v>
      </c>
      <c r="O72" s="2">
        <f>ROUND(L72/Assumptions!$B$2,0)</f>
        <v>0</v>
      </c>
      <c r="P72" s="2">
        <f>ROUND(M72/Assumptions!$B$2,0)</f>
        <v>104</v>
      </c>
      <c r="Q72" s="2">
        <f>ROUND(N72/Assumptions!$B$2,0)</f>
        <v>139</v>
      </c>
      <c r="R72" s="2">
        <f>COUNTIF('Raw Data'!$B$2:$B$417,A72)</f>
        <v>2</v>
      </c>
      <c r="S72" s="8">
        <f>SUMIF('Raw Data'!$B$2:$B$417,A72,'Raw Data'!$L$2:$L$417)</f>
        <v>1056.0</v>
      </c>
      <c r="T72" s="8">
        <f>S72-O72</f>
        <v>1056.0</v>
      </c>
      <c r="U72" s="8">
        <f>S72-P72</f>
        <v>952.0</v>
      </c>
      <c r="V72" s="8">
        <f>S72-Q72</f>
        <v>917.0</v>
      </c>
      <c r="W72" s="2" t="str">
        <f>IF(R72=0,"Not Opened",IF(V72&gt;=0,"Recovered - All Scenarios",IF(U72&gt;=0,"Recovered - Low &amp; Base",IF(T72&gt;=0,"Recovered - Low Only","Not Recovered"))))</f>
        <v>Recovered - All Scenarios</v>
      </c>
      <c r="X72" s="8">
        <f>IF(R72=0,0,S72/R72)</f>
        <v>528.0</v>
      </c>
      <c r="Y72" s="2">
        <f>R72</f>
        <v>2</v>
      </c>
      <c r="Z72" s="8">
        <f>IF(R72=0,"",S72/R72)</f>
        <v>528.0</v>
      </c>
      <c r="AA72" s="2" t="str">
        <f>IF(R72=0,"Not Opened",IF(R72&gt;=Assumptions!$B$3,"High Frequency","Low Frequency")&amp;" / "&amp;IF(X72&gt;=Assumptions!$B$4,"High Contribution","Low Contribution"))</f>
        <v>High Frequency / High Contribution</v>
      </c>
    </row>
    <row r="73" spans="1:27">
      <c r="A73" s="2" t="s">
        <v>91</v>
      </c>
      <c r="B73" s="2" t="s">
        <v>297</v>
      </c>
      <c r="C73" s="2" t="s">
        <v>214</v>
      </c>
      <c r="D73" s="2">
        <v>1</v>
      </c>
      <c r="E73" s="2">
        <v>6</v>
      </c>
      <c r="F73" s="2">
        <v>119</v>
      </c>
      <c r="G73" s="2">
        <f>E73*F73</f>
        <v>714</v>
      </c>
      <c r="H73" s="2">
        <v>187</v>
      </c>
      <c r="I73" s="2" t="s">
        <v>20</v>
      </c>
      <c r="J73" s="2">
        <f>G73-H73</f>
        <v>527</v>
      </c>
      <c r="K73" s="2">
        <v>8.4</v>
      </c>
      <c r="L73" s="2">
        <v>1500</v>
      </c>
      <c r="M73" s="2">
        <v>2000</v>
      </c>
      <c r="N73" s="2">
        <v>2500</v>
      </c>
      <c r="O73" s="2">
        <f>ROUND(L73/Assumptions!$B$2,0)</f>
        <v>208</v>
      </c>
      <c r="P73" s="2">
        <f>ROUND(M73/Assumptions!$B$2,0)</f>
        <v>278</v>
      </c>
      <c r="Q73" s="2">
        <f>ROUND(N73/Assumptions!$B$2,0)</f>
        <v>347</v>
      </c>
      <c r="R73" s="2">
        <f>COUNTIF('Raw Data'!$B$2:$B$417,A73)</f>
        <v>5</v>
      </c>
      <c r="S73" s="8">
        <f>SUMIF('Raw Data'!$B$2:$B$417,A73,'Raw Data'!$L$2:$L$417)</f>
        <v>2635.0</v>
      </c>
      <c r="T73" s="8">
        <f>S73-O73</f>
        <v>2427.0</v>
      </c>
      <c r="U73" s="8">
        <f>S73-P73</f>
        <v>2357.0</v>
      </c>
      <c r="V73" s="8">
        <f>S73-Q73</f>
        <v>2288.0</v>
      </c>
      <c r="W73" s="2" t="str">
        <f>IF(R73=0,"Not Opened",IF(V73&gt;=0,"Recovered - All Scenarios",IF(U73&gt;=0,"Recovered - Low &amp; Base",IF(T73&gt;=0,"Recovered - Low Only","Not Recovered"))))</f>
        <v>Recovered - All Scenarios</v>
      </c>
      <c r="X73" s="8">
        <f>IF(R73=0,0,S73/R73)</f>
        <v>527.0</v>
      </c>
      <c r="Y73" s="2">
        <f>R73</f>
        <v>5</v>
      </c>
      <c r="Z73" s="8">
        <f>IF(R73=0,"",S73/R73)</f>
        <v>527.0</v>
      </c>
      <c r="AA73" s="2" t="str">
        <f>IF(R73=0,"Not Opened",IF(R73&gt;=Assumptions!$B$3,"High Frequency","Low Frequency")&amp;" / "&amp;IF(X73&gt;=Assumptions!$B$4,"High Contribution","Low Contribution"))</f>
        <v>High Frequency / High Contribution</v>
      </c>
    </row>
    <row r="74" spans="1:27">
      <c r="A74" s="2" t="s">
        <v>92</v>
      </c>
      <c r="B74" s="2" t="s">
        <v>298</v>
      </c>
      <c r="C74" s="2" t="s">
        <v>212</v>
      </c>
      <c r="D74" s="2">
        <v>3</v>
      </c>
      <c r="E74" s="2">
        <v>6</v>
      </c>
      <c r="F74" s="2">
        <v>99</v>
      </c>
      <c r="G74" s="2">
        <f>E74*F74</f>
        <v>594</v>
      </c>
      <c r="H74" s="2">
        <v>270</v>
      </c>
      <c r="I74" s="2" t="s">
        <v>22</v>
      </c>
      <c r="J74" s="2">
        <f>G74-H74</f>
        <v>324</v>
      </c>
      <c r="K74" s="2">
        <v>7</v>
      </c>
      <c r="L74" s="2">
        <v>0</v>
      </c>
      <c r="M74" s="2">
        <v>750</v>
      </c>
      <c r="N74" s="2">
        <v>1000</v>
      </c>
      <c r="O74" s="2">
        <f>ROUND(L74/Assumptions!$B$2,0)</f>
        <v>0</v>
      </c>
      <c r="P74" s="2">
        <f>ROUND(M74/Assumptions!$B$2,0)</f>
        <v>104</v>
      </c>
      <c r="Q74" s="2">
        <f>ROUND(N74/Assumptions!$B$2,0)</f>
        <v>139</v>
      </c>
      <c r="R74" s="2">
        <f>COUNTIF('Raw Data'!$B$2:$B$417,A74)</f>
        <v>1</v>
      </c>
      <c r="S74" s="8">
        <f>SUMIF('Raw Data'!$B$2:$B$417,A74,'Raw Data'!$L$2:$L$417)</f>
        <v>324.0</v>
      </c>
      <c r="T74" s="8">
        <f>S74-O74</f>
        <v>324.0</v>
      </c>
      <c r="U74" s="8">
        <f>S74-P74</f>
        <v>220.0</v>
      </c>
      <c r="V74" s="8">
        <f>S74-Q74</f>
        <v>185.0</v>
      </c>
      <c r="W74" s="2" t="str">
        <f>IF(R74=0,"Not Opened",IF(V74&gt;=0,"Recovered - All Scenarios",IF(U74&gt;=0,"Recovered - Low &amp; Base",IF(T74&gt;=0,"Recovered - Low Only","Not Recovered"))))</f>
        <v>Recovered - All Scenarios</v>
      </c>
      <c r="X74" s="8">
        <f>IF(R74=0,0,S74/R74)</f>
        <v>324.0</v>
      </c>
      <c r="Y74" s="2">
        <f>R74</f>
        <v>1</v>
      </c>
      <c r="Z74" s="8">
        <f>IF(R74=0,"",S74/R74)</f>
        <v>324.0</v>
      </c>
      <c r="AA74" s="2" t="str">
        <f>IF(R74=0,"Not Opened",IF(R74&gt;=Assumptions!$B$3,"High Frequency","Low Frequency")&amp;" / "&amp;IF(X74&gt;=Assumptions!$B$4,"High Contribution","Low Contribution"))</f>
        <v>Low Frequency / Low Contribution</v>
      </c>
    </row>
    <row r="75" spans="1:27">
      <c r="A75" s="2" t="s">
        <v>93</v>
      </c>
      <c r="B75" s="2" t="s">
        <v>299</v>
      </c>
      <c r="C75" s="2" t="s">
        <v>218</v>
      </c>
      <c r="D75" s="2">
        <v>3</v>
      </c>
      <c r="E75" s="2">
        <v>7</v>
      </c>
      <c r="F75" s="2">
        <v>109</v>
      </c>
      <c r="G75" s="2">
        <f>E75*F75</f>
        <v>763</v>
      </c>
      <c r="H75" s="2">
        <v>200</v>
      </c>
      <c r="I75" s="2" t="s">
        <v>21</v>
      </c>
      <c r="J75" s="2">
        <f>G75-H75</f>
        <v>563</v>
      </c>
      <c r="K75" s="2">
        <v>7.7</v>
      </c>
      <c r="L75" s="2">
        <v>2500</v>
      </c>
      <c r="M75" s="2">
        <v>3000</v>
      </c>
      <c r="N75" s="2">
        <v>3500</v>
      </c>
      <c r="O75" s="2">
        <f>ROUND(L75/Assumptions!$B$2,0)</f>
        <v>347</v>
      </c>
      <c r="P75" s="2">
        <f>ROUND(M75/Assumptions!$B$2,0)</f>
        <v>417</v>
      </c>
      <c r="Q75" s="2">
        <f>ROUND(N75/Assumptions!$B$2,0)</f>
        <v>486</v>
      </c>
      <c r="R75" s="2">
        <f>COUNTIF('Raw Data'!$B$2:$B$417,A75)</f>
        <v>2</v>
      </c>
      <c r="S75" s="8">
        <f>SUMIF('Raw Data'!$B$2:$B$417,A75,'Raw Data'!$L$2:$L$417)</f>
        <v>1126.0</v>
      </c>
      <c r="T75" s="8">
        <f>S75-O75</f>
        <v>779.0</v>
      </c>
      <c r="U75" s="8">
        <f>S75-P75</f>
        <v>709.0</v>
      </c>
      <c r="V75" s="8">
        <f>S75-Q75</f>
        <v>640.0</v>
      </c>
      <c r="W75" s="2" t="str">
        <f>IF(R75=0,"Not Opened",IF(V75&gt;=0,"Recovered - All Scenarios",IF(U75&gt;=0,"Recovered - Low &amp; Base",IF(T75&gt;=0,"Recovered - Low Only","Not Recovered"))))</f>
        <v>Recovered - All Scenarios</v>
      </c>
      <c r="X75" s="8">
        <f>IF(R75=0,0,S75/R75)</f>
        <v>563.0</v>
      </c>
      <c r="Y75" s="2">
        <f>R75</f>
        <v>2</v>
      </c>
      <c r="Z75" s="8">
        <f>IF(R75=0,"",S75/R75)</f>
        <v>563.0</v>
      </c>
      <c r="AA75" s="2" t="str">
        <f>IF(R75=0,"Not Opened",IF(R75&gt;=Assumptions!$B$3,"High Frequency","Low Frequency")&amp;" / "&amp;IF(X75&gt;=Assumptions!$B$4,"High Contribution","Low Contribution"))</f>
        <v>High Frequency / High Contribution</v>
      </c>
    </row>
    <row r="76" spans="1:27">
      <c r="A76" s="2" t="s">
        <v>94</v>
      </c>
      <c r="B76" s="2" t="s">
        <v>300</v>
      </c>
      <c r="C76" s="2" t="s">
        <v>214</v>
      </c>
      <c r="D76" s="2">
        <v>2</v>
      </c>
      <c r="E76" s="2">
        <v>8</v>
      </c>
      <c r="F76" s="2">
        <v>95</v>
      </c>
      <c r="G76" s="2">
        <f>E76*F76</f>
        <v>760</v>
      </c>
      <c r="H76" s="2">
        <v>200</v>
      </c>
      <c r="I76" s="2" t="s">
        <v>20</v>
      </c>
      <c r="J76" s="2">
        <f>G76-H76</f>
        <v>560</v>
      </c>
      <c r="K76" s="2">
        <v>8.4</v>
      </c>
      <c r="L76" s="2">
        <v>1500</v>
      </c>
      <c r="M76" s="2">
        <v>2000</v>
      </c>
      <c r="N76" s="2">
        <v>2500</v>
      </c>
      <c r="O76" s="2">
        <f>ROUND(L76/Assumptions!$B$2,0)</f>
        <v>208</v>
      </c>
      <c r="P76" s="2">
        <f>ROUND(M76/Assumptions!$B$2,0)</f>
        <v>278</v>
      </c>
      <c r="Q76" s="2">
        <f>ROUND(N76/Assumptions!$B$2,0)</f>
        <v>347</v>
      </c>
      <c r="R76" s="2">
        <f>COUNTIF('Raw Data'!$B$2:$B$417,A76)</f>
        <v>7</v>
      </c>
      <c r="S76" s="8">
        <f>SUMIF('Raw Data'!$B$2:$B$417,A76,'Raw Data'!$L$2:$L$417)</f>
        <v>3920.0</v>
      </c>
      <c r="T76" s="8">
        <f>S76-O76</f>
        <v>3712.0</v>
      </c>
      <c r="U76" s="8">
        <f>S76-P76</f>
        <v>3642.0</v>
      </c>
      <c r="V76" s="8">
        <f>S76-Q76</f>
        <v>3573.0</v>
      </c>
      <c r="W76" s="2" t="str">
        <f>IF(R76=0,"Not Opened",IF(V76&gt;=0,"Recovered - All Scenarios",IF(U76&gt;=0,"Recovered - Low &amp; Base",IF(T76&gt;=0,"Recovered - Low Only","Not Recovered"))))</f>
        <v>Recovered - All Scenarios</v>
      </c>
      <c r="X76" s="8">
        <f>IF(R76=0,0,S76/R76)</f>
        <v>560.0</v>
      </c>
      <c r="Y76" s="2">
        <f>R76</f>
        <v>7</v>
      </c>
      <c r="Z76" s="8">
        <f>IF(R76=0,"",S76/R76)</f>
        <v>560.0</v>
      </c>
      <c r="AA76" s="2" t="str">
        <f>IF(R76=0,"Not Opened",IF(R76&gt;=Assumptions!$B$3,"High Frequency","Low Frequency")&amp;" / "&amp;IF(X76&gt;=Assumptions!$B$4,"High Contribution","Low Contribution"))</f>
        <v>High Frequency / High Contribution</v>
      </c>
    </row>
    <row r="77" spans="1:27">
      <c r="A77" s="2" t="s">
        <v>95</v>
      </c>
      <c r="B77" s="2" t="s">
        <v>301</v>
      </c>
      <c r="C77" s="2" t="s">
        <v>212</v>
      </c>
      <c r="D77" s="2">
        <v>2</v>
      </c>
      <c r="E77" s="2">
        <v>6</v>
      </c>
      <c r="F77" s="2">
        <v>138</v>
      </c>
      <c r="G77" s="2">
        <f>E77*F77</f>
        <v>828</v>
      </c>
      <c r="H77" s="2">
        <v>180</v>
      </c>
      <c r="I77" s="2" t="s">
        <v>22</v>
      </c>
      <c r="J77" s="2">
        <f>G77-H77</f>
        <v>648</v>
      </c>
      <c r="K77" s="2">
        <v>7</v>
      </c>
      <c r="L77" s="2">
        <v>0</v>
      </c>
      <c r="M77" s="2">
        <v>750</v>
      </c>
      <c r="N77" s="2">
        <v>1000</v>
      </c>
      <c r="O77" s="2">
        <f>ROUND(L77/Assumptions!$B$2,0)</f>
        <v>0</v>
      </c>
      <c r="P77" s="2">
        <f>ROUND(M77/Assumptions!$B$2,0)</f>
        <v>104</v>
      </c>
      <c r="Q77" s="2">
        <f>ROUND(N77/Assumptions!$B$2,0)</f>
        <v>139</v>
      </c>
      <c r="R77" s="2">
        <f>COUNTIF('Raw Data'!$B$2:$B$417,A77)</f>
        <v>1</v>
      </c>
      <c r="S77" s="8">
        <f>SUMIF('Raw Data'!$B$2:$B$417,A77,'Raw Data'!$L$2:$L$417)</f>
        <v>648.0</v>
      </c>
      <c r="T77" s="8">
        <f>S77-O77</f>
        <v>648.0</v>
      </c>
      <c r="U77" s="8">
        <f>S77-P77</f>
        <v>544.0</v>
      </c>
      <c r="V77" s="8">
        <f>S77-Q77</f>
        <v>509.0</v>
      </c>
      <c r="W77" s="2" t="str">
        <f>IF(R77=0,"Not Opened",IF(V77&gt;=0,"Recovered - All Scenarios",IF(U77&gt;=0,"Recovered - Low &amp; Base",IF(T77&gt;=0,"Recovered - Low Only","Not Recovered"))))</f>
        <v>Recovered - All Scenarios</v>
      </c>
      <c r="X77" s="8">
        <f>IF(R77=0,0,S77/R77)</f>
        <v>648.0</v>
      </c>
      <c r="Y77" s="2">
        <f>R77</f>
        <v>1</v>
      </c>
      <c r="Z77" s="8">
        <f>IF(R77=0,"",S77/R77)</f>
        <v>648.0</v>
      </c>
      <c r="AA77" s="2" t="str">
        <f>IF(R77=0,"Not Opened",IF(R77&gt;=Assumptions!$B$3,"High Frequency","Low Frequency")&amp;" / "&amp;IF(X77&gt;=Assumptions!$B$4,"High Contribution","Low Contribution"))</f>
        <v>Low Frequency / High Contribution</v>
      </c>
    </row>
    <row r="78" spans="1:27">
      <c r="A78" s="2" t="s">
        <v>96</v>
      </c>
      <c r="B78" s="2" t="s">
        <v>302</v>
      </c>
      <c r="C78" s="2" t="s">
        <v>223</v>
      </c>
      <c r="D78" s="2">
        <v>1</v>
      </c>
      <c r="E78" s="2">
        <v>6</v>
      </c>
      <c r="F78" s="2">
        <v>109</v>
      </c>
      <c r="G78" s="2">
        <f>E78*F78</f>
        <v>654</v>
      </c>
      <c r="H78" s="2">
        <v>172</v>
      </c>
      <c r="I78" s="2" t="s">
        <v>20</v>
      </c>
      <c r="J78" s="2">
        <f>G78-H78</f>
        <v>482</v>
      </c>
      <c r="K78" s="2">
        <v>7.7</v>
      </c>
      <c r="L78" s="2">
        <v>1500</v>
      </c>
      <c r="M78" s="2">
        <v>2000</v>
      </c>
      <c r="N78" s="2">
        <v>2500</v>
      </c>
      <c r="O78" s="2">
        <f>ROUND(L78/Assumptions!$B$2,0)</f>
        <v>208</v>
      </c>
      <c r="P78" s="2">
        <f>ROUND(M78/Assumptions!$B$2,0)</f>
        <v>278</v>
      </c>
      <c r="Q78" s="2">
        <f>ROUND(N78/Assumptions!$B$2,0)</f>
        <v>347</v>
      </c>
      <c r="R78" s="2">
        <f>COUNTIF('Raw Data'!$B$2:$B$417,A78)</f>
        <v>3</v>
      </c>
      <c r="S78" s="8">
        <f>SUMIF('Raw Data'!$B$2:$B$417,A78,'Raw Data'!$L$2:$L$417)</f>
        <v>1446.0</v>
      </c>
      <c r="T78" s="8">
        <f>S78-O78</f>
        <v>1238.0</v>
      </c>
      <c r="U78" s="8">
        <f>S78-P78</f>
        <v>1168.0</v>
      </c>
      <c r="V78" s="8">
        <f>S78-Q78</f>
        <v>1099.0</v>
      </c>
      <c r="W78" s="2" t="str">
        <f>IF(R78=0,"Not Opened",IF(V78&gt;=0,"Recovered - All Scenarios",IF(U78&gt;=0,"Recovered - Low &amp; Base",IF(T78&gt;=0,"Recovered - Low Only","Not Recovered"))))</f>
        <v>Recovered - All Scenarios</v>
      </c>
      <c r="X78" s="8">
        <f>IF(R78=0,0,S78/R78)</f>
        <v>482.0</v>
      </c>
      <c r="Y78" s="2">
        <f>R78</f>
        <v>3</v>
      </c>
      <c r="Z78" s="8">
        <f>IF(R78=0,"",S78/R78)</f>
        <v>482.0</v>
      </c>
      <c r="AA78" s="2" t="str">
        <f>IF(R78=0,"Not Opened",IF(R78&gt;=Assumptions!$B$3,"High Frequency","Low Frequency")&amp;" / "&amp;IF(X78&gt;=Assumptions!$B$4,"High Contribution","Low Contribution"))</f>
        <v>High Frequency / Low Contribution</v>
      </c>
    </row>
    <row r="79" spans="1:27">
      <c r="A79" s="2" t="s">
        <v>97</v>
      </c>
      <c r="B79" s="2" t="s">
        <v>303</v>
      </c>
      <c r="C79" s="2" t="s">
        <v>214</v>
      </c>
      <c r="D79" s="2">
        <v>1</v>
      </c>
      <c r="E79" s="2">
        <v>6</v>
      </c>
      <c r="F79" s="2">
        <v>75</v>
      </c>
      <c r="G79" s="2">
        <f>E79*F79</f>
        <v>450</v>
      </c>
      <c r="H79" s="2">
        <v>118</v>
      </c>
      <c r="I79" s="2" t="s">
        <v>22</v>
      </c>
      <c r="J79" s="2">
        <f>G79-H79</f>
        <v>332</v>
      </c>
      <c r="K79" s="2">
        <v>8.4</v>
      </c>
      <c r="L79" s="2">
        <v>0</v>
      </c>
      <c r="M79" s="2">
        <v>750</v>
      </c>
      <c r="N79" s="2">
        <v>1000</v>
      </c>
      <c r="O79" s="2">
        <f>ROUND(L79/Assumptions!$B$2,0)</f>
        <v>0</v>
      </c>
      <c r="P79" s="2">
        <f>ROUND(M79/Assumptions!$B$2,0)</f>
        <v>104</v>
      </c>
      <c r="Q79" s="2">
        <f>ROUND(N79/Assumptions!$B$2,0)</f>
        <v>139</v>
      </c>
      <c r="R79" s="2">
        <f>COUNTIF('Raw Data'!$B$2:$B$417,A79)</f>
        <v>10</v>
      </c>
      <c r="S79" s="8">
        <f>SUMIF('Raw Data'!$B$2:$B$417,A79,'Raw Data'!$L$2:$L$417)</f>
        <v>3320.0</v>
      </c>
      <c r="T79" s="8">
        <f>S79-O79</f>
        <v>3320.0</v>
      </c>
      <c r="U79" s="8">
        <f>S79-P79</f>
        <v>3216.0</v>
      </c>
      <c r="V79" s="8">
        <f>S79-Q79</f>
        <v>3181.0</v>
      </c>
      <c r="W79" s="2" t="str">
        <f>IF(R79=0,"Not Opened",IF(V79&gt;=0,"Recovered - All Scenarios",IF(U79&gt;=0,"Recovered - Low &amp; Base",IF(T79&gt;=0,"Recovered - Low Only","Not Recovered"))))</f>
        <v>Recovered - All Scenarios</v>
      </c>
      <c r="X79" s="8">
        <f>IF(R79=0,0,S79/R79)</f>
        <v>332.0</v>
      </c>
      <c r="Y79" s="2">
        <f>R79</f>
        <v>10</v>
      </c>
      <c r="Z79" s="8">
        <f>IF(R79=0,"",S79/R79)</f>
        <v>332.0</v>
      </c>
      <c r="AA79" s="2" t="str">
        <f>IF(R79=0,"Not Opened",IF(R79&gt;=Assumptions!$B$3,"High Frequency","Low Frequency")&amp;" / "&amp;IF(X79&gt;=Assumptions!$B$4,"High Contribution","Low Contribution"))</f>
        <v>High Frequency / Low Contribution</v>
      </c>
    </row>
    <row r="80" spans="1:27">
      <c r="A80" s="2" t="s">
        <v>98</v>
      </c>
      <c r="B80" s="2" t="s">
        <v>304</v>
      </c>
      <c r="C80" s="2" t="s">
        <v>218</v>
      </c>
      <c r="D80" s="2">
        <v>3</v>
      </c>
      <c r="E80" s="2">
        <v>7</v>
      </c>
      <c r="F80" s="2">
        <v>118</v>
      </c>
      <c r="G80" s="2">
        <f>E80*F80</f>
        <v>826</v>
      </c>
      <c r="H80" s="2">
        <v>217</v>
      </c>
      <c r="I80" s="2" t="s">
        <v>21</v>
      </c>
      <c r="J80" s="2">
        <f>G80-H80</f>
        <v>609</v>
      </c>
      <c r="K80" s="2">
        <v>7</v>
      </c>
      <c r="L80" s="2">
        <v>2500</v>
      </c>
      <c r="M80" s="2">
        <v>3000</v>
      </c>
      <c r="N80" s="2">
        <v>3500</v>
      </c>
      <c r="O80" s="2">
        <f>ROUND(L80/Assumptions!$B$2,0)</f>
        <v>347</v>
      </c>
      <c r="P80" s="2">
        <f>ROUND(M80/Assumptions!$B$2,0)</f>
        <v>417</v>
      </c>
      <c r="Q80" s="2">
        <f>ROUND(N80/Assumptions!$B$2,0)</f>
        <v>486</v>
      </c>
      <c r="R80" s="2">
        <f>COUNTIF('Raw Data'!$B$2:$B$417,A80)</f>
        <v>1</v>
      </c>
      <c r="S80" s="8">
        <f>SUMIF('Raw Data'!$B$2:$B$417,A80,'Raw Data'!$L$2:$L$417)</f>
        <v>609.0</v>
      </c>
      <c r="T80" s="8">
        <f>S80-O80</f>
        <v>262.0</v>
      </c>
      <c r="U80" s="8">
        <f>S80-P80</f>
        <v>192.0</v>
      </c>
      <c r="V80" s="8">
        <f>S80-Q80</f>
        <v>123.0</v>
      </c>
      <c r="W80" s="2" t="str">
        <f>IF(R80=0,"Not Opened",IF(V80&gt;=0,"Recovered - All Scenarios",IF(U80&gt;=0,"Recovered - Low &amp; Base",IF(T80&gt;=0,"Recovered - Low Only","Not Recovered"))))</f>
        <v>Recovered - All Scenarios</v>
      </c>
      <c r="X80" s="8">
        <f>IF(R80=0,0,S80/R80)</f>
        <v>609.0</v>
      </c>
      <c r="Y80" s="2">
        <f>R80</f>
        <v>1</v>
      </c>
      <c r="Z80" s="8">
        <f>IF(R80=0,"",S80/R80)</f>
        <v>609.0</v>
      </c>
      <c r="AA80" s="2" t="str">
        <f>IF(R80=0,"Not Opened",IF(R80&gt;=Assumptions!$B$3,"High Frequency","Low Frequency")&amp;" / "&amp;IF(X80&gt;=Assumptions!$B$4,"High Contribution","Low Contribution"))</f>
        <v>Low Frequency / High Contribution</v>
      </c>
    </row>
    <row r="81" spans="1:27">
      <c r="A81" s="2" t="s">
        <v>99</v>
      </c>
      <c r="B81" s="2" t="s">
        <v>305</v>
      </c>
      <c r="C81" s="2" t="s">
        <v>212</v>
      </c>
      <c r="D81" s="2">
        <v>6</v>
      </c>
      <c r="E81" s="2">
        <v>8</v>
      </c>
      <c r="F81" s="2">
        <v>138</v>
      </c>
      <c r="G81" s="2">
        <f>E81*F81</f>
        <v>1104</v>
      </c>
      <c r="H81" s="2">
        <v>540</v>
      </c>
      <c r="I81" s="2" t="s">
        <v>22</v>
      </c>
      <c r="J81" s="2">
        <f>G81-H81</f>
        <v>564</v>
      </c>
      <c r="K81" s="2">
        <v>7.7</v>
      </c>
      <c r="L81" s="2">
        <v>0</v>
      </c>
      <c r="M81" s="2">
        <v>750</v>
      </c>
      <c r="N81" s="2">
        <v>1000</v>
      </c>
      <c r="O81" s="2">
        <f>ROUND(L81/Assumptions!$B$2,0)</f>
        <v>0</v>
      </c>
      <c r="P81" s="2">
        <f>ROUND(M81/Assumptions!$B$2,0)</f>
        <v>104</v>
      </c>
      <c r="Q81" s="2">
        <f>ROUND(N81/Assumptions!$B$2,0)</f>
        <v>139</v>
      </c>
      <c r="R81" s="2">
        <f>COUNTIF('Raw Data'!$B$2:$B$417,A81)</f>
        <v>3</v>
      </c>
      <c r="S81" s="8">
        <f>SUMIF('Raw Data'!$B$2:$B$417,A81,'Raw Data'!$L$2:$L$417)</f>
        <v>1692.0</v>
      </c>
      <c r="T81" s="8">
        <f>S81-O81</f>
        <v>1692.0</v>
      </c>
      <c r="U81" s="8">
        <f>S81-P81</f>
        <v>1588.0</v>
      </c>
      <c r="V81" s="8">
        <f>S81-Q81</f>
        <v>1553.0</v>
      </c>
      <c r="W81" s="2" t="str">
        <f>IF(R81=0,"Not Opened",IF(V81&gt;=0,"Recovered - All Scenarios",IF(U81&gt;=0,"Recovered - Low &amp; Base",IF(T81&gt;=0,"Recovered - Low Only","Not Recovered"))))</f>
        <v>Recovered - All Scenarios</v>
      </c>
      <c r="X81" s="8">
        <f>IF(R81=0,0,S81/R81)</f>
        <v>564.0</v>
      </c>
      <c r="Y81" s="2">
        <f>R81</f>
        <v>3</v>
      </c>
      <c r="Z81" s="8">
        <f>IF(R81=0,"",S81/R81)</f>
        <v>564.0</v>
      </c>
      <c r="AA81" s="2" t="str">
        <f>IF(R81=0,"Not Opened",IF(R81&gt;=Assumptions!$B$3,"High Frequency","Low Frequency")&amp;" / "&amp;IF(X81&gt;=Assumptions!$B$4,"High Contribution","Low Contribution"))</f>
        <v>High Frequency / High Contribution</v>
      </c>
    </row>
    <row r="82" spans="1:27">
      <c r="A82" s="2" t="s">
        <v>306</v>
      </c>
      <c r="B82" s="2" t="s">
        <v>307</v>
      </c>
      <c r="C82" s="2" t="s">
        <v>212</v>
      </c>
      <c r="D82" s="2">
        <v>2</v>
      </c>
      <c r="E82" s="2">
        <v>6</v>
      </c>
      <c r="F82" s="2">
        <v>99</v>
      </c>
      <c r="G82" s="2">
        <f>E82*F82</f>
        <v>594</v>
      </c>
      <c r="H82" s="2">
        <v>180</v>
      </c>
      <c r="I82" s="2" t="s">
        <v>22</v>
      </c>
      <c r="J82" s="2">
        <f>G82-H82</f>
        <v>414</v>
      </c>
      <c r="K82" s="2">
        <v>8.4</v>
      </c>
      <c r="L82" s="2">
        <v>0</v>
      </c>
      <c r="M82" s="2">
        <v>750</v>
      </c>
      <c r="N82" s="2">
        <v>1000</v>
      </c>
      <c r="O82" s="2">
        <f>ROUND(L82/Assumptions!$B$2,0)</f>
        <v>0</v>
      </c>
      <c r="P82" s="2">
        <f>ROUND(M82/Assumptions!$B$2,0)</f>
        <v>104</v>
      </c>
      <c r="Q82" s="2">
        <f>ROUND(N82/Assumptions!$B$2,0)</f>
        <v>139</v>
      </c>
      <c r="R82" s="2">
        <f>COUNTIF('Raw Data'!$B$2:$B$417,A82)</f>
        <v>0</v>
      </c>
      <c r="S82" s="8">
        <f>SUMIF('Raw Data'!$B$2:$B$417,A82,'Raw Data'!$L$2:$L$417)</f>
        <v>0.0</v>
      </c>
      <c r="T82" s="8">
        <f>S82-O82</f>
        <v>0.0</v>
      </c>
      <c r="U82" s="8">
        <f>S82-P82</f>
        <v>-104.0</v>
      </c>
      <c r="V82" s="8">
        <f>S82-Q82</f>
        <v>-139.0</v>
      </c>
      <c r="W82" s="2" t="str">
        <f>IF(R82=0,"Not Opened",IF(V82&gt;=0,"Recovered - All Scenarios",IF(U82&gt;=0,"Recovered - Low &amp; Base",IF(T82&gt;=0,"Recovered - Low Only","Not Recovered"))))</f>
        <v>Not Opened</v>
      </c>
      <c r="X82" s="2">
        <f>IF(R82=0,0,S82/R82)</f>
        <v>0</v>
      </c>
      <c r="Y82" s="2">
        <f>R82</f>
        <v>0</v>
      </c>
      <c r="Z82" s="2">
        <f>IF(R82=0,"",S82/R82)</f>
        <v/>
      </c>
      <c r="AA82" s="2" t="str">
        <f>IF(R82=0,"Not Opened",IF(R82&gt;=Assumptions!$B$3,"High Frequency","Low Frequency")&amp;" / "&amp;IF(X82&gt;=Assumptions!$B$4,"High Contribution","Low Contribution"))</f>
        <v>Not Opened</v>
      </c>
    </row>
    <row r="83" spans="1:27">
      <c r="A83" s="2" t="s">
        <v>100</v>
      </c>
      <c r="B83" s="2" t="s">
        <v>308</v>
      </c>
      <c r="C83" s="2" t="s">
        <v>214</v>
      </c>
      <c r="D83" s="2">
        <v>1</v>
      </c>
      <c r="E83" s="2">
        <v>6</v>
      </c>
      <c r="F83" s="2">
        <v>75</v>
      </c>
      <c r="G83" s="2">
        <f>E83*F83</f>
        <v>450</v>
      </c>
      <c r="H83" s="2">
        <v>118</v>
      </c>
      <c r="I83" s="2" t="s">
        <v>20</v>
      </c>
      <c r="J83" s="2">
        <f>G83-H83</f>
        <v>332</v>
      </c>
      <c r="K83" s="2">
        <v>7</v>
      </c>
      <c r="L83" s="2">
        <v>1500</v>
      </c>
      <c r="M83" s="2">
        <v>2000</v>
      </c>
      <c r="N83" s="2">
        <v>2500</v>
      </c>
      <c r="O83" s="2">
        <f>ROUND(L83/Assumptions!$B$2,0)</f>
        <v>208</v>
      </c>
      <c r="P83" s="2">
        <f>ROUND(M83/Assumptions!$B$2,0)</f>
        <v>278</v>
      </c>
      <c r="Q83" s="2">
        <f>ROUND(N83/Assumptions!$B$2,0)</f>
        <v>347</v>
      </c>
      <c r="R83" s="2">
        <f>COUNTIF('Raw Data'!$B$2:$B$417,A83)</f>
        <v>1</v>
      </c>
      <c r="S83" s="8">
        <f>SUMIF('Raw Data'!$B$2:$B$417,A83,'Raw Data'!$L$2:$L$417)</f>
        <v>332.0</v>
      </c>
      <c r="T83" s="8">
        <f>S83-O83</f>
        <v>124.0</v>
      </c>
      <c r="U83" s="8">
        <f>S83-P83</f>
        <v>54.0</v>
      </c>
      <c r="V83" s="8">
        <f>S83-Q83</f>
        <v>-15.0</v>
      </c>
      <c r="W83" s="2" t="str">
        <f>IF(R83=0,"Not Opened",IF(V83&gt;=0,"Recovered - All Scenarios",IF(U83&gt;=0,"Recovered - Low &amp; Base",IF(T83&gt;=0,"Recovered - Low Only","Not Recovered"))))</f>
        <v>Recovered - Low &amp; Base</v>
      </c>
      <c r="X83" s="8">
        <f>IF(R83=0,0,S83/R83)</f>
        <v>332.0</v>
      </c>
      <c r="Y83" s="2">
        <f>R83</f>
        <v>1</v>
      </c>
      <c r="Z83" s="8">
        <f>IF(R83=0,"",S83/R83)</f>
        <v>332.0</v>
      </c>
      <c r="AA83" s="2" t="str">
        <f>IF(R83=0,"Not Opened",IF(R83&gt;=Assumptions!$B$3,"High Frequency","Low Frequency")&amp;" / "&amp;IF(X83&gt;=Assumptions!$B$4,"High Contribution","Low Contribution"))</f>
        <v>Low Frequency / Low Contribution</v>
      </c>
    </row>
    <row r="84" spans="1:27">
      <c r="A84" s="2" t="s">
        <v>101</v>
      </c>
      <c r="B84" s="2" t="s">
        <v>309</v>
      </c>
      <c r="C84" s="2" t="s">
        <v>212</v>
      </c>
      <c r="D84" s="2">
        <v>3</v>
      </c>
      <c r="E84" s="2">
        <v>6</v>
      </c>
      <c r="F84" s="2">
        <v>118</v>
      </c>
      <c r="G84" s="2">
        <f>E84*F84</f>
        <v>708</v>
      </c>
      <c r="H84" s="2">
        <v>270</v>
      </c>
      <c r="I84" s="2" t="s">
        <v>22</v>
      </c>
      <c r="J84" s="2">
        <f>G84-H84</f>
        <v>438</v>
      </c>
      <c r="K84" s="2">
        <v>7.7</v>
      </c>
      <c r="L84" s="2">
        <v>0</v>
      </c>
      <c r="M84" s="2">
        <v>750</v>
      </c>
      <c r="N84" s="2">
        <v>1000</v>
      </c>
      <c r="O84" s="2">
        <f>ROUND(L84/Assumptions!$B$2,0)</f>
        <v>0</v>
      </c>
      <c r="P84" s="2">
        <f>ROUND(M84/Assumptions!$B$2,0)</f>
        <v>104</v>
      </c>
      <c r="Q84" s="2">
        <f>ROUND(N84/Assumptions!$B$2,0)</f>
        <v>139</v>
      </c>
      <c r="R84" s="2">
        <f>COUNTIF('Raw Data'!$B$2:$B$417,A84)</f>
        <v>3</v>
      </c>
      <c r="S84" s="8">
        <f>SUMIF('Raw Data'!$B$2:$B$417,A84,'Raw Data'!$L$2:$L$417)</f>
        <v>1314.0</v>
      </c>
      <c r="T84" s="8">
        <f>S84-O84</f>
        <v>1314.0</v>
      </c>
      <c r="U84" s="8">
        <f>S84-P84</f>
        <v>1210.0</v>
      </c>
      <c r="V84" s="8">
        <f>S84-Q84</f>
        <v>1175.0</v>
      </c>
      <c r="W84" s="2" t="str">
        <f>IF(R84=0,"Not Opened",IF(V84&gt;=0,"Recovered - All Scenarios",IF(U84&gt;=0,"Recovered - Low &amp; Base",IF(T84&gt;=0,"Recovered - Low Only","Not Recovered"))))</f>
        <v>Recovered - All Scenarios</v>
      </c>
      <c r="X84" s="8">
        <f>IF(R84=0,0,S84/R84)</f>
        <v>438.0</v>
      </c>
      <c r="Y84" s="2">
        <f>R84</f>
        <v>3</v>
      </c>
      <c r="Z84" s="8">
        <f>IF(R84=0,"",S84/R84)</f>
        <v>438.0</v>
      </c>
      <c r="AA84" s="2" t="str">
        <f>IF(R84=0,"Not Opened",IF(R84&gt;=Assumptions!$B$3,"High Frequency","Low Frequency")&amp;" / "&amp;IF(X84&gt;=Assumptions!$B$4,"High Contribution","Low Contribution"))</f>
        <v>High Frequency / Low Contribution</v>
      </c>
    </row>
    <row r="85" spans="1:27">
      <c r="A85" s="2" t="s">
        <v>310</v>
      </c>
      <c r="B85" s="2" t="s">
        <v>311</v>
      </c>
      <c r="C85" s="2" t="s">
        <v>218</v>
      </c>
      <c r="D85" s="2">
        <v>3</v>
      </c>
      <c r="E85" s="2">
        <v>7</v>
      </c>
      <c r="F85" s="2">
        <v>129</v>
      </c>
      <c r="G85" s="2">
        <f>E85*F85</f>
        <v>903</v>
      </c>
      <c r="H85" s="2">
        <v>237</v>
      </c>
      <c r="I85" s="2" t="s">
        <v>21</v>
      </c>
      <c r="J85" s="2">
        <f>G85-H85</f>
        <v>666</v>
      </c>
      <c r="K85" s="2">
        <v>8.4</v>
      </c>
      <c r="L85" s="2">
        <v>2500</v>
      </c>
      <c r="M85" s="2">
        <v>3000</v>
      </c>
      <c r="N85" s="2">
        <v>3500</v>
      </c>
      <c r="O85" s="2">
        <f>ROUND(L85/Assumptions!$B$2,0)</f>
        <v>347</v>
      </c>
      <c r="P85" s="2">
        <f>ROUND(M85/Assumptions!$B$2,0)</f>
        <v>417</v>
      </c>
      <c r="Q85" s="2">
        <f>ROUND(N85/Assumptions!$B$2,0)</f>
        <v>486</v>
      </c>
      <c r="R85" s="2">
        <f>COUNTIF('Raw Data'!$B$2:$B$417,A85)</f>
        <v>0</v>
      </c>
      <c r="S85" s="8">
        <f>SUMIF('Raw Data'!$B$2:$B$417,A85,'Raw Data'!$L$2:$L$417)</f>
        <v>0.0</v>
      </c>
      <c r="T85" s="8">
        <f>S85-O85</f>
        <v>-347.0</v>
      </c>
      <c r="U85" s="8">
        <f>S85-P85</f>
        <v>-417.0</v>
      </c>
      <c r="V85" s="8">
        <f>S85-Q85</f>
        <v>-486.0</v>
      </c>
      <c r="W85" s="2" t="str">
        <f>IF(R85=0,"Not Opened",IF(V85&gt;=0,"Recovered - All Scenarios",IF(U85&gt;=0,"Recovered - Low &amp; Base",IF(T85&gt;=0,"Recovered - Low Only","Not Recovered"))))</f>
        <v>Not Opened</v>
      </c>
      <c r="X85" s="2">
        <f>IF(R85=0,0,S85/R85)</f>
        <v>0</v>
      </c>
      <c r="Y85" s="2">
        <f>R85</f>
        <v>0</v>
      </c>
      <c r="Z85" s="2">
        <f>IF(R85=0,"",S85/R85)</f>
        <v/>
      </c>
      <c r="AA85" s="2" t="str">
        <f>IF(R85=0,"Not Opened",IF(R85&gt;=Assumptions!$B$3,"High Frequency","Low Frequency")&amp;" / "&amp;IF(X85&gt;=Assumptions!$B$4,"High Contribution","Low Contribution"))</f>
        <v>Not Opened</v>
      </c>
    </row>
    <row r="86" spans="1:27">
      <c r="A86" s="2" t="s">
        <v>102</v>
      </c>
      <c r="B86" s="2" t="s">
        <v>312</v>
      </c>
      <c r="C86" s="2" t="s">
        <v>214</v>
      </c>
      <c r="D86" s="2">
        <v>2</v>
      </c>
      <c r="E86" s="2">
        <v>8</v>
      </c>
      <c r="F86" s="2">
        <v>65</v>
      </c>
      <c r="G86" s="2">
        <f>E86*F86</f>
        <v>520</v>
      </c>
      <c r="H86" s="2">
        <v>137</v>
      </c>
      <c r="I86" s="2" t="s">
        <v>20</v>
      </c>
      <c r="J86" s="2">
        <f>G86-H86</f>
        <v>383</v>
      </c>
      <c r="K86" s="2">
        <v>7</v>
      </c>
      <c r="L86" s="2">
        <v>1500</v>
      </c>
      <c r="M86" s="2">
        <v>2000</v>
      </c>
      <c r="N86" s="2">
        <v>2500</v>
      </c>
      <c r="O86" s="2">
        <f>ROUND(L86/Assumptions!$B$2,0)</f>
        <v>208</v>
      </c>
      <c r="P86" s="2">
        <f>ROUND(M86/Assumptions!$B$2,0)</f>
        <v>278</v>
      </c>
      <c r="Q86" s="2">
        <f>ROUND(N86/Assumptions!$B$2,0)</f>
        <v>347</v>
      </c>
      <c r="R86" s="2">
        <f>COUNTIF('Raw Data'!$B$2:$B$417,A86)</f>
        <v>2</v>
      </c>
      <c r="S86" s="8">
        <f>SUMIF('Raw Data'!$B$2:$B$417,A86,'Raw Data'!$L$2:$L$417)</f>
        <v>766.0</v>
      </c>
      <c r="T86" s="8">
        <f>S86-O86</f>
        <v>558.0</v>
      </c>
      <c r="U86" s="8">
        <f>S86-P86</f>
        <v>488.0</v>
      </c>
      <c r="V86" s="8">
        <f>S86-Q86</f>
        <v>419.0</v>
      </c>
      <c r="W86" s="2" t="str">
        <f>IF(R86=0,"Not Opened",IF(V86&gt;=0,"Recovered - All Scenarios",IF(U86&gt;=0,"Recovered - Low &amp; Base",IF(T86&gt;=0,"Recovered - Low Only","Not Recovered"))))</f>
        <v>Recovered - All Scenarios</v>
      </c>
      <c r="X86" s="8">
        <f>IF(R86=0,0,S86/R86)</f>
        <v>383.0</v>
      </c>
      <c r="Y86" s="2">
        <f>R86</f>
        <v>2</v>
      </c>
      <c r="Z86" s="8">
        <f>IF(R86=0,"",S86/R86)</f>
        <v>383.0</v>
      </c>
      <c r="AA86" s="2" t="str">
        <f>IF(R86=0,"Not Opened",IF(R86&gt;=Assumptions!$B$3,"High Frequency","Low Frequency")&amp;" / "&amp;IF(X86&gt;=Assumptions!$B$4,"High Contribution","Low Contribution"))</f>
        <v>High Frequency / Low Contribution</v>
      </c>
    </row>
    <row r="87" spans="1:27">
      <c r="A87" s="2" t="s">
        <v>103</v>
      </c>
      <c r="B87" s="2" t="s">
        <v>313</v>
      </c>
      <c r="C87" s="2" t="s">
        <v>212</v>
      </c>
      <c r="D87" s="2">
        <v>2</v>
      </c>
      <c r="E87" s="2">
        <v>6</v>
      </c>
      <c r="F87" s="2">
        <v>109</v>
      </c>
      <c r="G87" s="2">
        <f>E87*F87</f>
        <v>654</v>
      </c>
      <c r="H87" s="2">
        <v>180</v>
      </c>
      <c r="I87" s="2" t="s">
        <v>22</v>
      </c>
      <c r="J87" s="2">
        <f>G87-H87</f>
        <v>474</v>
      </c>
      <c r="K87" s="2">
        <v>7.7</v>
      </c>
      <c r="L87" s="2">
        <v>0</v>
      </c>
      <c r="M87" s="2">
        <v>750</v>
      </c>
      <c r="N87" s="2">
        <v>1000</v>
      </c>
      <c r="O87" s="2">
        <f>ROUND(L87/Assumptions!$B$2,0)</f>
        <v>0</v>
      </c>
      <c r="P87" s="2">
        <f>ROUND(M87/Assumptions!$B$2,0)</f>
        <v>104</v>
      </c>
      <c r="Q87" s="2">
        <f>ROUND(N87/Assumptions!$B$2,0)</f>
        <v>139</v>
      </c>
      <c r="R87" s="2">
        <f>COUNTIF('Raw Data'!$B$2:$B$417,A87)</f>
        <v>4</v>
      </c>
      <c r="S87" s="8">
        <f>SUMIF('Raw Data'!$B$2:$B$417,A87,'Raw Data'!$L$2:$L$417)</f>
        <v>1896.0</v>
      </c>
      <c r="T87" s="8">
        <f>S87-O87</f>
        <v>1896.0</v>
      </c>
      <c r="U87" s="8">
        <f>S87-P87</f>
        <v>1792.0</v>
      </c>
      <c r="V87" s="8">
        <f>S87-Q87</f>
        <v>1757.0</v>
      </c>
      <c r="W87" s="2" t="str">
        <f>IF(R87=0,"Not Opened",IF(V87&gt;=0,"Recovered - All Scenarios",IF(U87&gt;=0,"Recovered - Low &amp; Base",IF(T87&gt;=0,"Recovered - Low Only","Not Recovered"))))</f>
        <v>Recovered - All Scenarios</v>
      </c>
      <c r="X87" s="8">
        <f>IF(R87=0,0,S87/R87)</f>
        <v>474.0</v>
      </c>
      <c r="Y87" s="2">
        <f>R87</f>
        <v>4</v>
      </c>
      <c r="Z87" s="8">
        <f>IF(R87=0,"",S87/R87)</f>
        <v>474.0</v>
      </c>
      <c r="AA87" s="2" t="str">
        <f>IF(R87=0,"Not Opened",IF(R87&gt;=Assumptions!$B$3,"High Frequency","Low Frequency")&amp;" / "&amp;IF(X87&gt;=Assumptions!$B$4,"High Contribution","Low Contribution"))</f>
        <v>High Frequency / Low Contribution</v>
      </c>
    </row>
    <row r="88" spans="1:27">
      <c r="A88" s="2" t="s">
        <v>314</v>
      </c>
      <c r="B88" s="2" t="s">
        <v>315</v>
      </c>
      <c r="C88" s="2" t="s">
        <v>223</v>
      </c>
      <c r="D88" s="2">
        <v>1</v>
      </c>
      <c r="E88" s="2">
        <v>6</v>
      </c>
      <c r="F88" s="2">
        <v>129</v>
      </c>
      <c r="G88" s="2">
        <f>E88*F88</f>
        <v>774</v>
      </c>
      <c r="H88" s="2">
        <v>203</v>
      </c>
      <c r="I88" s="2" t="s">
        <v>20</v>
      </c>
      <c r="J88" s="2">
        <f>G88-H88</f>
        <v>571</v>
      </c>
      <c r="K88" s="2">
        <v>8.4</v>
      </c>
      <c r="L88" s="2">
        <v>1500</v>
      </c>
      <c r="M88" s="2">
        <v>2000</v>
      </c>
      <c r="N88" s="2">
        <v>2500</v>
      </c>
      <c r="O88" s="2">
        <f>ROUND(L88/Assumptions!$B$2,0)</f>
        <v>208</v>
      </c>
      <c r="P88" s="2">
        <f>ROUND(M88/Assumptions!$B$2,0)</f>
        <v>278</v>
      </c>
      <c r="Q88" s="2">
        <f>ROUND(N88/Assumptions!$B$2,0)</f>
        <v>347</v>
      </c>
      <c r="R88" s="2">
        <f>COUNTIF('Raw Data'!$B$2:$B$417,A88)</f>
        <v>0</v>
      </c>
      <c r="S88" s="8">
        <f>SUMIF('Raw Data'!$B$2:$B$417,A88,'Raw Data'!$L$2:$L$417)</f>
        <v>0.0</v>
      </c>
      <c r="T88" s="8">
        <f>S88-O88</f>
        <v>-208.0</v>
      </c>
      <c r="U88" s="8">
        <f>S88-P88</f>
        <v>-278.0</v>
      </c>
      <c r="V88" s="8">
        <f>S88-Q88</f>
        <v>-347.0</v>
      </c>
      <c r="W88" s="2" t="str">
        <f>IF(R88=0,"Not Opened",IF(V88&gt;=0,"Recovered - All Scenarios",IF(U88&gt;=0,"Recovered - Low &amp; Base",IF(T88&gt;=0,"Recovered - Low Only","Not Recovered"))))</f>
        <v>Not Opened</v>
      </c>
      <c r="X88" s="2">
        <f>IF(R88=0,0,S88/R88)</f>
        <v>0</v>
      </c>
      <c r="Y88" s="2">
        <f>R88</f>
        <v>0</v>
      </c>
      <c r="Z88" s="2">
        <f>IF(R88=0,"",S88/R88)</f>
        <v/>
      </c>
      <c r="AA88" s="2" t="str">
        <f>IF(R88=0,"Not Opened",IF(R88&gt;=Assumptions!$B$3,"High Frequency","Low Frequency")&amp;" / "&amp;IF(X88&gt;=Assumptions!$B$4,"High Contribution","Low Contribution"))</f>
        <v>Not Opened</v>
      </c>
    </row>
    <row r="89" spans="1:27">
      <c r="A89" s="2" t="s">
        <v>104</v>
      </c>
      <c r="B89" s="2" t="s">
        <v>316</v>
      </c>
      <c r="C89" s="2" t="s">
        <v>214</v>
      </c>
      <c r="D89" s="2">
        <v>1</v>
      </c>
      <c r="E89" s="2">
        <v>6</v>
      </c>
      <c r="F89" s="2">
        <v>119</v>
      </c>
      <c r="G89" s="2">
        <f>E89*F89</f>
        <v>714</v>
      </c>
      <c r="H89" s="2">
        <v>187</v>
      </c>
      <c r="I89" s="2" t="s">
        <v>22</v>
      </c>
      <c r="J89" s="2">
        <f>G89-H89</f>
        <v>527</v>
      </c>
      <c r="K89" s="2">
        <v>7</v>
      </c>
      <c r="L89" s="2">
        <v>0</v>
      </c>
      <c r="M89" s="2">
        <v>750</v>
      </c>
      <c r="N89" s="2">
        <v>1000</v>
      </c>
      <c r="O89" s="2">
        <f>ROUND(L89/Assumptions!$B$2,0)</f>
        <v>0</v>
      </c>
      <c r="P89" s="2">
        <f>ROUND(M89/Assumptions!$B$2,0)</f>
        <v>104</v>
      </c>
      <c r="Q89" s="2">
        <f>ROUND(N89/Assumptions!$B$2,0)</f>
        <v>139</v>
      </c>
      <c r="R89" s="2">
        <f>COUNTIF('Raw Data'!$B$2:$B$417,A89)</f>
        <v>2</v>
      </c>
      <c r="S89" s="8">
        <f>SUMIF('Raw Data'!$B$2:$B$417,A89,'Raw Data'!$L$2:$L$417)</f>
        <v>1054.0</v>
      </c>
      <c r="T89" s="8">
        <f>S89-O89</f>
        <v>1054.0</v>
      </c>
      <c r="U89" s="8">
        <f>S89-P89</f>
        <v>950.0</v>
      </c>
      <c r="V89" s="8">
        <f>S89-Q89</f>
        <v>915.0</v>
      </c>
      <c r="W89" s="2" t="str">
        <f>IF(R89=0,"Not Opened",IF(V89&gt;=0,"Recovered - All Scenarios",IF(U89&gt;=0,"Recovered - Low &amp; Base",IF(T89&gt;=0,"Recovered - Low Only","Not Recovered"))))</f>
        <v>Recovered - All Scenarios</v>
      </c>
      <c r="X89" s="8">
        <f>IF(R89=0,0,S89/R89)</f>
        <v>527.0</v>
      </c>
      <c r="Y89" s="2">
        <f>R89</f>
        <v>2</v>
      </c>
      <c r="Z89" s="8">
        <f>IF(R89=0,"",S89/R89)</f>
        <v>527.0</v>
      </c>
      <c r="AA89" s="2" t="str">
        <f>IF(R89=0,"Not Opened",IF(R89&gt;=Assumptions!$B$3,"High Frequency","Low Frequency")&amp;" / "&amp;IF(X89&gt;=Assumptions!$B$4,"High Contribution","Low Contribution"))</f>
        <v>High Frequency / High Contribution</v>
      </c>
    </row>
    <row r="90" spans="1:27">
      <c r="A90" s="2" t="s">
        <v>105</v>
      </c>
      <c r="B90" s="2" t="s">
        <v>317</v>
      </c>
      <c r="C90" s="2" t="s">
        <v>218</v>
      </c>
      <c r="D90" s="2">
        <v>3</v>
      </c>
      <c r="E90" s="2">
        <v>7</v>
      </c>
      <c r="F90" s="2">
        <v>95</v>
      </c>
      <c r="G90" s="2">
        <f>E90*F90</f>
        <v>665</v>
      </c>
      <c r="H90" s="2">
        <v>175</v>
      </c>
      <c r="I90" s="2" t="s">
        <v>21</v>
      </c>
      <c r="J90" s="2">
        <f>G90-H90</f>
        <v>490</v>
      </c>
      <c r="K90" s="2">
        <v>7.7</v>
      </c>
      <c r="L90" s="2">
        <v>2500</v>
      </c>
      <c r="M90" s="2">
        <v>3000</v>
      </c>
      <c r="N90" s="2">
        <v>3500</v>
      </c>
      <c r="O90" s="2">
        <f>ROUND(L90/Assumptions!$B$2,0)</f>
        <v>347</v>
      </c>
      <c r="P90" s="2">
        <f>ROUND(M90/Assumptions!$B$2,0)</f>
        <v>417</v>
      </c>
      <c r="Q90" s="2">
        <f>ROUND(N90/Assumptions!$B$2,0)</f>
        <v>486</v>
      </c>
      <c r="R90" s="2">
        <f>COUNTIF('Raw Data'!$B$2:$B$417,A90)</f>
        <v>4</v>
      </c>
      <c r="S90" s="8">
        <f>SUMIF('Raw Data'!$B$2:$B$417,A90,'Raw Data'!$L$2:$L$417)</f>
        <v>1960.0</v>
      </c>
      <c r="T90" s="8">
        <f>S90-O90</f>
        <v>1613.0</v>
      </c>
      <c r="U90" s="8">
        <f>S90-P90</f>
        <v>1543.0</v>
      </c>
      <c r="V90" s="8">
        <f>S90-Q90</f>
        <v>1474.0</v>
      </c>
      <c r="W90" s="2" t="str">
        <f>IF(R90=0,"Not Opened",IF(V90&gt;=0,"Recovered - All Scenarios",IF(U90&gt;=0,"Recovered - Low &amp; Base",IF(T90&gt;=0,"Recovered - Low Only","Not Recovered"))))</f>
        <v>Recovered - All Scenarios</v>
      </c>
      <c r="X90" s="8">
        <f>IF(R90=0,0,S90/R90)</f>
        <v>490.0</v>
      </c>
      <c r="Y90" s="2">
        <f>R90</f>
        <v>4</v>
      </c>
      <c r="Z90" s="8">
        <f>IF(R90=0,"",S90/R90)</f>
        <v>490.0</v>
      </c>
      <c r="AA90" s="2" t="str">
        <f>IF(R90=0,"Not Opened",IF(R90&gt;=Assumptions!$B$3,"High Frequency","Low Frequency")&amp;" / "&amp;IF(X90&gt;=Assumptions!$B$4,"High Contribution","Low Contribution"))</f>
        <v>High Frequency / High Contribution</v>
      </c>
    </row>
    <row r="91" spans="1:27">
      <c r="A91" s="2" t="s">
        <v>106</v>
      </c>
      <c r="B91" s="2" t="s">
        <v>318</v>
      </c>
      <c r="C91" s="2" t="s">
        <v>212</v>
      </c>
      <c r="D91" s="2">
        <v>6</v>
      </c>
      <c r="E91" s="2">
        <v>8</v>
      </c>
      <c r="F91" s="2">
        <v>109</v>
      </c>
      <c r="G91" s="2">
        <f>E91*F91</f>
        <v>872</v>
      </c>
      <c r="H91" s="2">
        <v>540</v>
      </c>
      <c r="I91" s="2" t="s">
        <v>22</v>
      </c>
      <c r="J91" s="2">
        <f>G91-H91</f>
        <v>332</v>
      </c>
      <c r="K91" s="2">
        <v>8.4</v>
      </c>
      <c r="L91" s="2">
        <v>0</v>
      </c>
      <c r="M91" s="2">
        <v>750</v>
      </c>
      <c r="N91" s="2">
        <v>1000</v>
      </c>
      <c r="O91" s="2">
        <f>ROUND(L91/Assumptions!$B$2,0)</f>
        <v>0</v>
      </c>
      <c r="P91" s="2">
        <f>ROUND(M91/Assumptions!$B$2,0)</f>
        <v>104</v>
      </c>
      <c r="Q91" s="2">
        <f>ROUND(N91/Assumptions!$B$2,0)</f>
        <v>139</v>
      </c>
      <c r="R91" s="2">
        <f>COUNTIF('Raw Data'!$B$2:$B$417,A91)</f>
        <v>1</v>
      </c>
      <c r="S91" s="8">
        <f>SUMIF('Raw Data'!$B$2:$B$417,A91,'Raw Data'!$L$2:$L$417)</f>
        <v>332.0</v>
      </c>
      <c r="T91" s="8">
        <f>S91-O91</f>
        <v>332.0</v>
      </c>
      <c r="U91" s="8">
        <f>S91-P91</f>
        <v>228.0</v>
      </c>
      <c r="V91" s="8">
        <f>S91-Q91</f>
        <v>193.0</v>
      </c>
      <c r="W91" s="2" t="str">
        <f>IF(R91=0,"Not Opened",IF(V91&gt;=0,"Recovered - All Scenarios",IF(U91&gt;=0,"Recovered - Low &amp; Base",IF(T91&gt;=0,"Recovered - Low Only","Not Recovered"))))</f>
        <v>Recovered - All Scenarios</v>
      </c>
      <c r="X91" s="8">
        <f>IF(R91=0,0,S91/R91)</f>
        <v>332.0</v>
      </c>
      <c r="Y91" s="2">
        <f>R91</f>
        <v>1</v>
      </c>
      <c r="Z91" s="8">
        <f>IF(R91=0,"",S91/R91)</f>
        <v>332.0</v>
      </c>
      <c r="AA91" s="2" t="str">
        <f>IF(R91=0,"Not Opened",IF(R91&gt;=Assumptions!$B$3,"High Frequency","Low Frequency")&amp;" / "&amp;IF(X91&gt;=Assumptions!$B$4,"High Contribution","Low Contribution"))</f>
        <v>Low Frequency / Low Contribution</v>
      </c>
    </row>
    <row r="92" spans="1:27">
      <c r="A92" s="2" t="s">
        <v>107</v>
      </c>
      <c r="B92" s="2" t="s">
        <v>319</v>
      </c>
      <c r="C92" s="2" t="s">
        <v>212</v>
      </c>
      <c r="D92" s="2">
        <v>2</v>
      </c>
      <c r="E92" s="2">
        <v>6</v>
      </c>
      <c r="F92" s="2">
        <v>118</v>
      </c>
      <c r="G92" s="2">
        <f>E92*F92</f>
        <v>708</v>
      </c>
      <c r="H92" s="2">
        <v>180</v>
      </c>
      <c r="I92" s="2" t="s">
        <v>22</v>
      </c>
      <c r="J92" s="2">
        <f>G92-H92</f>
        <v>528</v>
      </c>
      <c r="K92" s="2">
        <v>7</v>
      </c>
      <c r="L92" s="2">
        <v>0</v>
      </c>
      <c r="M92" s="2">
        <v>750</v>
      </c>
      <c r="N92" s="2">
        <v>1000</v>
      </c>
      <c r="O92" s="2">
        <f>ROUND(L92/Assumptions!$B$2,0)</f>
        <v>0</v>
      </c>
      <c r="P92" s="2">
        <f>ROUND(M92/Assumptions!$B$2,0)</f>
        <v>104</v>
      </c>
      <c r="Q92" s="2">
        <f>ROUND(N92/Assumptions!$B$2,0)</f>
        <v>139</v>
      </c>
      <c r="R92" s="2">
        <f>COUNTIF('Raw Data'!$B$2:$B$417,A92)</f>
        <v>2</v>
      </c>
      <c r="S92" s="8">
        <f>SUMIF('Raw Data'!$B$2:$B$417,A92,'Raw Data'!$L$2:$L$417)</f>
        <v>1056.0</v>
      </c>
      <c r="T92" s="8">
        <f>S92-O92</f>
        <v>1056.0</v>
      </c>
      <c r="U92" s="8">
        <f>S92-P92</f>
        <v>952.0</v>
      </c>
      <c r="V92" s="8">
        <f>S92-Q92</f>
        <v>917.0</v>
      </c>
      <c r="W92" s="2" t="str">
        <f>IF(R92=0,"Not Opened",IF(V92&gt;=0,"Recovered - All Scenarios",IF(U92&gt;=0,"Recovered - Low &amp; Base",IF(T92&gt;=0,"Recovered - Low Only","Not Recovered"))))</f>
        <v>Recovered - All Scenarios</v>
      </c>
      <c r="X92" s="8">
        <f>IF(R92=0,0,S92/R92)</f>
        <v>528.0</v>
      </c>
      <c r="Y92" s="2">
        <f>R92</f>
        <v>2</v>
      </c>
      <c r="Z92" s="8">
        <f>IF(R92=0,"",S92/R92)</f>
        <v>528.0</v>
      </c>
      <c r="AA92" s="2" t="str">
        <f>IF(R92=0,"Not Opened",IF(R92&gt;=Assumptions!$B$3,"High Frequency","Low Frequency")&amp;" / "&amp;IF(X92&gt;=Assumptions!$B$4,"High Contribution","Low Contribution"))</f>
        <v>High Frequency / High Contribution</v>
      </c>
    </row>
    <row r="93" spans="1:27">
      <c r="A93" s="2" t="s">
        <v>108</v>
      </c>
      <c r="B93" s="2" t="s">
        <v>320</v>
      </c>
      <c r="C93" s="2" t="s">
        <v>214</v>
      </c>
      <c r="D93" s="2">
        <v>1</v>
      </c>
      <c r="E93" s="2">
        <v>6</v>
      </c>
      <c r="F93" s="2">
        <v>119</v>
      </c>
      <c r="G93" s="2">
        <f>E93*F93</f>
        <v>714</v>
      </c>
      <c r="H93" s="2">
        <v>187</v>
      </c>
      <c r="I93" s="2" t="s">
        <v>20</v>
      </c>
      <c r="J93" s="2">
        <f>G93-H93</f>
        <v>527</v>
      </c>
      <c r="K93" s="2">
        <v>7.7</v>
      </c>
      <c r="L93" s="2">
        <v>1500</v>
      </c>
      <c r="M93" s="2">
        <v>2000</v>
      </c>
      <c r="N93" s="2">
        <v>2500</v>
      </c>
      <c r="O93" s="2">
        <f>ROUND(L93/Assumptions!$B$2,0)</f>
        <v>208</v>
      </c>
      <c r="P93" s="2">
        <f>ROUND(M93/Assumptions!$B$2,0)</f>
        <v>278</v>
      </c>
      <c r="Q93" s="2">
        <f>ROUND(N93/Assumptions!$B$2,0)</f>
        <v>347</v>
      </c>
      <c r="R93" s="2">
        <f>COUNTIF('Raw Data'!$B$2:$B$417,A93)</f>
        <v>5</v>
      </c>
      <c r="S93" s="8">
        <f>SUMIF('Raw Data'!$B$2:$B$417,A93,'Raw Data'!$L$2:$L$417)</f>
        <v>2635.0</v>
      </c>
      <c r="T93" s="8">
        <f>S93-O93</f>
        <v>2427.0</v>
      </c>
      <c r="U93" s="8">
        <f>S93-P93</f>
        <v>2357.0</v>
      </c>
      <c r="V93" s="8">
        <f>S93-Q93</f>
        <v>2288.0</v>
      </c>
      <c r="W93" s="2" t="str">
        <f>IF(R93=0,"Not Opened",IF(V93&gt;=0,"Recovered - All Scenarios",IF(U93&gt;=0,"Recovered - Low &amp; Base",IF(T93&gt;=0,"Recovered - Low Only","Not Recovered"))))</f>
        <v>Recovered - All Scenarios</v>
      </c>
      <c r="X93" s="8">
        <f>IF(R93=0,0,S93/R93)</f>
        <v>527.0</v>
      </c>
      <c r="Y93" s="2">
        <f>R93</f>
        <v>5</v>
      </c>
      <c r="Z93" s="8">
        <f>IF(R93=0,"",S93/R93)</f>
        <v>527.0</v>
      </c>
      <c r="AA93" s="2" t="str">
        <f>IF(R93=0,"Not Opened",IF(R93&gt;=Assumptions!$B$3,"High Frequency","Low Frequency")&amp;" / "&amp;IF(X93&gt;=Assumptions!$B$4,"High Contribution","Low Contribution"))</f>
        <v>High Frequency / High Contribution</v>
      </c>
    </row>
    <row r="94" spans="1:27">
      <c r="A94" s="2" t="s">
        <v>109</v>
      </c>
      <c r="B94" s="2" t="s">
        <v>321</v>
      </c>
      <c r="C94" s="2" t="s">
        <v>212</v>
      </c>
      <c r="D94" s="2">
        <v>3</v>
      </c>
      <c r="E94" s="2">
        <v>6</v>
      </c>
      <c r="F94" s="2">
        <v>99</v>
      </c>
      <c r="G94" s="2">
        <f>E94*F94</f>
        <v>594</v>
      </c>
      <c r="H94" s="2">
        <v>270</v>
      </c>
      <c r="I94" s="2" t="s">
        <v>22</v>
      </c>
      <c r="J94" s="2">
        <f>G94-H94</f>
        <v>324</v>
      </c>
      <c r="K94" s="2">
        <v>8.4</v>
      </c>
      <c r="L94" s="2">
        <v>0</v>
      </c>
      <c r="M94" s="2">
        <v>750</v>
      </c>
      <c r="N94" s="2">
        <v>1000</v>
      </c>
      <c r="O94" s="2">
        <f>ROUND(L94/Assumptions!$B$2,0)</f>
        <v>0</v>
      </c>
      <c r="P94" s="2">
        <f>ROUND(M94/Assumptions!$B$2,0)</f>
        <v>104</v>
      </c>
      <c r="Q94" s="2">
        <f>ROUND(N94/Assumptions!$B$2,0)</f>
        <v>139</v>
      </c>
      <c r="R94" s="2">
        <f>COUNTIF('Raw Data'!$B$2:$B$417,A94)</f>
        <v>1</v>
      </c>
      <c r="S94" s="8">
        <f>SUMIF('Raw Data'!$B$2:$B$417,A94,'Raw Data'!$L$2:$L$417)</f>
        <v>324.0</v>
      </c>
      <c r="T94" s="8">
        <f>S94-O94</f>
        <v>324.0</v>
      </c>
      <c r="U94" s="8">
        <f>S94-P94</f>
        <v>220.0</v>
      </c>
      <c r="V94" s="8">
        <f>S94-Q94</f>
        <v>185.0</v>
      </c>
      <c r="W94" s="2" t="str">
        <f>IF(R94=0,"Not Opened",IF(V94&gt;=0,"Recovered - All Scenarios",IF(U94&gt;=0,"Recovered - Low &amp; Base",IF(T94&gt;=0,"Recovered - Low Only","Not Recovered"))))</f>
        <v>Recovered - All Scenarios</v>
      </c>
      <c r="X94" s="8">
        <f>IF(R94=0,0,S94/R94)</f>
        <v>324.0</v>
      </c>
      <c r="Y94" s="2">
        <f>R94</f>
        <v>1</v>
      </c>
      <c r="Z94" s="8">
        <f>IF(R94=0,"",S94/R94)</f>
        <v>324.0</v>
      </c>
      <c r="AA94" s="2" t="str">
        <f>IF(R94=0,"Not Opened",IF(R94&gt;=Assumptions!$B$3,"High Frequency","Low Frequency")&amp;" / "&amp;IF(X94&gt;=Assumptions!$B$4,"High Contribution","Low Contribution"))</f>
        <v>Low Frequency / Low Contribution</v>
      </c>
    </row>
    <row r="95" spans="1:27">
      <c r="A95" s="2" t="s">
        <v>110</v>
      </c>
      <c r="B95" s="2" t="s">
        <v>322</v>
      </c>
      <c r="C95" s="2" t="s">
        <v>218</v>
      </c>
      <c r="D95" s="2">
        <v>3</v>
      </c>
      <c r="E95" s="2">
        <v>7</v>
      </c>
      <c r="F95" s="2">
        <v>109</v>
      </c>
      <c r="G95" s="2">
        <f>E95*F95</f>
        <v>763</v>
      </c>
      <c r="H95" s="2">
        <v>200</v>
      </c>
      <c r="I95" s="2" t="s">
        <v>21</v>
      </c>
      <c r="J95" s="2">
        <f>G95-H95</f>
        <v>563</v>
      </c>
      <c r="K95" s="2">
        <v>7</v>
      </c>
      <c r="L95" s="2">
        <v>2500</v>
      </c>
      <c r="M95" s="2">
        <v>3000</v>
      </c>
      <c r="N95" s="2">
        <v>3500</v>
      </c>
      <c r="O95" s="2">
        <f>ROUND(L95/Assumptions!$B$2,0)</f>
        <v>347</v>
      </c>
      <c r="P95" s="2">
        <f>ROUND(M95/Assumptions!$B$2,0)</f>
        <v>417</v>
      </c>
      <c r="Q95" s="2">
        <f>ROUND(N95/Assumptions!$B$2,0)</f>
        <v>486</v>
      </c>
      <c r="R95" s="2">
        <f>COUNTIF('Raw Data'!$B$2:$B$417,A95)</f>
        <v>2</v>
      </c>
      <c r="S95" s="8">
        <f>SUMIF('Raw Data'!$B$2:$B$417,A95,'Raw Data'!$L$2:$L$417)</f>
        <v>1126.0</v>
      </c>
      <c r="T95" s="8">
        <f>S95-O95</f>
        <v>779.0</v>
      </c>
      <c r="U95" s="8">
        <f>S95-P95</f>
        <v>709.0</v>
      </c>
      <c r="V95" s="8">
        <f>S95-Q95</f>
        <v>640.0</v>
      </c>
      <c r="W95" s="2" t="str">
        <f>IF(R95=0,"Not Opened",IF(V95&gt;=0,"Recovered - All Scenarios",IF(U95&gt;=0,"Recovered - Low &amp; Base",IF(T95&gt;=0,"Recovered - Low Only","Not Recovered"))))</f>
        <v>Recovered - All Scenarios</v>
      </c>
      <c r="X95" s="8">
        <f>IF(R95=0,0,S95/R95)</f>
        <v>563.0</v>
      </c>
      <c r="Y95" s="2">
        <f>R95</f>
        <v>2</v>
      </c>
      <c r="Z95" s="8">
        <f>IF(R95=0,"",S95/R95)</f>
        <v>563.0</v>
      </c>
      <c r="AA95" s="2" t="str">
        <f>IF(R95=0,"Not Opened",IF(R95&gt;=Assumptions!$B$3,"High Frequency","Low Frequency")&amp;" / "&amp;IF(X95&gt;=Assumptions!$B$4,"High Contribution","Low Contribution"))</f>
        <v>High Frequency / High Contribution</v>
      </c>
    </row>
    <row r="96" spans="1:27">
      <c r="A96" s="2" t="s">
        <v>111</v>
      </c>
      <c r="B96" s="2" t="s">
        <v>323</v>
      </c>
      <c r="C96" s="2" t="s">
        <v>214</v>
      </c>
      <c r="D96" s="2">
        <v>2</v>
      </c>
      <c r="E96" s="2">
        <v>8</v>
      </c>
      <c r="F96" s="2">
        <v>95</v>
      </c>
      <c r="G96" s="2">
        <f>E96*F96</f>
        <v>760</v>
      </c>
      <c r="H96" s="2">
        <v>200</v>
      </c>
      <c r="I96" s="2" t="s">
        <v>20</v>
      </c>
      <c r="J96" s="2">
        <f>G96-H96</f>
        <v>560</v>
      </c>
      <c r="K96" s="2">
        <v>7.7</v>
      </c>
      <c r="L96" s="2">
        <v>1500</v>
      </c>
      <c r="M96" s="2">
        <v>2000</v>
      </c>
      <c r="N96" s="2">
        <v>2500</v>
      </c>
      <c r="O96" s="2">
        <f>ROUND(L96/Assumptions!$B$2,0)</f>
        <v>208</v>
      </c>
      <c r="P96" s="2">
        <f>ROUND(M96/Assumptions!$B$2,0)</f>
        <v>278</v>
      </c>
      <c r="Q96" s="2">
        <f>ROUND(N96/Assumptions!$B$2,0)</f>
        <v>347</v>
      </c>
      <c r="R96" s="2">
        <f>COUNTIF('Raw Data'!$B$2:$B$417,A96)</f>
        <v>7</v>
      </c>
      <c r="S96" s="8">
        <f>SUMIF('Raw Data'!$B$2:$B$417,A96,'Raw Data'!$L$2:$L$417)</f>
        <v>3920.0</v>
      </c>
      <c r="T96" s="8">
        <f>S96-O96</f>
        <v>3712.0</v>
      </c>
      <c r="U96" s="8">
        <f>S96-P96</f>
        <v>3642.0</v>
      </c>
      <c r="V96" s="8">
        <f>S96-Q96</f>
        <v>3573.0</v>
      </c>
      <c r="W96" s="2" t="str">
        <f>IF(R96=0,"Not Opened",IF(V96&gt;=0,"Recovered - All Scenarios",IF(U96&gt;=0,"Recovered - Low &amp; Base",IF(T96&gt;=0,"Recovered - Low Only","Not Recovered"))))</f>
        <v>Recovered - All Scenarios</v>
      </c>
      <c r="X96" s="8">
        <f>IF(R96=0,0,S96/R96)</f>
        <v>560.0</v>
      </c>
      <c r="Y96" s="2">
        <f>R96</f>
        <v>7</v>
      </c>
      <c r="Z96" s="8">
        <f>IF(R96=0,"",S96/R96)</f>
        <v>560.0</v>
      </c>
      <c r="AA96" s="2" t="str">
        <f>IF(R96=0,"Not Opened",IF(R96&gt;=Assumptions!$B$3,"High Frequency","Low Frequency")&amp;" / "&amp;IF(X96&gt;=Assumptions!$B$4,"High Contribution","Low Contribution"))</f>
        <v>High Frequency / High Contribution</v>
      </c>
    </row>
    <row r="97" spans="1:27">
      <c r="A97" s="2" t="s">
        <v>112</v>
      </c>
      <c r="B97" s="2" t="s">
        <v>324</v>
      </c>
      <c r="C97" s="2" t="s">
        <v>212</v>
      </c>
      <c r="D97" s="2">
        <v>2</v>
      </c>
      <c r="E97" s="2">
        <v>6</v>
      </c>
      <c r="F97" s="2">
        <v>138</v>
      </c>
      <c r="G97" s="2">
        <f>E97*F97</f>
        <v>828</v>
      </c>
      <c r="H97" s="2">
        <v>180</v>
      </c>
      <c r="I97" s="2" t="s">
        <v>22</v>
      </c>
      <c r="J97" s="2">
        <f>G97-H97</f>
        <v>648</v>
      </c>
      <c r="K97" s="2">
        <v>8.4</v>
      </c>
      <c r="L97" s="2">
        <v>0</v>
      </c>
      <c r="M97" s="2">
        <v>750</v>
      </c>
      <c r="N97" s="2">
        <v>1000</v>
      </c>
      <c r="O97" s="2">
        <f>ROUND(L97/Assumptions!$B$2,0)</f>
        <v>0</v>
      </c>
      <c r="P97" s="2">
        <f>ROUND(M97/Assumptions!$B$2,0)</f>
        <v>104</v>
      </c>
      <c r="Q97" s="2">
        <f>ROUND(N97/Assumptions!$B$2,0)</f>
        <v>139</v>
      </c>
      <c r="R97" s="2">
        <f>COUNTIF('Raw Data'!$B$2:$B$417,A97)</f>
        <v>1</v>
      </c>
      <c r="S97" s="8">
        <f>SUMIF('Raw Data'!$B$2:$B$417,A97,'Raw Data'!$L$2:$L$417)</f>
        <v>648.0</v>
      </c>
      <c r="T97" s="8">
        <f>S97-O97</f>
        <v>648.0</v>
      </c>
      <c r="U97" s="8">
        <f>S97-P97</f>
        <v>544.0</v>
      </c>
      <c r="V97" s="8">
        <f>S97-Q97</f>
        <v>509.0</v>
      </c>
      <c r="W97" s="2" t="str">
        <f>IF(R97=0,"Not Opened",IF(V97&gt;=0,"Recovered - All Scenarios",IF(U97&gt;=0,"Recovered - Low &amp; Base",IF(T97&gt;=0,"Recovered - Low Only","Not Recovered"))))</f>
        <v>Recovered - All Scenarios</v>
      </c>
      <c r="X97" s="8">
        <f>IF(R97=0,0,S97/R97)</f>
        <v>648.0</v>
      </c>
      <c r="Y97" s="2">
        <f>R97</f>
        <v>1</v>
      </c>
      <c r="Z97" s="8">
        <f>IF(R97=0,"",S97/R97)</f>
        <v>648.0</v>
      </c>
      <c r="AA97" s="2" t="str">
        <f>IF(R97=0,"Not Opened",IF(R97&gt;=Assumptions!$B$3,"High Frequency","Low Frequency")&amp;" / "&amp;IF(X97&gt;=Assumptions!$B$4,"High Contribution","Low Contribution"))</f>
        <v>Low Frequency / High Contribution</v>
      </c>
    </row>
    <row r="98" spans="1:27">
      <c r="A98" s="2" t="s">
        <v>113</v>
      </c>
      <c r="B98" s="2" t="s">
        <v>325</v>
      </c>
      <c r="C98" s="2" t="s">
        <v>223</v>
      </c>
      <c r="D98" s="2">
        <v>1</v>
      </c>
      <c r="E98" s="2">
        <v>6</v>
      </c>
      <c r="F98" s="2">
        <v>109</v>
      </c>
      <c r="G98" s="2">
        <f>E98*F98</f>
        <v>654</v>
      </c>
      <c r="H98" s="2">
        <v>172</v>
      </c>
      <c r="I98" s="2" t="s">
        <v>20</v>
      </c>
      <c r="J98" s="2">
        <f>G98-H98</f>
        <v>482</v>
      </c>
      <c r="K98" s="2">
        <v>7</v>
      </c>
      <c r="L98" s="2">
        <v>1500</v>
      </c>
      <c r="M98" s="2">
        <v>2000</v>
      </c>
      <c r="N98" s="2">
        <v>2500</v>
      </c>
      <c r="O98" s="2">
        <f>ROUND(L98/Assumptions!$B$2,0)</f>
        <v>208</v>
      </c>
      <c r="P98" s="2">
        <f>ROUND(M98/Assumptions!$B$2,0)</f>
        <v>278</v>
      </c>
      <c r="Q98" s="2">
        <f>ROUND(N98/Assumptions!$B$2,0)</f>
        <v>347</v>
      </c>
      <c r="R98" s="2">
        <f>COUNTIF('Raw Data'!$B$2:$B$417,A98)</f>
        <v>3</v>
      </c>
      <c r="S98" s="8">
        <f>SUMIF('Raw Data'!$B$2:$B$417,A98,'Raw Data'!$L$2:$L$417)</f>
        <v>1446.0</v>
      </c>
      <c r="T98" s="8">
        <f>S98-O98</f>
        <v>1238.0</v>
      </c>
      <c r="U98" s="8">
        <f>S98-P98</f>
        <v>1168.0</v>
      </c>
      <c r="V98" s="8">
        <f>S98-Q98</f>
        <v>1099.0</v>
      </c>
      <c r="W98" s="2" t="str">
        <f>IF(R98=0,"Not Opened",IF(V98&gt;=0,"Recovered - All Scenarios",IF(U98&gt;=0,"Recovered - Low &amp; Base",IF(T98&gt;=0,"Recovered - Low Only","Not Recovered"))))</f>
        <v>Recovered - All Scenarios</v>
      </c>
      <c r="X98" s="8">
        <f>IF(R98=0,0,S98/R98)</f>
        <v>482.0</v>
      </c>
      <c r="Y98" s="2">
        <f>R98</f>
        <v>3</v>
      </c>
      <c r="Z98" s="8">
        <f>IF(R98=0,"",S98/R98)</f>
        <v>482.0</v>
      </c>
      <c r="AA98" s="2" t="str">
        <f>IF(R98=0,"Not Opened",IF(R98&gt;=Assumptions!$B$3,"High Frequency","Low Frequency")&amp;" / "&amp;IF(X98&gt;=Assumptions!$B$4,"High Contribution","Low Contribution"))</f>
        <v>High Frequency / Low Contribution</v>
      </c>
    </row>
    <row r="99" spans="1:27">
      <c r="A99" s="2" t="s">
        <v>114</v>
      </c>
      <c r="B99" s="2" t="s">
        <v>326</v>
      </c>
      <c r="C99" s="2" t="s">
        <v>214</v>
      </c>
      <c r="D99" s="2">
        <v>1</v>
      </c>
      <c r="E99" s="2">
        <v>6</v>
      </c>
      <c r="F99" s="2">
        <v>75</v>
      </c>
      <c r="G99" s="2">
        <f>E99*F99</f>
        <v>450</v>
      </c>
      <c r="H99" s="2">
        <v>118</v>
      </c>
      <c r="I99" s="2" t="s">
        <v>22</v>
      </c>
      <c r="J99" s="2">
        <f>G99-H99</f>
        <v>332</v>
      </c>
      <c r="K99" s="2">
        <v>7.7</v>
      </c>
      <c r="L99" s="2">
        <v>0</v>
      </c>
      <c r="M99" s="2">
        <v>750</v>
      </c>
      <c r="N99" s="2">
        <v>1000</v>
      </c>
      <c r="O99" s="2">
        <f>ROUND(L99/Assumptions!$B$2,0)</f>
        <v>0</v>
      </c>
      <c r="P99" s="2">
        <f>ROUND(M99/Assumptions!$B$2,0)</f>
        <v>104</v>
      </c>
      <c r="Q99" s="2">
        <f>ROUND(N99/Assumptions!$B$2,0)</f>
        <v>139</v>
      </c>
      <c r="R99" s="2">
        <f>COUNTIF('Raw Data'!$B$2:$B$417,A99)</f>
        <v>10</v>
      </c>
      <c r="S99" s="8">
        <f>SUMIF('Raw Data'!$B$2:$B$417,A99,'Raw Data'!$L$2:$L$417)</f>
        <v>3320.0</v>
      </c>
      <c r="T99" s="8">
        <f>S99-O99</f>
        <v>3320.0</v>
      </c>
      <c r="U99" s="8">
        <f>S99-P99</f>
        <v>3216.0</v>
      </c>
      <c r="V99" s="8">
        <f>S99-Q99</f>
        <v>3181.0</v>
      </c>
      <c r="W99" s="2" t="str">
        <f>IF(R99=0,"Not Opened",IF(V99&gt;=0,"Recovered - All Scenarios",IF(U99&gt;=0,"Recovered - Low &amp; Base",IF(T99&gt;=0,"Recovered - Low Only","Not Recovered"))))</f>
        <v>Recovered - All Scenarios</v>
      </c>
      <c r="X99" s="8">
        <f>IF(R99=0,0,S99/R99)</f>
        <v>332.0</v>
      </c>
      <c r="Y99" s="2">
        <f>R99</f>
        <v>10</v>
      </c>
      <c r="Z99" s="8">
        <f>IF(R99=0,"",S99/R99)</f>
        <v>332.0</v>
      </c>
      <c r="AA99" s="2" t="str">
        <f>IF(R99=0,"Not Opened",IF(R99&gt;=Assumptions!$B$3,"High Frequency","Low Frequency")&amp;" / "&amp;IF(X99&gt;=Assumptions!$B$4,"High Contribution","Low Contribution"))</f>
        <v>High Frequency / Low Contribution</v>
      </c>
    </row>
    <row r="100" spans="1:27">
      <c r="A100" s="2" t="s">
        <v>115</v>
      </c>
      <c r="B100" s="2" t="s">
        <v>327</v>
      </c>
      <c r="C100" s="2" t="s">
        <v>218</v>
      </c>
      <c r="D100" s="2">
        <v>3</v>
      </c>
      <c r="E100" s="2">
        <v>7</v>
      </c>
      <c r="F100" s="2">
        <v>118</v>
      </c>
      <c r="G100" s="2">
        <f>E100*F100</f>
        <v>826</v>
      </c>
      <c r="H100" s="2">
        <v>217</v>
      </c>
      <c r="I100" s="2" t="s">
        <v>21</v>
      </c>
      <c r="J100" s="2">
        <f>G100-H100</f>
        <v>609</v>
      </c>
      <c r="K100" s="2">
        <v>8.4</v>
      </c>
      <c r="L100" s="2">
        <v>2500</v>
      </c>
      <c r="M100" s="2">
        <v>3000</v>
      </c>
      <c r="N100" s="2">
        <v>3500</v>
      </c>
      <c r="O100" s="2">
        <f>ROUND(L100/Assumptions!$B$2,0)</f>
        <v>347</v>
      </c>
      <c r="P100" s="2">
        <f>ROUND(M100/Assumptions!$B$2,0)</f>
        <v>417</v>
      </c>
      <c r="Q100" s="2">
        <f>ROUND(N100/Assumptions!$B$2,0)</f>
        <v>486</v>
      </c>
      <c r="R100" s="2">
        <f>COUNTIF('Raw Data'!$B$2:$B$417,A100)</f>
        <v>1</v>
      </c>
      <c r="S100" s="8">
        <f>SUMIF('Raw Data'!$B$2:$B$417,A100,'Raw Data'!$L$2:$L$417)</f>
        <v>609.0</v>
      </c>
      <c r="T100" s="8">
        <f>S100-O100</f>
        <v>262.0</v>
      </c>
      <c r="U100" s="8">
        <f>S100-P100</f>
        <v>192.0</v>
      </c>
      <c r="V100" s="8">
        <f>S100-Q100</f>
        <v>123.0</v>
      </c>
      <c r="W100" s="2" t="str">
        <f>IF(R100=0,"Not Opened",IF(V100&gt;=0,"Recovered - All Scenarios",IF(U100&gt;=0,"Recovered - Low &amp; Base",IF(T100&gt;=0,"Recovered - Low Only","Not Recovered"))))</f>
        <v>Recovered - All Scenarios</v>
      </c>
      <c r="X100" s="8">
        <f>IF(R100=0,0,S100/R100)</f>
        <v>609.0</v>
      </c>
      <c r="Y100" s="2">
        <f>R100</f>
        <v>1</v>
      </c>
      <c r="Z100" s="8">
        <f>IF(R100=0,"",S100/R100)</f>
        <v>609.0</v>
      </c>
      <c r="AA100" s="2" t="str">
        <f>IF(R100=0,"Not Opened",IF(R100&gt;=Assumptions!$B$3,"High Frequency","Low Frequency")&amp;" / "&amp;IF(X100&gt;=Assumptions!$B$4,"High Contribution","Low Contribution"))</f>
        <v>Low Frequency / High Contribution</v>
      </c>
    </row>
    <row r="101" spans="1:27">
      <c r="A101" s="2" t="s">
        <v>116</v>
      </c>
      <c r="B101" s="2" t="s">
        <v>328</v>
      </c>
      <c r="C101" s="2" t="s">
        <v>212</v>
      </c>
      <c r="D101" s="2">
        <v>6</v>
      </c>
      <c r="E101" s="2">
        <v>8</v>
      </c>
      <c r="F101" s="2">
        <v>138</v>
      </c>
      <c r="G101" s="2">
        <f>E101*F101</f>
        <v>1104</v>
      </c>
      <c r="H101" s="2">
        <v>540</v>
      </c>
      <c r="I101" s="2" t="s">
        <v>22</v>
      </c>
      <c r="J101" s="2">
        <f>G101-H101</f>
        <v>564</v>
      </c>
      <c r="K101" s="2">
        <v>7</v>
      </c>
      <c r="L101" s="2">
        <v>0</v>
      </c>
      <c r="M101" s="2">
        <v>750</v>
      </c>
      <c r="N101" s="2">
        <v>1000</v>
      </c>
      <c r="O101" s="2">
        <f>ROUND(L101/Assumptions!$B$2,0)</f>
        <v>0</v>
      </c>
      <c r="P101" s="2">
        <f>ROUND(M101/Assumptions!$B$2,0)</f>
        <v>104</v>
      </c>
      <c r="Q101" s="2">
        <f>ROUND(N101/Assumptions!$B$2,0)</f>
        <v>139</v>
      </c>
      <c r="R101" s="2">
        <f>COUNTIF('Raw Data'!$B$2:$B$417,A101)</f>
        <v>3</v>
      </c>
      <c r="S101" s="8">
        <f>SUMIF('Raw Data'!$B$2:$B$417,A101,'Raw Data'!$L$2:$L$417)</f>
        <v>1692.0</v>
      </c>
      <c r="T101" s="8">
        <f>S101-O101</f>
        <v>1692.0</v>
      </c>
      <c r="U101" s="8">
        <f>S101-P101</f>
        <v>1588.0</v>
      </c>
      <c r="V101" s="8">
        <f>S101-Q101</f>
        <v>1553.0</v>
      </c>
      <c r="W101" s="2" t="str">
        <f>IF(R101=0,"Not Opened",IF(V101&gt;=0,"Recovered - All Scenarios",IF(U101&gt;=0,"Recovered - Low &amp; Base",IF(T101&gt;=0,"Recovered - Low Only","Not Recovered"))))</f>
        <v>Recovered - All Scenarios</v>
      </c>
      <c r="X101" s="8">
        <f>IF(R101=0,0,S101/R101)</f>
        <v>564.0</v>
      </c>
      <c r="Y101" s="2">
        <f>R101</f>
        <v>3</v>
      </c>
      <c r="Z101" s="8">
        <f>IF(R101=0,"",S101/R101)</f>
        <v>564.0</v>
      </c>
      <c r="AA101" s="2" t="str">
        <f>IF(R101=0,"Not Opened",IF(R101&gt;=Assumptions!$B$3,"High Frequency","Low Frequency")&amp;" / "&amp;IF(X101&gt;=Assumptions!$B$4,"High Contribution","Low Contribution"))</f>
        <v>High Frequency / High Contribution</v>
      </c>
    </row>
    <row r="102" spans="1:27">
      <c r="A102" s="2" t="s">
        <v>329</v>
      </c>
      <c r="B102" s="2" t="s">
        <v>330</v>
      </c>
      <c r="C102" s="2" t="s">
        <v>212</v>
      </c>
      <c r="D102" s="2">
        <v>2</v>
      </c>
      <c r="E102" s="2">
        <v>6</v>
      </c>
      <c r="F102" s="2">
        <v>99</v>
      </c>
      <c r="G102" s="2">
        <f>E102*F102</f>
        <v>594</v>
      </c>
      <c r="H102" s="2">
        <v>180</v>
      </c>
      <c r="I102" s="2" t="s">
        <v>22</v>
      </c>
      <c r="J102" s="2">
        <f>G102-H102</f>
        <v>414</v>
      </c>
      <c r="K102" s="2">
        <v>7.7</v>
      </c>
      <c r="L102" s="2">
        <v>0</v>
      </c>
      <c r="M102" s="2">
        <v>750</v>
      </c>
      <c r="N102" s="2">
        <v>1000</v>
      </c>
      <c r="O102" s="2">
        <f>ROUND(L102/Assumptions!$B$2,0)</f>
        <v>0</v>
      </c>
      <c r="P102" s="2">
        <f>ROUND(M102/Assumptions!$B$2,0)</f>
        <v>104</v>
      </c>
      <c r="Q102" s="2">
        <f>ROUND(N102/Assumptions!$B$2,0)</f>
        <v>139</v>
      </c>
      <c r="R102" s="2">
        <f>COUNTIF('Raw Data'!$B$2:$B$417,A102)</f>
        <v>0</v>
      </c>
      <c r="S102" s="8">
        <f>SUMIF('Raw Data'!$B$2:$B$417,A102,'Raw Data'!$L$2:$L$417)</f>
        <v>0.0</v>
      </c>
      <c r="T102" s="8">
        <f>S102-O102</f>
        <v>0.0</v>
      </c>
      <c r="U102" s="8">
        <f>S102-P102</f>
        <v>-104.0</v>
      </c>
      <c r="V102" s="8">
        <f>S102-Q102</f>
        <v>-139.0</v>
      </c>
      <c r="W102" s="2" t="str">
        <f>IF(R102=0,"Not Opened",IF(V102&gt;=0,"Recovered - All Scenarios",IF(U102&gt;=0,"Recovered - Low &amp; Base",IF(T102&gt;=0,"Recovered - Low Only","Not Recovered"))))</f>
        <v>Not Opened</v>
      </c>
      <c r="X102" s="2">
        <f>IF(R102=0,0,S102/R102)</f>
        <v>0</v>
      </c>
      <c r="Y102" s="2">
        <f>R102</f>
        <v>0</v>
      </c>
      <c r="Z102" s="2">
        <f>IF(R102=0,"",S102/R102)</f>
        <v/>
      </c>
      <c r="AA102" s="2" t="str">
        <f>IF(R102=0,"Not Opened",IF(R102&gt;=Assumptions!$B$3,"High Frequency","Low Frequency")&amp;" / "&amp;IF(X102&gt;=Assumptions!$B$4,"High Contribution","Low Contribution"))</f>
        <v>Not Opened</v>
      </c>
    </row>
    <row r="103" spans="1:27">
      <c r="A103" s="2" t="s">
        <v>117</v>
      </c>
      <c r="B103" s="2" t="s">
        <v>331</v>
      </c>
      <c r="C103" s="2" t="s">
        <v>214</v>
      </c>
      <c r="D103" s="2">
        <v>1</v>
      </c>
      <c r="E103" s="2">
        <v>6</v>
      </c>
      <c r="F103" s="2">
        <v>75</v>
      </c>
      <c r="G103" s="2">
        <f>E103*F103</f>
        <v>450</v>
      </c>
      <c r="H103" s="2">
        <v>118</v>
      </c>
      <c r="I103" s="2" t="s">
        <v>20</v>
      </c>
      <c r="J103" s="2">
        <f>G103-H103</f>
        <v>332</v>
      </c>
      <c r="K103" s="2">
        <v>8.4</v>
      </c>
      <c r="L103" s="2">
        <v>1500</v>
      </c>
      <c r="M103" s="2">
        <v>2000</v>
      </c>
      <c r="N103" s="2">
        <v>2500</v>
      </c>
      <c r="O103" s="2">
        <f>ROUND(L103/Assumptions!$B$2,0)</f>
        <v>208</v>
      </c>
      <c r="P103" s="2">
        <f>ROUND(M103/Assumptions!$B$2,0)</f>
        <v>278</v>
      </c>
      <c r="Q103" s="2">
        <f>ROUND(N103/Assumptions!$B$2,0)</f>
        <v>347</v>
      </c>
      <c r="R103" s="2">
        <f>COUNTIF('Raw Data'!$B$2:$B$417,A103)</f>
        <v>1</v>
      </c>
      <c r="S103" s="8">
        <f>SUMIF('Raw Data'!$B$2:$B$417,A103,'Raw Data'!$L$2:$L$417)</f>
        <v>332.0</v>
      </c>
      <c r="T103" s="8">
        <f>S103-O103</f>
        <v>124.0</v>
      </c>
      <c r="U103" s="8">
        <f>S103-P103</f>
        <v>54.0</v>
      </c>
      <c r="V103" s="8">
        <f>S103-Q103</f>
        <v>-15.0</v>
      </c>
      <c r="W103" s="2" t="str">
        <f>IF(R103=0,"Not Opened",IF(V103&gt;=0,"Recovered - All Scenarios",IF(U103&gt;=0,"Recovered - Low &amp; Base",IF(T103&gt;=0,"Recovered - Low Only","Not Recovered"))))</f>
        <v>Recovered - Low &amp; Base</v>
      </c>
      <c r="X103" s="8">
        <f>IF(R103=0,0,S103/R103)</f>
        <v>332.0</v>
      </c>
      <c r="Y103" s="2">
        <f>R103</f>
        <v>1</v>
      </c>
      <c r="Z103" s="8">
        <f>IF(R103=0,"",S103/R103)</f>
        <v>332.0</v>
      </c>
      <c r="AA103" s="2" t="str">
        <f>IF(R103=0,"Not Opened",IF(R103&gt;=Assumptions!$B$3,"High Frequency","Low Frequency")&amp;" / "&amp;IF(X103&gt;=Assumptions!$B$4,"High Contribution","Low Contribution"))</f>
        <v>Low Frequency / Low Contribution</v>
      </c>
    </row>
    <row r="104" spans="1:27">
      <c r="A104" s="2" t="s">
        <v>118</v>
      </c>
      <c r="B104" s="2" t="s">
        <v>332</v>
      </c>
      <c r="C104" s="2" t="s">
        <v>212</v>
      </c>
      <c r="D104" s="2">
        <v>3</v>
      </c>
      <c r="E104" s="2">
        <v>6</v>
      </c>
      <c r="F104" s="2">
        <v>118</v>
      </c>
      <c r="G104" s="2">
        <f>E104*F104</f>
        <v>708</v>
      </c>
      <c r="H104" s="2">
        <v>270</v>
      </c>
      <c r="I104" s="2" t="s">
        <v>22</v>
      </c>
      <c r="J104" s="2">
        <f>G104-H104</f>
        <v>438</v>
      </c>
      <c r="K104" s="2">
        <v>7</v>
      </c>
      <c r="L104" s="2">
        <v>0</v>
      </c>
      <c r="M104" s="2">
        <v>750</v>
      </c>
      <c r="N104" s="2">
        <v>1000</v>
      </c>
      <c r="O104" s="2">
        <f>ROUND(L104/Assumptions!$B$2,0)</f>
        <v>0</v>
      </c>
      <c r="P104" s="2">
        <f>ROUND(M104/Assumptions!$B$2,0)</f>
        <v>104</v>
      </c>
      <c r="Q104" s="2">
        <f>ROUND(N104/Assumptions!$B$2,0)</f>
        <v>139</v>
      </c>
      <c r="R104" s="2">
        <f>COUNTIF('Raw Data'!$B$2:$B$417,A104)</f>
        <v>3</v>
      </c>
      <c r="S104" s="8">
        <f>SUMIF('Raw Data'!$B$2:$B$417,A104,'Raw Data'!$L$2:$L$417)</f>
        <v>1314.0</v>
      </c>
      <c r="T104" s="8">
        <f>S104-O104</f>
        <v>1314.0</v>
      </c>
      <c r="U104" s="8">
        <f>S104-P104</f>
        <v>1210.0</v>
      </c>
      <c r="V104" s="8">
        <f>S104-Q104</f>
        <v>1175.0</v>
      </c>
      <c r="W104" s="2" t="str">
        <f>IF(R104=0,"Not Opened",IF(V104&gt;=0,"Recovered - All Scenarios",IF(U104&gt;=0,"Recovered - Low &amp; Base",IF(T104&gt;=0,"Recovered - Low Only","Not Recovered"))))</f>
        <v>Recovered - All Scenarios</v>
      </c>
      <c r="X104" s="8">
        <f>IF(R104=0,0,S104/R104)</f>
        <v>438.0</v>
      </c>
      <c r="Y104" s="2">
        <f>R104</f>
        <v>3</v>
      </c>
      <c r="Z104" s="8">
        <f>IF(R104=0,"",S104/R104)</f>
        <v>438.0</v>
      </c>
      <c r="AA104" s="2" t="str">
        <f>IF(R104=0,"Not Opened",IF(R104&gt;=Assumptions!$B$3,"High Frequency","Low Frequency")&amp;" / "&amp;IF(X104&gt;=Assumptions!$B$4,"High Contribution","Low Contribution"))</f>
        <v>High Frequency / Low Contribution</v>
      </c>
    </row>
    <row r="105" spans="1:27">
      <c r="A105" s="2" t="s">
        <v>333</v>
      </c>
      <c r="B105" s="2" t="s">
        <v>334</v>
      </c>
      <c r="C105" s="2" t="s">
        <v>218</v>
      </c>
      <c r="D105" s="2">
        <v>3</v>
      </c>
      <c r="E105" s="2">
        <v>7</v>
      </c>
      <c r="F105" s="2">
        <v>129</v>
      </c>
      <c r="G105" s="2">
        <f>E105*F105</f>
        <v>903</v>
      </c>
      <c r="H105" s="2">
        <v>237</v>
      </c>
      <c r="I105" s="2" t="s">
        <v>21</v>
      </c>
      <c r="J105" s="2">
        <f>G105-H105</f>
        <v>666</v>
      </c>
      <c r="K105" s="2">
        <v>7.7</v>
      </c>
      <c r="L105" s="2">
        <v>2500</v>
      </c>
      <c r="M105" s="2">
        <v>3000</v>
      </c>
      <c r="N105" s="2">
        <v>3500</v>
      </c>
      <c r="O105" s="2">
        <f>ROUND(L105/Assumptions!$B$2,0)</f>
        <v>347</v>
      </c>
      <c r="P105" s="2">
        <f>ROUND(M105/Assumptions!$B$2,0)</f>
        <v>417</v>
      </c>
      <c r="Q105" s="2">
        <f>ROUND(N105/Assumptions!$B$2,0)</f>
        <v>486</v>
      </c>
      <c r="R105" s="2">
        <f>COUNTIF('Raw Data'!$B$2:$B$417,A105)</f>
        <v>0</v>
      </c>
      <c r="S105" s="8">
        <f>SUMIF('Raw Data'!$B$2:$B$417,A105,'Raw Data'!$L$2:$L$417)</f>
        <v>0.0</v>
      </c>
      <c r="T105" s="8">
        <f>S105-O105</f>
        <v>-347.0</v>
      </c>
      <c r="U105" s="8">
        <f>S105-P105</f>
        <v>-417.0</v>
      </c>
      <c r="V105" s="8">
        <f>S105-Q105</f>
        <v>-486.0</v>
      </c>
      <c r="W105" s="2" t="str">
        <f>IF(R105=0,"Not Opened",IF(V105&gt;=0,"Recovered - All Scenarios",IF(U105&gt;=0,"Recovered - Low &amp; Base",IF(T105&gt;=0,"Recovered - Low Only","Not Recovered"))))</f>
        <v>Not Opened</v>
      </c>
      <c r="X105" s="2">
        <f>IF(R105=0,0,S105/R105)</f>
        <v>0</v>
      </c>
      <c r="Y105" s="2">
        <f>R105</f>
        <v>0</v>
      </c>
      <c r="Z105" s="2">
        <f>IF(R105=0,"",S105/R105)</f>
        <v/>
      </c>
      <c r="AA105" s="2" t="str">
        <f>IF(R105=0,"Not Opened",IF(R105&gt;=Assumptions!$B$3,"High Frequency","Low Frequency")&amp;" / "&amp;IF(X105&gt;=Assumptions!$B$4,"High Contribution","Low Contribution"))</f>
        <v>Not Opened</v>
      </c>
    </row>
    <row r="106" spans="1:27">
      <c r="A106" s="2" t="s">
        <v>119</v>
      </c>
      <c r="B106" s="2" t="s">
        <v>335</v>
      </c>
      <c r="C106" s="2" t="s">
        <v>214</v>
      </c>
      <c r="D106" s="2">
        <v>2</v>
      </c>
      <c r="E106" s="2">
        <v>8</v>
      </c>
      <c r="F106" s="2">
        <v>65</v>
      </c>
      <c r="G106" s="2">
        <f>E106*F106</f>
        <v>520</v>
      </c>
      <c r="H106" s="2">
        <v>137</v>
      </c>
      <c r="I106" s="2" t="s">
        <v>20</v>
      </c>
      <c r="J106" s="2">
        <f>G106-H106</f>
        <v>383</v>
      </c>
      <c r="K106" s="2">
        <v>8.4</v>
      </c>
      <c r="L106" s="2">
        <v>1500</v>
      </c>
      <c r="M106" s="2">
        <v>2000</v>
      </c>
      <c r="N106" s="2">
        <v>2500</v>
      </c>
      <c r="O106" s="2">
        <f>ROUND(L106/Assumptions!$B$2,0)</f>
        <v>208</v>
      </c>
      <c r="P106" s="2">
        <f>ROUND(M106/Assumptions!$B$2,0)</f>
        <v>278</v>
      </c>
      <c r="Q106" s="2">
        <f>ROUND(N106/Assumptions!$B$2,0)</f>
        <v>347</v>
      </c>
      <c r="R106" s="2">
        <f>COUNTIF('Raw Data'!$B$2:$B$417,A106)</f>
        <v>2</v>
      </c>
      <c r="S106" s="8">
        <f>SUMIF('Raw Data'!$B$2:$B$417,A106,'Raw Data'!$L$2:$L$417)</f>
        <v>766.0</v>
      </c>
      <c r="T106" s="8">
        <f>S106-O106</f>
        <v>558.0</v>
      </c>
      <c r="U106" s="8">
        <f>S106-P106</f>
        <v>488.0</v>
      </c>
      <c r="V106" s="8">
        <f>S106-Q106</f>
        <v>419.0</v>
      </c>
      <c r="W106" s="2" t="str">
        <f>IF(R106=0,"Not Opened",IF(V106&gt;=0,"Recovered - All Scenarios",IF(U106&gt;=0,"Recovered - Low &amp; Base",IF(T106&gt;=0,"Recovered - Low Only","Not Recovered"))))</f>
        <v>Recovered - All Scenarios</v>
      </c>
      <c r="X106" s="8">
        <f>IF(R106=0,0,S106/R106)</f>
        <v>383.0</v>
      </c>
      <c r="Y106" s="2">
        <f>R106</f>
        <v>2</v>
      </c>
      <c r="Z106" s="8">
        <f>IF(R106=0,"",S106/R106)</f>
        <v>383.0</v>
      </c>
      <c r="AA106" s="2" t="str">
        <f>IF(R106=0,"Not Opened",IF(R106&gt;=Assumptions!$B$3,"High Frequency","Low Frequency")&amp;" / "&amp;IF(X106&gt;=Assumptions!$B$4,"High Contribution","Low Contribution"))</f>
        <v>High Frequency / Low Contribution</v>
      </c>
    </row>
    <row r="107" spans="1:27">
      <c r="A107" s="2" t="s">
        <v>120</v>
      </c>
      <c r="B107" s="2" t="s">
        <v>336</v>
      </c>
      <c r="C107" s="2" t="s">
        <v>212</v>
      </c>
      <c r="D107" s="2">
        <v>2</v>
      </c>
      <c r="E107" s="2">
        <v>6</v>
      </c>
      <c r="F107" s="2">
        <v>109</v>
      </c>
      <c r="G107" s="2">
        <f>E107*F107</f>
        <v>654</v>
      </c>
      <c r="H107" s="2">
        <v>180</v>
      </c>
      <c r="I107" s="2" t="s">
        <v>22</v>
      </c>
      <c r="J107" s="2">
        <f>G107-H107</f>
        <v>474</v>
      </c>
      <c r="K107" s="2">
        <v>7</v>
      </c>
      <c r="L107" s="2">
        <v>0</v>
      </c>
      <c r="M107" s="2">
        <v>750</v>
      </c>
      <c r="N107" s="2">
        <v>1000</v>
      </c>
      <c r="O107" s="2">
        <f>ROUND(L107/Assumptions!$B$2,0)</f>
        <v>0</v>
      </c>
      <c r="P107" s="2">
        <f>ROUND(M107/Assumptions!$B$2,0)</f>
        <v>104</v>
      </c>
      <c r="Q107" s="2">
        <f>ROUND(N107/Assumptions!$B$2,0)</f>
        <v>139</v>
      </c>
      <c r="R107" s="2">
        <f>COUNTIF('Raw Data'!$B$2:$B$417,A107)</f>
        <v>4</v>
      </c>
      <c r="S107" s="8">
        <f>SUMIF('Raw Data'!$B$2:$B$417,A107,'Raw Data'!$L$2:$L$417)</f>
        <v>1896.0</v>
      </c>
      <c r="T107" s="8">
        <f>S107-O107</f>
        <v>1896.0</v>
      </c>
      <c r="U107" s="8">
        <f>S107-P107</f>
        <v>1792.0</v>
      </c>
      <c r="V107" s="8">
        <f>S107-Q107</f>
        <v>1757.0</v>
      </c>
      <c r="W107" s="2" t="str">
        <f>IF(R107=0,"Not Opened",IF(V107&gt;=0,"Recovered - All Scenarios",IF(U107&gt;=0,"Recovered - Low &amp; Base",IF(T107&gt;=0,"Recovered - Low Only","Not Recovered"))))</f>
        <v>Recovered - All Scenarios</v>
      </c>
      <c r="X107" s="8">
        <f>IF(R107=0,0,S107/R107)</f>
        <v>474.0</v>
      </c>
      <c r="Y107" s="2">
        <f>R107</f>
        <v>4</v>
      </c>
      <c r="Z107" s="8">
        <f>IF(R107=0,"",S107/R107)</f>
        <v>474.0</v>
      </c>
      <c r="AA107" s="2" t="str">
        <f>IF(R107=0,"Not Opened",IF(R107&gt;=Assumptions!$B$3,"High Frequency","Low Frequency")&amp;" / "&amp;IF(X107&gt;=Assumptions!$B$4,"High Contribution","Low Contribution"))</f>
        <v>High Frequency / Low Contribution</v>
      </c>
    </row>
    <row r="108" spans="1:27">
      <c r="A108" s="2" t="s">
        <v>337</v>
      </c>
      <c r="B108" s="2" t="s">
        <v>338</v>
      </c>
      <c r="C108" s="2" t="s">
        <v>223</v>
      </c>
      <c r="D108" s="2">
        <v>1</v>
      </c>
      <c r="E108" s="2">
        <v>6</v>
      </c>
      <c r="F108" s="2">
        <v>129</v>
      </c>
      <c r="G108" s="2">
        <f>E108*F108</f>
        <v>774</v>
      </c>
      <c r="H108" s="2">
        <v>203</v>
      </c>
      <c r="I108" s="2" t="s">
        <v>20</v>
      </c>
      <c r="J108" s="2">
        <f>G108-H108</f>
        <v>571</v>
      </c>
      <c r="K108" s="2">
        <v>7.7</v>
      </c>
      <c r="L108" s="2">
        <v>1500</v>
      </c>
      <c r="M108" s="2">
        <v>2000</v>
      </c>
      <c r="N108" s="2">
        <v>2500</v>
      </c>
      <c r="O108" s="2">
        <f>ROUND(L108/Assumptions!$B$2,0)</f>
        <v>208</v>
      </c>
      <c r="P108" s="2">
        <f>ROUND(M108/Assumptions!$B$2,0)</f>
        <v>278</v>
      </c>
      <c r="Q108" s="2">
        <f>ROUND(N108/Assumptions!$B$2,0)</f>
        <v>347</v>
      </c>
      <c r="R108" s="2">
        <f>COUNTIF('Raw Data'!$B$2:$B$417,A108)</f>
        <v>0</v>
      </c>
      <c r="S108" s="8">
        <f>SUMIF('Raw Data'!$B$2:$B$417,A108,'Raw Data'!$L$2:$L$417)</f>
        <v>0.0</v>
      </c>
      <c r="T108" s="8">
        <f>S108-O108</f>
        <v>-208.0</v>
      </c>
      <c r="U108" s="8">
        <f>S108-P108</f>
        <v>-278.0</v>
      </c>
      <c r="V108" s="8">
        <f>S108-Q108</f>
        <v>-347.0</v>
      </c>
      <c r="W108" s="2" t="str">
        <f>IF(R108=0,"Not Opened",IF(V108&gt;=0,"Recovered - All Scenarios",IF(U108&gt;=0,"Recovered - Low &amp; Base",IF(T108&gt;=0,"Recovered - Low Only","Not Recovered"))))</f>
        <v>Not Opened</v>
      </c>
      <c r="X108" s="2">
        <f>IF(R108=0,0,S108/R108)</f>
        <v>0</v>
      </c>
      <c r="Y108" s="2">
        <f>R108</f>
        <v>0</v>
      </c>
      <c r="Z108" s="2">
        <f>IF(R108=0,"",S108/R108)</f>
        <v/>
      </c>
      <c r="AA108" s="2" t="str">
        <f>IF(R108=0,"Not Opened",IF(R108&gt;=Assumptions!$B$3,"High Frequency","Low Frequency")&amp;" / "&amp;IF(X108&gt;=Assumptions!$B$4,"High Contribution","Low Contribution"))</f>
        <v>Not Opened</v>
      </c>
    </row>
    <row r="109" spans="1:27">
      <c r="A109" s="2" t="s">
        <v>121</v>
      </c>
      <c r="B109" s="2" t="s">
        <v>339</v>
      </c>
      <c r="C109" s="2" t="s">
        <v>214</v>
      </c>
      <c r="D109" s="2">
        <v>1</v>
      </c>
      <c r="E109" s="2">
        <v>6</v>
      </c>
      <c r="F109" s="2">
        <v>119</v>
      </c>
      <c r="G109" s="2">
        <f>E109*F109</f>
        <v>714</v>
      </c>
      <c r="H109" s="2">
        <v>187</v>
      </c>
      <c r="I109" s="2" t="s">
        <v>22</v>
      </c>
      <c r="J109" s="2">
        <f>G109-H109</f>
        <v>527</v>
      </c>
      <c r="K109" s="2">
        <v>8.4</v>
      </c>
      <c r="L109" s="2">
        <v>0</v>
      </c>
      <c r="M109" s="2">
        <v>750</v>
      </c>
      <c r="N109" s="2">
        <v>1000</v>
      </c>
      <c r="O109" s="2">
        <f>ROUND(L109/Assumptions!$B$2,0)</f>
        <v>0</v>
      </c>
      <c r="P109" s="2">
        <f>ROUND(M109/Assumptions!$B$2,0)</f>
        <v>104</v>
      </c>
      <c r="Q109" s="2">
        <f>ROUND(N109/Assumptions!$B$2,0)</f>
        <v>139</v>
      </c>
      <c r="R109" s="2">
        <f>COUNTIF('Raw Data'!$B$2:$B$417,A109)</f>
        <v>2</v>
      </c>
      <c r="S109" s="8">
        <f>SUMIF('Raw Data'!$B$2:$B$417,A109,'Raw Data'!$L$2:$L$417)</f>
        <v>1054.0</v>
      </c>
      <c r="T109" s="8">
        <f>S109-O109</f>
        <v>1054.0</v>
      </c>
      <c r="U109" s="8">
        <f>S109-P109</f>
        <v>950.0</v>
      </c>
      <c r="V109" s="8">
        <f>S109-Q109</f>
        <v>915.0</v>
      </c>
      <c r="W109" s="2" t="str">
        <f>IF(R109=0,"Not Opened",IF(V109&gt;=0,"Recovered - All Scenarios",IF(U109&gt;=0,"Recovered - Low &amp; Base",IF(T109&gt;=0,"Recovered - Low Only","Not Recovered"))))</f>
        <v>Recovered - All Scenarios</v>
      </c>
      <c r="X109" s="8">
        <f>IF(R109=0,0,S109/R109)</f>
        <v>527.0</v>
      </c>
      <c r="Y109" s="2">
        <f>R109</f>
        <v>2</v>
      </c>
      <c r="Z109" s="8">
        <f>IF(R109=0,"",S109/R109)</f>
        <v>527.0</v>
      </c>
      <c r="AA109" s="2" t="str">
        <f>IF(R109=0,"Not Opened",IF(R109&gt;=Assumptions!$B$3,"High Frequency","Low Frequency")&amp;" / "&amp;IF(X109&gt;=Assumptions!$B$4,"High Contribution","Low Contribution"))</f>
        <v>High Frequency / High Contribution</v>
      </c>
    </row>
    <row r="110" spans="1:27">
      <c r="A110" s="2" t="s">
        <v>122</v>
      </c>
      <c r="B110" s="2" t="s">
        <v>340</v>
      </c>
      <c r="C110" s="2" t="s">
        <v>218</v>
      </c>
      <c r="D110" s="2">
        <v>3</v>
      </c>
      <c r="E110" s="2">
        <v>7</v>
      </c>
      <c r="F110" s="2">
        <v>95</v>
      </c>
      <c r="G110" s="2">
        <f>E110*F110</f>
        <v>665</v>
      </c>
      <c r="H110" s="2">
        <v>175</v>
      </c>
      <c r="I110" s="2" t="s">
        <v>21</v>
      </c>
      <c r="J110" s="2">
        <f>G110-H110</f>
        <v>490</v>
      </c>
      <c r="K110" s="2">
        <v>7</v>
      </c>
      <c r="L110" s="2">
        <v>2500</v>
      </c>
      <c r="M110" s="2">
        <v>3000</v>
      </c>
      <c r="N110" s="2">
        <v>3500</v>
      </c>
      <c r="O110" s="2">
        <f>ROUND(L110/Assumptions!$B$2,0)</f>
        <v>347</v>
      </c>
      <c r="P110" s="2">
        <f>ROUND(M110/Assumptions!$B$2,0)</f>
        <v>417</v>
      </c>
      <c r="Q110" s="2">
        <f>ROUND(N110/Assumptions!$B$2,0)</f>
        <v>486</v>
      </c>
      <c r="R110" s="2">
        <f>COUNTIF('Raw Data'!$B$2:$B$417,A110)</f>
        <v>4</v>
      </c>
      <c r="S110" s="8">
        <f>SUMIF('Raw Data'!$B$2:$B$417,A110,'Raw Data'!$L$2:$L$417)</f>
        <v>1960.0</v>
      </c>
      <c r="T110" s="8">
        <f>S110-O110</f>
        <v>1613.0</v>
      </c>
      <c r="U110" s="8">
        <f>S110-P110</f>
        <v>1543.0</v>
      </c>
      <c r="V110" s="8">
        <f>S110-Q110</f>
        <v>1474.0</v>
      </c>
      <c r="W110" s="2" t="str">
        <f>IF(R110=0,"Not Opened",IF(V110&gt;=0,"Recovered - All Scenarios",IF(U110&gt;=0,"Recovered - Low &amp; Base",IF(T110&gt;=0,"Recovered - Low Only","Not Recovered"))))</f>
        <v>Recovered - All Scenarios</v>
      </c>
      <c r="X110" s="8">
        <f>IF(R110=0,0,S110/R110)</f>
        <v>490.0</v>
      </c>
      <c r="Y110" s="2">
        <f>R110</f>
        <v>4</v>
      </c>
      <c r="Z110" s="8">
        <f>IF(R110=0,"",S110/R110)</f>
        <v>490.0</v>
      </c>
      <c r="AA110" s="2" t="str">
        <f>IF(R110=0,"Not Opened",IF(R110&gt;=Assumptions!$B$3,"High Frequency","Low Frequency")&amp;" / "&amp;IF(X110&gt;=Assumptions!$B$4,"High Contribution","Low Contribution"))</f>
        <v>High Frequency / High Contribution</v>
      </c>
    </row>
    <row r="111" spans="1:27">
      <c r="A111" s="2" t="s">
        <v>123</v>
      </c>
      <c r="B111" s="2" t="s">
        <v>341</v>
      </c>
      <c r="C111" s="2" t="s">
        <v>212</v>
      </c>
      <c r="D111" s="2">
        <v>6</v>
      </c>
      <c r="E111" s="2">
        <v>8</v>
      </c>
      <c r="F111" s="2">
        <v>109</v>
      </c>
      <c r="G111" s="2">
        <f>E111*F111</f>
        <v>872</v>
      </c>
      <c r="H111" s="2">
        <v>540</v>
      </c>
      <c r="I111" s="2" t="s">
        <v>22</v>
      </c>
      <c r="J111" s="2">
        <f>G111-H111</f>
        <v>332</v>
      </c>
      <c r="K111" s="2">
        <v>7.7</v>
      </c>
      <c r="L111" s="2">
        <v>0</v>
      </c>
      <c r="M111" s="2">
        <v>750</v>
      </c>
      <c r="N111" s="2">
        <v>1000</v>
      </c>
      <c r="O111" s="2">
        <f>ROUND(L111/Assumptions!$B$2,0)</f>
        <v>0</v>
      </c>
      <c r="P111" s="2">
        <f>ROUND(M111/Assumptions!$B$2,0)</f>
        <v>104</v>
      </c>
      <c r="Q111" s="2">
        <f>ROUND(N111/Assumptions!$B$2,0)</f>
        <v>139</v>
      </c>
      <c r="R111" s="2">
        <f>COUNTIF('Raw Data'!$B$2:$B$417,A111)</f>
        <v>1</v>
      </c>
      <c r="S111" s="8">
        <f>SUMIF('Raw Data'!$B$2:$B$417,A111,'Raw Data'!$L$2:$L$417)</f>
        <v>332.0</v>
      </c>
      <c r="T111" s="8">
        <f>S111-O111</f>
        <v>332.0</v>
      </c>
      <c r="U111" s="8">
        <f>S111-P111</f>
        <v>228.0</v>
      </c>
      <c r="V111" s="8">
        <f>S111-Q111</f>
        <v>193.0</v>
      </c>
      <c r="W111" s="2" t="str">
        <f>IF(R111=0,"Not Opened",IF(V111&gt;=0,"Recovered - All Scenarios",IF(U111&gt;=0,"Recovered - Low &amp; Base",IF(T111&gt;=0,"Recovered - Low Only","Not Recovered"))))</f>
        <v>Recovered - All Scenarios</v>
      </c>
      <c r="X111" s="8">
        <f>IF(R111=0,0,S111/R111)</f>
        <v>332.0</v>
      </c>
      <c r="Y111" s="2">
        <f>R111</f>
        <v>1</v>
      </c>
      <c r="Z111" s="8">
        <f>IF(R111=0,"",S111/R111)</f>
        <v>332.0</v>
      </c>
      <c r="AA111" s="2" t="str">
        <f>IF(R111=0,"Not Opened",IF(R111&gt;=Assumptions!$B$3,"High Frequency","Low Frequency")&amp;" / "&amp;IF(X111&gt;=Assumptions!$B$4,"High Contribution","Low Contribution"))</f>
        <v>Low Frequency / Low Contribution</v>
      </c>
    </row>
    <row r="112" spans="1:27">
      <c r="A112" s="2" t="s">
        <v>124</v>
      </c>
      <c r="B112" s="2" t="s">
        <v>342</v>
      </c>
      <c r="C112" s="2" t="s">
        <v>212</v>
      </c>
      <c r="D112" s="2">
        <v>2</v>
      </c>
      <c r="E112" s="2">
        <v>6</v>
      </c>
      <c r="F112" s="2">
        <v>118</v>
      </c>
      <c r="G112" s="2">
        <f>E112*F112</f>
        <v>708</v>
      </c>
      <c r="H112" s="2">
        <v>180</v>
      </c>
      <c r="I112" s="2" t="s">
        <v>22</v>
      </c>
      <c r="J112" s="2">
        <f>G112-H112</f>
        <v>528</v>
      </c>
      <c r="K112" s="2">
        <v>8.4</v>
      </c>
      <c r="L112" s="2">
        <v>0</v>
      </c>
      <c r="M112" s="2">
        <v>750</v>
      </c>
      <c r="N112" s="2">
        <v>1000</v>
      </c>
      <c r="O112" s="2">
        <f>ROUND(L112/Assumptions!$B$2,0)</f>
        <v>0</v>
      </c>
      <c r="P112" s="2">
        <f>ROUND(M112/Assumptions!$B$2,0)</f>
        <v>104</v>
      </c>
      <c r="Q112" s="2">
        <f>ROUND(N112/Assumptions!$B$2,0)</f>
        <v>139</v>
      </c>
      <c r="R112" s="2">
        <f>COUNTIF('Raw Data'!$B$2:$B$417,A112)</f>
        <v>2</v>
      </c>
      <c r="S112" s="8">
        <f>SUMIF('Raw Data'!$B$2:$B$417,A112,'Raw Data'!$L$2:$L$417)</f>
        <v>1056.0</v>
      </c>
      <c r="T112" s="8">
        <f>S112-O112</f>
        <v>1056.0</v>
      </c>
      <c r="U112" s="8">
        <f>S112-P112</f>
        <v>952.0</v>
      </c>
      <c r="V112" s="8">
        <f>S112-Q112</f>
        <v>917.0</v>
      </c>
      <c r="W112" s="2" t="str">
        <f>IF(R112=0,"Not Opened",IF(V112&gt;=0,"Recovered - All Scenarios",IF(U112&gt;=0,"Recovered - Low &amp; Base",IF(T112&gt;=0,"Recovered - Low Only","Not Recovered"))))</f>
        <v>Recovered - All Scenarios</v>
      </c>
      <c r="X112" s="8">
        <f>IF(R112=0,0,S112/R112)</f>
        <v>528.0</v>
      </c>
      <c r="Y112" s="2">
        <f>R112</f>
        <v>2</v>
      </c>
      <c r="Z112" s="8">
        <f>IF(R112=0,"",S112/R112)</f>
        <v>528.0</v>
      </c>
      <c r="AA112" s="2" t="str">
        <f>IF(R112=0,"Not Opened",IF(R112&gt;=Assumptions!$B$3,"High Frequency","Low Frequency")&amp;" / "&amp;IF(X112&gt;=Assumptions!$B$4,"High Contribution","Low Contribution"))</f>
        <v>High Frequency / High Contribution</v>
      </c>
    </row>
    <row r="113" spans="1:27">
      <c r="A113" s="2" t="s">
        <v>125</v>
      </c>
      <c r="B113" s="2" t="s">
        <v>343</v>
      </c>
      <c r="C113" s="2" t="s">
        <v>214</v>
      </c>
      <c r="D113" s="2">
        <v>1</v>
      </c>
      <c r="E113" s="2">
        <v>6</v>
      </c>
      <c r="F113" s="2">
        <v>119</v>
      </c>
      <c r="G113" s="2">
        <f>E113*F113</f>
        <v>714</v>
      </c>
      <c r="H113" s="2">
        <v>187</v>
      </c>
      <c r="I113" s="2" t="s">
        <v>20</v>
      </c>
      <c r="J113" s="2">
        <f>G113-H113</f>
        <v>527</v>
      </c>
      <c r="K113" s="2">
        <v>7</v>
      </c>
      <c r="L113" s="2">
        <v>1500</v>
      </c>
      <c r="M113" s="2">
        <v>2000</v>
      </c>
      <c r="N113" s="2">
        <v>2500</v>
      </c>
      <c r="O113" s="2">
        <f>ROUND(L113/Assumptions!$B$2,0)</f>
        <v>208</v>
      </c>
      <c r="P113" s="2">
        <f>ROUND(M113/Assumptions!$B$2,0)</f>
        <v>278</v>
      </c>
      <c r="Q113" s="2">
        <f>ROUND(N113/Assumptions!$B$2,0)</f>
        <v>347</v>
      </c>
      <c r="R113" s="2">
        <f>COUNTIF('Raw Data'!$B$2:$B$417,A113)</f>
        <v>5</v>
      </c>
      <c r="S113" s="8">
        <f>SUMIF('Raw Data'!$B$2:$B$417,A113,'Raw Data'!$L$2:$L$417)</f>
        <v>2635.0</v>
      </c>
      <c r="T113" s="8">
        <f>S113-O113</f>
        <v>2427.0</v>
      </c>
      <c r="U113" s="8">
        <f>S113-P113</f>
        <v>2357.0</v>
      </c>
      <c r="V113" s="8">
        <f>S113-Q113</f>
        <v>2288.0</v>
      </c>
      <c r="W113" s="2" t="str">
        <f>IF(R113=0,"Not Opened",IF(V113&gt;=0,"Recovered - All Scenarios",IF(U113&gt;=0,"Recovered - Low &amp; Base",IF(T113&gt;=0,"Recovered - Low Only","Not Recovered"))))</f>
        <v>Recovered - All Scenarios</v>
      </c>
      <c r="X113" s="8">
        <f>IF(R113=0,0,S113/R113)</f>
        <v>527.0</v>
      </c>
      <c r="Y113" s="2">
        <f>R113</f>
        <v>5</v>
      </c>
      <c r="Z113" s="8">
        <f>IF(R113=0,"",S113/R113)</f>
        <v>527.0</v>
      </c>
      <c r="AA113" s="2" t="str">
        <f>IF(R113=0,"Not Opened",IF(R113&gt;=Assumptions!$B$3,"High Frequency","Low Frequency")&amp;" / "&amp;IF(X113&gt;=Assumptions!$B$4,"High Contribution","Low Contribution"))</f>
        <v>High Frequency / High Contribution</v>
      </c>
    </row>
    <row r="114" spans="1:27">
      <c r="A114" s="2" t="s">
        <v>126</v>
      </c>
      <c r="B114" s="2" t="s">
        <v>344</v>
      </c>
      <c r="C114" s="2" t="s">
        <v>212</v>
      </c>
      <c r="D114" s="2">
        <v>3</v>
      </c>
      <c r="E114" s="2">
        <v>6</v>
      </c>
      <c r="F114" s="2">
        <v>99</v>
      </c>
      <c r="G114" s="2">
        <f>E114*F114</f>
        <v>594</v>
      </c>
      <c r="H114" s="2">
        <v>270</v>
      </c>
      <c r="I114" s="2" t="s">
        <v>22</v>
      </c>
      <c r="J114" s="2">
        <f>G114-H114</f>
        <v>324</v>
      </c>
      <c r="K114" s="2">
        <v>7.7</v>
      </c>
      <c r="L114" s="2">
        <v>0</v>
      </c>
      <c r="M114" s="2">
        <v>750</v>
      </c>
      <c r="N114" s="2">
        <v>1000</v>
      </c>
      <c r="O114" s="2">
        <f>ROUND(L114/Assumptions!$B$2,0)</f>
        <v>0</v>
      </c>
      <c r="P114" s="2">
        <f>ROUND(M114/Assumptions!$B$2,0)</f>
        <v>104</v>
      </c>
      <c r="Q114" s="2">
        <f>ROUND(N114/Assumptions!$B$2,0)</f>
        <v>139</v>
      </c>
      <c r="R114" s="2">
        <f>COUNTIF('Raw Data'!$B$2:$B$417,A114)</f>
        <v>1</v>
      </c>
      <c r="S114" s="8">
        <f>SUMIF('Raw Data'!$B$2:$B$417,A114,'Raw Data'!$L$2:$L$417)</f>
        <v>324.0</v>
      </c>
      <c r="T114" s="8">
        <f>S114-O114</f>
        <v>324.0</v>
      </c>
      <c r="U114" s="8">
        <f>S114-P114</f>
        <v>220.0</v>
      </c>
      <c r="V114" s="8">
        <f>S114-Q114</f>
        <v>185.0</v>
      </c>
      <c r="W114" s="2" t="str">
        <f>IF(R114=0,"Not Opened",IF(V114&gt;=0,"Recovered - All Scenarios",IF(U114&gt;=0,"Recovered - Low &amp; Base",IF(T114&gt;=0,"Recovered - Low Only","Not Recovered"))))</f>
        <v>Recovered - All Scenarios</v>
      </c>
      <c r="X114" s="8">
        <f>IF(R114=0,0,S114/R114)</f>
        <v>324.0</v>
      </c>
      <c r="Y114" s="2">
        <f>R114</f>
        <v>1</v>
      </c>
      <c r="Z114" s="8">
        <f>IF(R114=0,"",S114/R114)</f>
        <v>324.0</v>
      </c>
      <c r="AA114" s="2" t="str">
        <f>IF(R114=0,"Not Opened",IF(R114&gt;=Assumptions!$B$3,"High Frequency","Low Frequency")&amp;" / "&amp;IF(X114&gt;=Assumptions!$B$4,"High Contribution","Low Contribution"))</f>
        <v>Low Frequency / Low Contribution</v>
      </c>
    </row>
    <row r="115" spans="1:27">
      <c r="A115" s="2" t="s">
        <v>127</v>
      </c>
      <c r="B115" s="2" t="s">
        <v>345</v>
      </c>
      <c r="C115" s="2" t="s">
        <v>218</v>
      </c>
      <c r="D115" s="2">
        <v>3</v>
      </c>
      <c r="E115" s="2">
        <v>7</v>
      </c>
      <c r="F115" s="2">
        <v>109</v>
      </c>
      <c r="G115" s="2">
        <f>E115*F115</f>
        <v>763</v>
      </c>
      <c r="H115" s="2">
        <v>200</v>
      </c>
      <c r="I115" s="2" t="s">
        <v>21</v>
      </c>
      <c r="J115" s="2">
        <f>G115-H115</f>
        <v>563</v>
      </c>
      <c r="K115" s="2">
        <v>8.4</v>
      </c>
      <c r="L115" s="2">
        <v>2500</v>
      </c>
      <c r="M115" s="2">
        <v>3000</v>
      </c>
      <c r="N115" s="2">
        <v>3500</v>
      </c>
      <c r="O115" s="2">
        <f>ROUND(L115/Assumptions!$B$2,0)</f>
        <v>347</v>
      </c>
      <c r="P115" s="2">
        <f>ROUND(M115/Assumptions!$B$2,0)</f>
        <v>417</v>
      </c>
      <c r="Q115" s="2">
        <f>ROUND(N115/Assumptions!$B$2,0)</f>
        <v>486</v>
      </c>
      <c r="R115" s="2">
        <f>COUNTIF('Raw Data'!$B$2:$B$417,A115)</f>
        <v>2</v>
      </c>
      <c r="S115" s="8">
        <f>SUMIF('Raw Data'!$B$2:$B$417,A115,'Raw Data'!$L$2:$L$417)</f>
        <v>1126.0</v>
      </c>
      <c r="T115" s="8">
        <f>S115-O115</f>
        <v>779.0</v>
      </c>
      <c r="U115" s="8">
        <f>S115-P115</f>
        <v>709.0</v>
      </c>
      <c r="V115" s="8">
        <f>S115-Q115</f>
        <v>640.0</v>
      </c>
      <c r="W115" s="2" t="str">
        <f>IF(R115=0,"Not Opened",IF(V115&gt;=0,"Recovered - All Scenarios",IF(U115&gt;=0,"Recovered - Low &amp; Base",IF(T115&gt;=0,"Recovered - Low Only","Not Recovered"))))</f>
        <v>Recovered - All Scenarios</v>
      </c>
      <c r="X115" s="8">
        <f>IF(R115=0,0,S115/R115)</f>
        <v>563.0</v>
      </c>
      <c r="Y115" s="2">
        <f>R115</f>
        <v>2</v>
      </c>
      <c r="Z115" s="8">
        <f>IF(R115=0,"",S115/R115)</f>
        <v>563.0</v>
      </c>
      <c r="AA115" s="2" t="str">
        <f>IF(R115=0,"Not Opened",IF(R115&gt;=Assumptions!$B$3,"High Frequency","Low Frequency")&amp;" / "&amp;IF(X115&gt;=Assumptions!$B$4,"High Contribution","Low Contribution"))</f>
        <v>High Frequency / High Contribution</v>
      </c>
    </row>
    <row r="116" spans="1:27">
      <c r="A116" s="2" t="s">
        <v>128</v>
      </c>
      <c r="B116" s="2" t="s">
        <v>346</v>
      </c>
      <c r="C116" s="2" t="s">
        <v>214</v>
      </c>
      <c r="D116" s="2">
        <v>2</v>
      </c>
      <c r="E116" s="2">
        <v>8</v>
      </c>
      <c r="F116" s="2">
        <v>95</v>
      </c>
      <c r="G116" s="2">
        <f>E116*F116</f>
        <v>760</v>
      </c>
      <c r="H116" s="2">
        <v>200</v>
      </c>
      <c r="I116" s="2" t="s">
        <v>20</v>
      </c>
      <c r="J116" s="2">
        <f>G116-H116</f>
        <v>560</v>
      </c>
      <c r="K116" s="2">
        <v>7</v>
      </c>
      <c r="L116" s="2">
        <v>1500</v>
      </c>
      <c r="M116" s="2">
        <v>2000</v>
      </c>
      <c r="N116" s="2">
        <v>2500</v>
      </c>
      <c r="O116" s="2">
        <f>ROUND(L116/Assumptions!$B$2,0)</f>
        <v>208</v>
      </c>
      <c r="P116" s="2">
        <f>ROUND(M116/Assumptions!$B$2,0)</f>
        <v>278</v>
      </c>
      <c r="Q116" s="2">
        <f>ROUND(N116/Assumptions!$B$2,0)</f>
        <v>347</v>
      </c>
      <c r="R116" s="2">
        <f>COUNTIF('Raw Data'!$B$2:$B$417,A116)</f>
        <v>7</v>
      </c>
      <c r="S116" s="8">
        <f>SUMIF('Raw Data'!$B$2:$B$417,A116,'Raw Data'!$L$2:$L$417)</f>
        <v>3920.0</v>
      </c>
      <c r="T116" s="8">
        <f>S116-O116</f>
        <v>3712.0</v>
      </c>
      <c r="U116" s="8">
        <f>S116-P116</f>
        <v>3642.0</v>
      </c>
      <c r="V116" s="8">
        <f>S116-Q116</f>
        <v>3573.0</v>
      </c>
      <c r="W116" s="2" t="str">
        <f>IF(R116=0,"Not Opened",IF(V116&gt;=0,"Recovered - All Scenarios",IF(U116&gt;=0,"Recovered - Low &amp; Base",IF(T116&gt;=0,"Recovered - Low Only","Not Recovered"))))</f>
        <v>Recovered - All Scenarios</v>
      </c>
      <c r="X116" s="8">
        <f>IF(R116=0,0,S116/R116)</f>
        <v>560.0</v>
      </c>
      <c r="Y116" s="2">
        <f>R116</f>
        <v>7</v>
      </c>
      <c r="Z116" s="8">
        <f>IF(R116=0,"",S116/R116)</f>
        <v>560.0</v>
      </c>
      <c r="AA116" s="2" t="str">
        <f>IF(R116=0,"Not Opened",IF(R116&gt;=Assumptions!$B$3,"High Frequency","Low Frequency")&amp;" / "&amp;IF(X116&gt;=Assumptions!$B$4,"High Contribution","Low Contribution"))</f>
        <v>High Frequency / High Contribution</v>
      </c>
    </row>
    <row r="117" spans="1:27">
      <c r="A117" s="2" t="s">
        <v>129</v>
      </c>
      <c r="B117" s="2" t="s">
        <v>347</v>
      </c>
      <c r="C117" s="2" t="s">
        <v>212</v>
      </c>
      <c r="D117" s="2">
        <v>2</v>
      </c>
      <c r="E117" s="2">
        <v>6</v>
      </c>
      <c r="F117" s="2">
        <v>138</v>
      </c>
      <c r="G117" s="2">
        <f>E117*F117</f>
        <v>828</v>
      </c>
      <c r="H117" s="2">
        <v>180</v>
      </c>
      <c r="I117" s="2" t="s">
        <v>22</v>
      </c>
      <c r="J117" s="2">
        <f>G117-H117</f>
        <v>648</v>
      </c>
      <c r="K117" s="2">
        <v>7.7</v>
      </c>
      <c r="L117" s="2">
        <v>0</v>
      </c>
      <c r="M117" s="2">
        <v>750</v>
      </c>
      <c r="N117" s="2">
        <v>1000</v>
      </c>
      <c r="O117" s="2">
        <f>ROUND(L117/Assumptions!$B$2,0)</f>
        <v>0</v>
      </c>
      <c r="P117" s="2">
        <f>ROUND(M117/Assumptions!$B$2,0)</f>
        <v>104</v>
      </c>
      <c r="Q117" s="2">
        <f>ROUND(N117/Assumptions!$B$2,0)</f>
        <v>139</v>
      </c>
      <c r="R117" s="2">
        <f>COUNTIF('Raw Data'!$B$2:$B$417,A117)</f>
        <v>1</v>
      </c>
      <c r="S117" s="8">
        <f>SUMIF('Raw Data'!$B$2:$B$417,A117,'Raw Data'!$L$2:$L$417)</f>
        <v>648.0</v>
      </c>
      <c r="T117" s="8">
        <f>S117-O117</f>
        <v>648.0</v>
      </c>
      <c r="U117" s="8">
        <f>S117-P117</f>
        <v>544.0</v>
      </c>
      <c r="V117" s="8">
        <f>S117-Q117</f>
        <v>509.0</v>
      </c>
      <c r="W117" s="2" t="str">
        <f>IF(R117=0,"Not Opened",IF(V117&gt;=0,"Recovered - All Scenarios",IF(U117&gt;=0,"Recovered - Low &amp; Base",IF(T117&gt;=0,"Recovered - Low Only","Not Recovered"))))</f>
        <v>Recovered - All Scenarios</v>
      </c>
      <c r="X117" s="8">
        <f>IF(R117=0,0,S117/R117)</f>
        <v>648.0</v>
      </c>
      <c r="Y117" s="2">
        <f>R117</f>
        <v>1</v>
      </c>
      <c r="Z117" s="8">
        <f>IF(R117=0,"",S117/R117)</f>
        <v>648.0</v>
      </c>
      <c r="AA117" s="2" t="str">
        <f>IF(R117=0,"Not Opened",IF(R117&gt;=Assumptions!$B$3,"High Frequency","Low Frequency")&amp;" / "&amp;IF(X117&gt;=Assumptions!$B$4,"High Contribution","Low Contribution"))</f>
        <v>Low Frequency / High Contribution</v>
      </c>
    </row>
    <row r="118" spans="1:27">
      <c r="A118" s="2" t="s">
        <v>130</v>
      </c>
      <c r="B118" s="2" t="s">
        <v>348</v>
      </c>
      <c r="C118" s="2" t="s">
        <v>223</v>
      </c>
      <c r="D118" s="2">
        <v>1</v>
      </c>
      <c r="E118" s="2">
        <v>6</v>
      </c>
      <c r="F118" s="2">
        <v>109</v>
      </c>
      <c r="G118" s="2">
        <f>E118*F118</f>
        <v>654</v>
      </c>
      <c r="H118" s="2">
        <v>172</v>
      </c>
      <c r="I118" s="2" t="s">
        <v>20</v>
      </c>
      <c r="J118" s="2">
        <f>G118-H118</f>
        <v>482</v>
      </c>
      <c r="K118" s="2">
        <v>8.4</v>
      </c>
      <c r="L118" s="2">
        <v>1500</v>
      </c>
      <c r="M118" s="2">
        <v>2000</v>
      </c>
      <c r="N118" s="2">
        <v>2500</v>
      </c>
      <c r="O118" s="2">
        <f>ROUND(L118/Assumptions!$B$2,0)</f>
        <v>208</v>
      </c>
      <c r="P118" s="2">
        <f>ROUND(M118/Assumptions!$B$2,0)</f>
        <v>278</v>
      </c>
      <c r="Q118" s="2">
        <f>ROUND(N118/Assumptions!$B$2,0)</f>
        <v>347</v>
      </c>
      <c r="R118" s="2">
        <f>COUNTIF('Raw Data'!$B$2:$B$417,A118)</f>
        <v>3</v>
      </c>
      <c r="S118" s="8">
        <f>SUMIF('Raw Data'!$B$2:$B$417,A118,'Raw Data'!$L$2:$L$417)</f>
        <v>1446.0</v>
      </c>
      <c r="T118" s="8">
        <f>S118-O118</f>
        <v>1238.0</v>
      </c>
      <c r="U118" s="8">
        <f>S118-P118</f>
        <v>1168.0</v>
      </c>
      <c r="V118" s="8">
        <f>S118-Q118</f>
        <v>1099.0</v>
      </c>
      <c r="W118" s="2" t="str">
        <f>IF(R118=0,"Not Opened",IF(V118&gt;=0,"Recovered - All Scenarios",IF(U118&gt;=0,"Recovered - Low &amp; Base",IF(T118&gt;=0,"Recovered - Low Only","Not Recovered"))))</f>
        <v>Recovered - All Scenarios</v>
      </c>
      <c r="X118" s="8">
        <f>IF(R118=0,0,S118/R118)</f>
        <v>482.0</v>
      </c>
      <c r="Y118" s="2">
        <f>R118</f>
        <v>3</v>
      </c>
      <c r="Z118" s="8">
        <f>IF(R118=0,"",S118/R118)</f>
        <v>482.0</v>
      </c>
      <c r="AA118" s="2" t="str">
        <f>IF(R118=0,"Not Opened",IF(R118&gt;=Assumptions!$B$3,"High Frequency","Low Frequency")&amp;" / "&amp;IF(X118&gt;=Assumptions!$B$4,"High Contribution","Low Contribution"))</f>
        <v>High Frequency / Low Contribution</v>
      </c>
    </row>
    <row r="119" spans="1:27">
      <c r="A119" s="2" t="s">
        <v>131</v>
      </c>
      <c r="B119" s="2" t="s">
        <v>349</v>
      </c>
      <c r="C119" s="2" t="s">
        <v>214</v>
      </c>
      <c r="D119" s="2">
        <v>1</v>
      </c>
      <c r="E119" s="2">
        <v>6</v>
      </c>
      <c r="F119" s="2">
        <v>75</v>
      </c>
      <c r="G119" s="2">
        <f>E119*F119</f>
        <v>450</v>
      </c>
      <c r="H119" s="2">
        <v>118</v>
      </c>
      <c r="I119" s="2" t="s">
        <v>22</v>
      </c>
      <c r="J119" s="2">
        <f>G119-H119</f>
        <v>332</v>
      </c>
      <c r="K119" s="2">
        <v>7</v>
      </c>
      <c r="L119" s="2">
        <v>0</v>
      </c>
      <c r="M119" s="2">
        <v>750</v>
      </c>
      <c r="N119" s="2">
        <v>1000</v>
      </c>
      <c r="O119" s="2">
        <f>ROUND(L119/Assumptions!$B$2,0)</f>
        <v>0</v>
      </c>
      <c r="P119" s="2">
        <f>ROUND(M119/Assumptions!$B$2,0)</f>
        <v>104</v>
      </c>
      <c r="Q119" s="2">
        <f>ROUND(N119/Assumptions!$B$2,0)</f>
        <v>139</v>
      </c>
      <c r="R119" s="2">
        <f>COUNTIF('Raw Data'!$B$2:$B$417,A119)</f>
        <v>10</v>
      </c>
      <c r="S119" s="8">
        <f>SUMIF('Raw Data'!$B$2:$B$417,A119,'Raw Data'!$L$2:$L$417)</f>
        <v>3320.0</v>
      </c>
      <c r="T119" s="8">
        <f>S119-O119</f>
        <v>3320.0</v>
      </c>
      <c r="U119" s="8">
        <f>S119-P119</f>
        <v>3216.0</v>
      </c>
      <c r="V119" s="8">
        <f>S119-Q119</f>
        <v>3181.0</v>
      </c>
      <c r="W119" s="2" t="str">
        <f>IF(R119=0,"Not Opened",IF(V119&gt;=0,"Recovered - All Scenarios",IF(U119&gt;=0,"Recovered - Low &amp; Base",IF(T119&gt;=0,"Recovered - Low Only","Not Recovered"))))</f>
        <v>Recovered - All Scenarios</v>
      </c>
      <c r="X119" s="8">
        <f>IF(R119=0,0,S119/R119)</f>
        <v>332.0</v>
      </c>
      <c r="Y119" s="2">
        <f>R119</f>
        <v>10</v>
      </c>
      <c r="Z119" s="8">
        <f>IF(R119=0,"",S119/R119)</f>
        <v>332.0</v>
      </c>
      <c r="AA119" s="2" t="str">
        <f>IF(R119=0,"Not Opened",IF(R119&gt;=Assumptions!$B$3,"High Frequency","Low Frequency")&amp;" / "&amp;IF(X119&gt;=Assumptions!$B$4,"High Contribution","Low Contribution"))</f>
        <v>High Frequency / Low Contribution</v>
      </c>
    </row>
    <row r="120" spans="1:27">
      <c r="A120" s="2" t="s">
        <v>132</v>
      </c>
      <c r="B120" s="2" t="s">
        <v>350</v>
      </c>
      <c r="C120" s="2" t="s">
        <v>218</v>
      </c>
      <c r="D120" s="2">
        <v>3</v>
      </c>
      <c r="E120" s="2">
        <v>7</v>
      </c>
      <c r="F120" s="2">
        <v>118</v>
      </c>
      <c r="G120" s="2">
        <f>E120*F120</f>
        <v>826</v>
      </c>
      <c r="H120" s="2">
        <v>217</v>
      </c>
      <c r="I120" s="2" t="s">
        <v>21</v>
      </c>
      <c r="J120" s="2">
        <f>G120-H120</f>
        <v>609</v>
      </c>
      <c r="K120" s="2">
        <v>7.7</v>
      </c>
      <c r="L120" s="2">
        <v>2500</v>
      </c>
      <c r="M120" s="2">
        <v>3000</v>
      </c>
      <c r="N120" s="2">
        <v>3500</v>
      </c>
      <c r="O120" s="2">
        <f>ROUND(L120/Assumptions!$B$2,0)</f>
        <v>347</v>
      </c>
      <c r="P120" s="2">
        <f>ROUND(M120/Assumptions!$B$2,0)</f>
        <v>417</v>
      </c>
      <c r="Q120" s="2">
        <f>ROUND(N120/Assumptions!$B$2,0)</f>
        <v>486</v>
      </c>
      <c r="R120" s="2">
        <f>COUNTIF('Raw Data'!$B$2:$B$417,A120)</f>
        <v>1</v>
      </c>
      <c r="S120" s="8">
        <f>SUMIF('Raw Data'!$B$2:$B$417,A120,'Raw Data'!$L$2:$L$417)</f>
        <v>609.0</v>
      </c>
      <c r="T120" s="8">
        <f>S120-O120</f>
        <v>262.0</v>
      </c>
      <c r="U120" s="8">
        <f>S120-P120</f>
        <v>192.0</v>
      </c>
      <c r="V120" s="8">
        <f>S120-Q120</f>
        <v>123.0</v>
      </c>
      <c r="W120" s="2" t="str">
        <f>IF(R120=0,"Not Opened",IF(V120&gt;=0,"Recovered - All Scenarios",IF(U120&gt;=0,"Recovered - Low &amp; Base",IF(T120&gt;=0,"Recovered - Low Only","Not Recovered"))))</f>
        <v>Recovered - All Scenarios</v>
      </c>
      <c r="X120" s="8">
        <f>IF(R120=0,0,S120/R120)</f>
        <v>609.0</v>
      </c>
      <c r="Y120" s="2">
        <f>R120</f>
        <v>1</v>
      </c>
      <c r="Z120" s="8">
        <f>IF(R120=0,"",S120/R120)</f>
        <v>609.0</v>
      </c>
      <c r="AA120" s="2" t="str">
        <f>IF(R120=0,"Not Opened",IF(R120&gt;=Assumptions!$B$3,"High Frequency","Low Frequency")&amp;" / "&amp;IF(X120&gt;=Assumptions!$B$4,"High Contribution","Low Contribution"))</f>
        <v>Low Frequency / High Contribution</v>
      </c>
    </row>
    <row r="121" spans="1:27">
      <c r="A121" s="2" t="s">
        <v>133</v>
      </c>
      <c r="B121" s="2" t="s">
        <v>351</v>
      </c>
      <c r="C121" s="2" t="s">
        <v>212</v>
      </c>
      <c r="D121" s="2">
        <v>6</v>
      </c>
      <c r="E121" s="2">
        <v>8</v>
      </c>
      <c r="F121" s="2">
        <v>138</v>
      </c>
      <c r="G121" s="2">
        <f>E121*F121</f>
        <v>1104</v>
      </c>
      <c r="H121" s="2">
        <v>540</v>
      </c>
      <c r="I121" s="2" t="s">
        <v>22</v>
      </c>
      <c r="J121" s="2">
        <f>G121-H121</f>
        <v>564</v>
      </c>
      <c r="K121" s="2">
        <v>8.4</v>
      </c>
      <c r="L121" s="2">
        <v>0</v>
      </c>
      <c r="M121" s="2">
        <v>750</v>
      </c>
      <c r="N121" s="2">
        <v>1000</v>
      </c>
      <c r="O121" s="2">
        <f>ROUND(L121/Assumptions!$B$2,0)</f>
        <v>0</v>
      </c>
      <c r="P121" s="2">
        <f>ROUND(M121/Assumptions!$B$2,0)</f>
        <v>104</v>
      </c>
      <c r="Q121" s="2">
        <f>ROUND(N121/Assumptions!$B$2,0)</f>
        <v>139</v>
      </c>
      <c r="R121" s="2">
        <f>COUNTIF('Raw Data'!$B$2:$B$417,A121)</f>
        <v>3</v>
      </c>
      <c r="S121" s="8">
        <f>SUMIF('Raw Data'!$B$2:$B$417,A121,'Raw Data'!$L$2:$L$417)</f>
        <v>1692.0</v>
      </c>
      <c r="T121" s="8">
        <f>S121-O121</f>
        <v>1692.0</v>
      </c>
      <c r="U121" s="8">
        <f>S121-P121</f>
        <v>1588.0</v>
      </c>
      <c r="V121" s="8">
        <f>S121-Q121</f>
        <v>1553.0</v>
      </c>
      <c r="W121" s="2" t="str">
        <f>IF(R121=0,"Not Opened",IF(V121&gt;=0,"Recovered - All Scenarios",IF(U121&gt;=0,"Recovered - Low &amp; Base",IF(T121&gt;=0,"Recovered - Low Only","Not Recovered"))))</f>
        <v>Recovered - All Scenarios</v>
      </c>
      <c r="X121" s="8">
        <f>IF(R121=0,0,S121/R121)</f>
        <v>564.0</v>
      </c>
      <c r="Y121" s="2">
        <f>R121</f>
        <v>3</v>
      </c>
      <c r="Z121" s="8">
        <f>IF(R121=0,"",S121/R121)</f>
        <v>564.0</v>
      </c>
      <c r="AA121" s="2" t="str">
        <f>IF(R121=0,"Not Opened",IF(R121&gt;=Assumptions!$B$3,"High Frequency","Low Frequency")&amp;" / "&amp;IF(X121&gt;=Assumptions!$B$4,"High Contribution","Low Contribution"))</f>
        <v>High Frequency / High Contribution</v>
      </c>
    </row>
    <row r="122" spans="1:27">
      <c r="A122" s="2" t="s">
        <v>352</v>
      </c>
      <c r="B122" s="2" t="s">
        <v>353</v>
      </c>
      <c r="C122" s="2" t="s">
        <v>212</v>
      </c>
      <c r="D122" s="2">
        <v>2</v>
      </c>
      <c r="E122" s="2">
        <v>6</v>
      </c>
      <c r="F122" s="2">
        <v>99</v>
      </c>
      <c r="G122" s="2">
        <f>E122*F122</f>
        <v>594</v>
      </c>
      <c r="H122" s="2">
        <v>180</v>
      </c>
      <c r="I122" s="2" t="s">
        <v>22</v>
      </c>
      <c r="J122" s="2">
        <f>G122-H122</f>
        <v>414</v>
      </c>
      <c r="K122" s="2">
        <v>7</v>
      </c>
      <c r="L122" s="2">
        <v>0</v>
      </c>
      <c r="M122" s="2">
        <v>750</v>
      </c>
      <c r="N122" s="2">
        <v>1000</v>
      </c>
      <c r="O122" s="2">
        <f>ROUND(L122/Assumptions!$B$2,0)</f>
        <v>0</v>
      </c>
      <c r="P122" s="2">
        <f>ROUND(M122/Assumptions!$B$2,0)</f>
        <v>104</v>
      </c>
      <c r="Q122" s="2">
        <f>ROUND(N122/Assumptions!$B$2,0)</f>
        <v>139</v>
      </c>
      <c r="R122" s="2">
        <f>COUNTIF('Raw Data'!$B$2:$B$417,A122)</f>
        <v>0</v>
      </c>
      <c r="S122" s="8">
        <f>SUMIF('Raw Data'!$B$2:$B$417,A122,'Raw Data'!$L$2:$L$417)</f>
        <v>0.0</v>
      </c>
      <c r="T122" s="8">
        <f>S122-O122</f>
        <v>0.0</v>
      </c>
      <c r="U122" s="8">
        <f>S122-P122</f>
        <v>-104.0</v>
      </c>
      <c r="V122" s="8">
        <f>S122-Q122</f>
        <v>-139.0</v>
      </c>
      <c r="W122" s="2" t="str">
        <f>IF(R122=0,"Not Opened",IF(V122&gt;=0,"Recovered - All Scenarios",IF(U122&gt;=0,"Recovered - Low &amp; Base",IF(T122&gt;=0,"Recovered - Low Only","Not Recovered"))))</f>
        <v>Not Opened</v>
      </c>
      <c r="X122" s="2">
        <f>IF(R122=0,0,S122/R122)</f>
        <v>0</v>
      </c>
      <c r="Y122" s="2">
        <f>R122</f>
        <v>0</v>
      </c>
      <c r="Z122" s="2">
        <f>IF(R122=0,"",S122/R122)</f>
        <v/>
      </c>
      <c r="AA122" s="2" t="str">
        <f>IF(R122=0,"Not Opened",IF(R122&gt;=Assumptions!$B$3,"High Frequency","Low Frequency")&amp;" / "&amp;IF(X122&gt;=Assumptions!$B$4,"High Contribution","Low Contribution"))</f>
        <v>Not Opened</v>
      </c>
    </row>
    <row r="123" spans="1:27">
      <c r="A123" s="2" t="s">
        <v>134</v>
      </c>
      <c r="B123" s="2" t="s">
        <v>354</v>
      </c>
      <c r="C123" s="2" t="s">
        <v>214</v>
      </c>
      <c r="D123" s="2">
        <v>1</v>
      </c>
      <c r="E123" s="2">
        <v>6</v>
      </c>
      <c r="F123" s="2">
        <v>75</v>
      </c>
      <c r="G123" s="2">
        <f>E123*F123</f>
        <v>450</v>
      </c>
      <c r="H123" s="2">
        <v>118</v>
      </c>
      <c r="I123" s="2" t="s">
        <v>20</v>
      </c>
      <c r="J123" s="2">
        <f>G123-H123</f>
        <v>332</v>
      </c>
      <c r="K123" s="2">
        <v>7.7</v>
      </c>
      <c r="L123" s="2">
        <v>1500</v>
      </c>
      <c r="M123" s="2">
        <v>2000</v>
      </c>
      <c r="N123" s="2">
        <v>2500</v>
      </c>
      <c r="O123" s="2">
        <f>ROUND(L123/Assumptions!$B$2,0)</f>
        <v>208</v>
      </c>
      <c r="P123" s="2">
        <f>ROUND(M123/Assumptions!$B$2,0)</f>
        <v>278</v>
      </c>
      <c r="Q123" s="2">
        <f>ROUND(N123/Assumptions!$B$2,0)</f>
        <v>347</v>
      </c>
      <c r="R123" s="2">
        <f>COUNTIF('Raw Data'!$B$2:$B$417,A123)</f>
        <v>1</v>
      </c>
      <c r="S123" s="8">
        <f>SUMIF('Raw Data'!$B$2:$B$417,A123,'Raw Data'!$L$2:$L$417)</f>
        <v>332.0</v>
      </c>
      <c r="T123" s="8">
        <f>S123-O123</f>
        <v>124.0</v>
      </c>
      <c r="U123" s="8">
        <f>S123-P123</f>
        <v>54.0</v>
      </c>
      <c r="V123" s="8">
        <f>S123-Q123</f>
        <v>-15.0</v>
      </c>
      <c r="W123" s="2" t="str">
        <f>IF(R123=0,"Not Opened",IF(V123&gt;=0,"Recovered - All Scenarios",IF(U123&gt;=0,"Recovered - Low &amp; Base",IF(T123&gt;=0,"Recovered - Low Only","Not Recovered"))))</f>
        <v>Recovered - Low &amp; Base</v>
      </c>
      <c r="X123" s="8">
        <f>IF(R123=0,0,S123/R123)</f>
        <v>332.0</v>
      </c>
      <c r="Y123" s="2">
        <f>R123</f>
        <v>1</v>
      </c>
      <c r="Z123" s="8">
        <f>IF(R123=0,"",S123/R123)</f>
        <v>332.0</v>
      </c>
      <c r="AA123" s="2" t="str">
        <f>IF(R123=0,"Not Opened",IF(R123&gt;=Assumptions!$B$3,"High Frequency","Low Frequency")&amp;" / "&amp;IF(X123&gt;=Assumptions!$B$4,"High Contribution","Low Contribution"))</f>
        <v>Low Frequency / Low Contribution</v>
      </c>
    </row>
    <row r="124" spans="1:27">
      <c r="A124" s="2" t="s">
        <v>135</v>
      </c>
      <c r="B124" s="2" t="s">
        <v>355</v>
      </c>
      <c r="C124" s="2" t="s">
        <v>212</v>
      </c>
      <c r="D124" s="2">
        <v>3</v>
      </c>
      <c r="E124" s="2">
        <v>6</v>
      </c>
      <c r="F124" s="2">
        <v>118</v>
      </c>
      <c r="G124" s="2">
        <f>E124*F124</f>
        <v>708</v>
      </c>
      <c r="H124" s="2">
        <v>270</v>
      </c>
      <c r="I124" s="2" t="s">
        <v>22</v>
      </c>
      <c r="J124" s="2">
        <f>G124-H124</f>
        <v>438</v>
      </c>
      <c r="K124" s="2">
        <v>8.4</v>
      </c>
      <c r="L124" s="2">
        <v>0</v>
      </c>
      <c r="M124" s="2">
        <v>750</v>
      </c>
      <c r="N124" s="2">
        <v>1000</v>
      </c>
      <c r="O124" s="2">
        <f>ROUND(L124/Assumptions!$B$2,0)</f>
        <v>0</v>
      </c>
      <c r="P124" s="2">
        <f>ROUND(M124/Assumptions!$B$2,0)</f>
        <v>104</v>
      </c>
      <c r="Q124" s="2">
        <f>ROUND(N124/Assumptions!$B$2,0)</f>
        <v>139</v>
      </c>
      <c r="R124" s="2">
        <f>COUNTIF('Raw Data'!$B$2:$B$417,A124)</f>
        <v>3</v>
      </c>
      <c r="S124" s="8">
        <f>SUMIF('Raw Data'!$B$2:$B$417,A124,'Raw Data'!$L$2:$L$417)</f>
        <v>1314.0</v>
      </c>
      <c r="T124" s="8">
        <f>S124-O124</f>
        <v>1314.0</v>
      </c>
      <c r="U124" s="8">
        <f>S124-P124</f>
        <v>1210.0</v>
      </c>
      <c r="V124" s="8">
        <f>S124-Q124</f>
        <v>1175.0</v>
      </c>
      <c r="W124" s="2" t="str">
        <f>IF(R124=0,"Not Opened",IF(V124&gt;=0,"Recovered - All Scenarios",IF(U124&gt;=0,"Recovered - Low &amp; Base",IF(T124&gt;=0,"Recovered - Low Only","Not Recovered"))))</f>
        <v>Recovered - All Scenarios</v>
      </c>
      <c r="X124" s="8">
        <f>IF(R124=0,0,S124/R124)</f>
        <v>438.0</v>
      </c>
      <c r="Y124" s="2">
        <f>R124</f>
        <v>3</v>
      </c>
      <c r="Z124" s="8">
        <f>IF(R124=0,"",S124/R124)</f>
        <v>438.0</v>
      </c>
      <c r="AA124" s="2" t="str">
        <f>IF(R124=0,"Not Opened",IF(R124&gt;=Assumptions!$B$3,"High Frequency","Low Frequency")&amp;" / "&amp;IF(X124&gt;=Assumptions!$B$4,"High Contribution","Low Contribution"))</f>
        <v>High Frequency / Low Contribution</v>
      </c>
    </row>
    <row r="125" spans="1:27">
      <c r="A125" s="2" t="s">
        <v>356</v>
      </c>
      <c r="B125" s="2" t="s">
        <v>357</v>
      </c>
      <c r="C125" s="2" t="s">
        <v>218</v>
      </c>
      <c r="D125" s="2">
        <v>3</v>
      </c>
      <c r="E125" s="2">
        <v>7</v>
      </c>
      <c r="F125" s="2">
        <v>129</v>
      </c>
      <c r="G125" s="2">
        <f>E125*F125</f>
        <v>903</v>
      </c>
      <c r="H125" s="2">
        <v>237</v>
      </c>
      <c r="I125" s="2" t="s">
        <v>21</v>
      </c>
      <c r="J125" s="2">
        <f>G125-H125</f>
        <v>666</v>
      </c>
      <c r="K125" s="2">
        <v>7</v>
      </c>
      <c r="L125" s="2">
        <v>2500</v>
      </c>
      <c r="M125" s="2">
        <v>3000</v>
      </c>
      <c r="N125" s="2">
        <v>3500</v>
      </c>
      <c r="O125" s="2">
        <f>ROUND(L125/Assumptions!$B$2,0)</f>
        <v>347</v>
      </c>
      <c r="P125" s="2">
        <f>ROUND(M125/Assumptions!$B$2,0)</f>
        <v>417</v>
      </c>
      <c r="Q125" s="2">
        <f>ROUND(N125/Assumptions!$B$2,0)</f>
        <v>486</v>
      </c>
      <c r="R125" s="2">
        <f>COUNTIF('Raw Data'!$B$2:$B$417,A125)</f>
        <v>0</v>
      </c>
      <c r="S125" s="8">
        <f>SUMIF('Raw Data'!$B$2:$B$417,A125,'Raw Data'!$L$2:$L$417)</f>
        <v>0.0</v>
      </c>
      <c r="T125" s="8">
        <f>S125-O125</f>
        <v>-347.0</v>
      </c>
      <c r="U125" s="8">
        <f>S125-P125</f>
        <v>-417.0</v>
      </c>
      <c r="V125" s="8">
        <f>S125-Q125</f>
        <v>-486.0</v>
      </c>
      <c r="W125" s="2" t="str">
        <f>IF(R125=0,"Not Opened",IF(V125&gt;=0,"Recovered - All Scenarios",IF(U125&gt;=0,"Recovered - Low &amp; Base",IF(T125&gt;=0,"Recovered - Low Only","Not Recovered"))))</f>
        <v>Not Opened</v>
      </c>
      <c r="X125" s="2">
        <f>IF(R125=0,0,S125/R125)</f>
        <v>0</v>
      </c>
      <c r="Y125" s="2">
        <f>R125</f>
        <v>0</v>
      </c>
      <c r="Z125" s="2">
        <f>IF(R125=0,"",S125/R125)</f>
        <v/>
      </c>
      <c r="AA125" s="2" t="str">
        <f>IF(R125=0,"Not Opened",IF(R125&gt;=Assumptions!$B$3,"High Frequency","Low Frequency")&amp;" / "&amp;IF(X125&gt;=Assumptions!$B$4,"High Contribution","Low Contribution"))</f>
        <v>Not Opened</v>
      </c>
    </row>
    <row r="126" spans="1:27">
      <c r="A126" s="2" t="s">
        <v>136</v>
      </c>
      <c r="B126" s="2" t="s">
        <v>358</v>
      </c>
      <c r="C126" s="2" t="s">
        <v>214</v>
      </c>
      <c r="D126" s="2">
        <v>2</v>
      </c>
      <c r="E126" s="2">
        <v>8</v>
      </c>
      <c r="F126" s="2">
        <v>65</v>
      </c>
      <c r="G126" s="2">
        <f>E126*F126</f>
        <v>520</v>
      </c>
      <c r="H126" s="2">
        <v>137</v>
      </c>
      <c r="I126" s="2" t="s">
        <v>20</v>
      </c>
      <c r="J126" s="2">
        <f>G126-H126</f>
        <v>383</v>
      </c>
      <c r="K126" s="2">
        <v>7.7</v>
      </c>
      <c r="L126" s="2">
        <v>1500</v>
      </c>
      <c r="M126" s="2">
        <v>2000</v>
      </c>
      <c r="N126" s="2">
        <v>2500</v>
      </c>
      <c r="O126" s="2">
        <f>ROUND(L126/Assumptions!$B$2,0)</f>
        <v>208</v>
      </c>
      <c r="P126" s="2">
        <f>ROUND(M126/Assumptions!$B$2,0)</f>
        <v>278</v>
      </c>
      <c r="Q126" s="2">
        <f>ROUND(N126/Assumptions!$B$2,0)</f>
        <v>347</v>
      </c>
      <c r="R126" s="2">
        <f>COUNTIF('Raw Data'!$B$2:$B$417,A126)</f>
        <v>2</v>
      </c>
      <c r="S126" s="8">
        <f>SUMIF('Raw Data'!$B$2:$B$417,A126,'Raw Data'!$L$2:$L$417)</f>
        <v>766.0</v>
      </c>
      <c r="T126" s="8">
        <f>S126-O126</f>
        <v>558.0</v>
      </c>
      <c r="U126" s="8">
        <f>S126-P126</f>
        <v>488.0</v>
      </c>
      <c r="V126" s="8">
        <f>S126-Q126</f>
        <v>419.0</v>
      </c>
      <c r="W126" s="2" t="str">
        <f>IF(R126=0,"Not Opened",IF(V126&gt;=0,"Recovered - All Scenarios",IF(U126&gt;=0,"Recovered - Low &amp; Base",IF(T126&gt;=0,"Recovered - Low Only","Not Recovered"))))</f>
        <v>Recovered - All Scenarios</v>
      </c>
      <c r="X126" s="8">
        <f>IF(R126=0,0,S126/R126)</f>
        <v>383.0</v>
      </c>
      <c r="Y126" s="2">
        <f>R126</f>
        <v>2</v>
      </c>
      <c r="Z126" s="8">
        <f>IF(R126=0,"",S126/R126)</f>
        <v>383.0</v>
      </c>
      <c r="AA126" s="2" t="str">
        <f>IF(R126=0,"Not Opened",IF(R126&gt;=Assumptions!$B$3,"High Frequency","Low Frequency")&amp;" / "&amp;IF(X126&gt;=Assumptions!$B$4,"High Contribution","Low Contribution"))</f>
        <v>High Frequency / Low Contribution</v>
      </c>
    </row>
    <row r="127" spans="1:27">
      <c r="A127" s="2" t="s">
        <v>137</v>
      </c>
      <c r="B127" s="2" t="s">
        <v>359</v>
      </c>
      <c r="C127" s="2" t="s">
        <v>212</v>
      </c>
      <c r="D127" s="2">
        <v>2</v>
      </c>
      <c r="E127" s="2">
        <v>6</v>
      </c>
      <c r="F127" s="2">
        <v>109</v>
      </c>
      <c r="G127" s="2">
        <f>E127*F127</f>
        <v>654</v>
      </c>
      <c r="H127" s="2">
        <v>180</v>
      </c>
      <c r="I127" s="2" t="s">
        <v>22</v>
      </c>
      <c r="J127" s="2">
        <f>G127-H127</f>
        <v>474</v>
      </c>
      <c r="K127" s="2">
        <v>8.4</v>
      </c>
      <c r="L127" s="2">
        <v>0</v>
      </c>
      <c r="M127" s="2">
        <v>750</v>
      </c>
      <c r="N127" s="2">
        <v>1000</v>
      </c>
      <c r="O127" s="2">
        <f>ROUND(L127/Assumptions!$B$2,0)</f>
        <v>0</v>
      </c>
      <c r="P127" s="2">
        <f>ROUND(M127/Assumptions!$B$2,0)</f>
        <v>104</v>
      </c>
      <c r="Q127" s="2">
        <f>ROUND(N127/Assumptions!$B$2,0)</f>
        <v>139</v>
      </c>
      <c r="R127" s="2">
        <f>COUNTIF('Raw Data'!$B$2:$B$417,A127)</f>
        <v>4</v>
      </c>
      <c r="S127" s="8">
        <f>SUMIF('Raw Data'!$B$2:$B$417,A127,'Raw Data'!$L$2:$L$417)</f>
        <v>1896.0</v>
      </c>
      <c r="T127" s="8">
        <f>S127-O127</f>
        <v>1896.0</v>
      </c>
      <c r="U127" s="8">
        <f>S127-P127</f>
        <v>1792.0</v>
      </c>
      <c r="V127" s="8">
        <f>S127-Q127</f>
        <v>1757.0</v>
      </c>
      <c r="W127" s="2" t="str">
        <f>IF(R127=0,"Not Opened",IF(V127&gt;=0,"Recovered - All Scenarios",IF(U127&gt;=0,"Recovered - Low &amp; Base",IF(T127&gt;=0,"Recovered - Low Only","Not Recovered"))))</f>
        <v>Recovered - All Scenarios</v>
      </c>
      <c r="X127" s="8">
        <f>IF(R127=0,0,S127/R127)</f>
        <v>474.0</v>
      </c>
      <c r="Y127" s="2">
        <f>R127</f>
        <v>4</v>
      </c>
      <c r="Z127" s="8">
        <f>IF(R127=0,"",S127/R127)</f>
        <v>474.0</v>
      </c>
      <c r="AA127" s="2" t="str">
        <f>IF(R127=0,"Not Opened",IF(R127&gt;=Assumptions!$B$3,"High Frequency","Low Frequency")&amp;" / "&amp;IF(X127&gt;=Assumptions!$B$4,"High Contribution","Low Contribution"))</f>
        <v>High Frequency / Low Contribution</v>
      </c>
    </row>
    <row r="128" spans="1:27">
      <c r="A128" s="2" t="s">
        <v>360</v>
      </c>
      <c r="B128" s="2" t="s">
        <v>361</v>
      </c>
      <c r="C128" s="2" t="s">
        <v>223</v>
      </c>
      <c r="D128" s="2">
        <v>1</v>
      </c>
      <c r="E128" s="2">
        <v>6</v>
      </c>
      <c r="F128" s="2">
        <v>129</v>
      </c>
      <c r="G128" s="2">
        <f>E128*F128</f>
        <v>774</v>
      </c>
      <c r="H128" s="2">
        <v>203</v>
      </c>
      <c r="I128" s="2" t="s">
        <v>20</v>
      </c>
      <c r="J128" s="2">
        <f>G128-H128</f>
        <v>571</v>
      </c>
      <c r="K128" s="2">
        <v>7</v>
      </c>
      <c r="L128" s="2">
        <v>1500</v>
      </c>
      <c r="M128" s="2">
        <v>2000</v>
      </c>
      <c r="N128" s="2">
        <v>2500</v>
      </c>
      <c r="O128" s="2">
        <f>ROUND(L128/Assumptions!$B$2,0)</f>
        <v>208</v>
      </c>
      <c r="P128" s="2">
        <f>ROUND(M128/Assumptions!$B$2,0)</f>
        <v>278</v>
      </c>
      <c r="Q128" s="2">
        <f>ROUND(N128/Assumptions!$B$2,0)</f>
        <v>347</v>
      </c>
      <c r="R128" s="2">
        <f>COUNTIF('Raw Data'!$B$2:$B$417,A128)</f>
        <v>0</v>
      </c>
      <c r="S128" s="8">
        <f>SUMIF('Raw Data'!$B$2:$B$417,A128,'Raw Data'!$L$2:$L$417)</f>
        <v>0.0</v>
      </c>
      <c r="T128" s="8">
        <f>S128-O128</f>
        <v>-208.0</v>
      </c>
      <c r="U128" s="8">
        <f>S128-P128</f>
        <v>-278.0</v>
      </c>
      <c r="V128" s="8">
        <f>S128-Q128</f>
        <v>-347.0</v>
      </c>
      <c r="W128" s="2" t="str">
        <f>IF(R128=0,"Not Opened",IF(V128&gt;=0,"Recovered - All Scenarios",IF(U128&gt;=0,"Recovered - Low &amp; Base",IF(T128&gt;=0,"Recovered - Low Only","Not Recovered"))))</f>
        <v>Not Opened</v>
      </c>
      <c r="X128" s="2">
        <f>IF(R128=0,0,S128/R128)</f>
        <v>0</v>
      </c>
      <c r="Y128" s="2">
        <f>R128</f>
        <v>0</v>
      </c>
      <c r="Z128" s="2">
        <f>IF(R128=0,"",S128/R128)</f>
        <v/>
      </c>
      <c r="AA128" s="2" t="str">
        <f>IF(R128=0,"Not Opened",IF(R128&gt;=Assumptions!$B$3,"High Frequency","Low Frequency")&amp;" / "&amp;IF(X128&gt;=Assumptions!$B$4,"High Contribution","Low Contribution"))</f>
        <v>Not Opened</v>
      </c>
    </row>
    <row r="129" spans="1:27">
      <c r="A129" s="2" t="s">
        <v>138</v>
      </c>
      <c r="B129" s="2" t="s">
        <v>362</v>
      </c>
      <c r="C129" s="2" t="s">
        <v>214</v>
      </c>
      <c r="D129" s="2">
        <v>1</v>
      </c>
      <c r="E129" s="2">
        <v>6</v>
      </c>
      <c r="F129" s="2">
        <v>119</v>
      </c>
      <c r="G129" s="2">
        <f>E129*F129</f>
        <v>714</v>
      </c>
      <c r="H129" s="2">
        <v>187</v>
      </c>
      <c r="I129" s="2" t="s">
        <v>22</v>
      </c>
      <c r="J129" s="2">
        <f>G129-H129</f>
        <v>527</v>
      </c>
      <c r="K129" s="2">
        <v>7.7</v>
      </c>
      <c r="L129" s="2">
        <v>0</v>
      </c>
      <c r="M129" s="2">
        <v>750</v>
      </c>
      <c r="N129" s="2">
        <v>1000</v>
      </c>
      <c r="O129" s="2">
        <f>ROUND(L129/Assumptions!$B$2,0)</f>
        <v>0</v>
      </c>
      <c r="P129" s="2">
        <f>ROUND(M129/Assumptions!$B$2,0)</f>
        <v>104</v>
      </c>
      <c r="Q129" s="2">
        <f>ROUND(N129/Assumptions!$B$2,0)</f>
        <v>139</v>
      </c>
      <c r="R129" s="2">
        <f>COUNTIF('Raw Data'!$B$2:$B$417,A129)</f>
        <v>2</v>
      </c>
      <c r="S129" s="8">
        <f>SUMIF('Raw Data'!$B$2:$B$417,A129,'Raw Data'!$L$2:$L$417)</f>
        <v>1054.0</v>
      </c>
      <c r="T129" s="8">
        <f>S129-O129</f>
        <v>1054.0</v>
      </c>
      <c r="U129" s="8">
        <f>S129-P129</f>
        <v>950.0</v>
      </c>
      <c r="V129" s="8">
        <f>S129-Q129</f>
        <v>915.0</v>
      </c>
      <c r="W129" s="2" t="str">
        <f>IF(R129=0,"Not Opened",IF(V129&gt;=0,"Recovered - All Scenarios",IF(U129&gt;=0,"Recovered - Low &amp; Base",IF(T129&gt;=0,"Recovered - Low Only","Not Recovered"))))</f>
        <v>Recovered - All Scenarios</v>
      </c>
      <c r="X129" s="8">
        <f>IF(R129=0,0,S129/R129)</f>
        <v>527.0</v>
      </c>
      <c r="Y129" s="2">
        <f>R129</f>
        <v>2</v>
      </c>
      <c r="Z129" s="8">
        <f>IF(R129=0,"",S129/R129)</f>
        <v>527.0</v>
      </c>
      <c r="AA129" s="2" t="str">
        <f>IF(R129=0,"Not Opened",IF(R129&gt;=Assumptions!$B$3,"High Frequency","Low Frequency")&amp;" / "&amp;IF(X129&gt;=Assumptions!$B$4,"High Contribution","Low Contribution"))</f>
        <v>High Frequency / High Contribution</v>
      </c>
    </row>
    <row r="130" spans="1:27">
      <c r="A130" s="2" t="s">
        <v>139</v>
      </c>
      <c r="B130" s="2" t="s">
        <v>363</v>
      </c>
      <c r="C130" s="2" t="s">
        <v>218</v>
      </c>
      <c r="D130" s="2">
        <v>3</v>
      </c>
      <c r="E130" s="2">
        <v>7</v>
      </c>
      <c r="F130" s="2">
        <v>95</v>
      </c>
      <c r="G130" s="2">
        <f>E130*F130</f>
        <v>665</v>
      </c>
      <c r="H130" s="2">
        <v>175</v>
      </c>
      <c r="I130" s="2" t="s">
        <v>21</v>
      </c>
      <c r="J130" s="2">
        <f>G130-H130</f>
        <v>490</v>
      </c>
      <c r="K130" s="2">
        <v>8.4</v>
      </c>
      <c r="L130" s="2">
        <v>2500</v>
      </c>
      <c r="M130" s="2">
        <v>3000</v>
      </c>
      <c r="N130" s="2">
        <v>3500</v>
      </c>
      <c r="O130" s="2">
        <f>ROUND(L130/Assumptions!$B$2,0)</f>
        <v>347</v>
      </c>
      <c r="P130" s="2">
        <f>ROUND(M130/Assumptions!$B$2,0)</f>
        <v>417</v>
      </c>
      <c r="Q130" s="2">
        <f>ROUND(N130/Assumptions!$B$2,0)</f>
        <v>486</v>
      </c>
      <c r="R130" s="2">
        <f>COUNTIF('Raw Data'!$B$2:$B$417,A130)</f>
        <v>4</v>
      </c>
      <c r="S130" s="8">
        <f>SUMIF('Raw Data'!$B$2:$B$417,A130,'Raw Data'!$L$2:$L$417)</f>
        <v>1960.0</v>
      </c>
      <c r="T130" s="8">
        <f>S130-O130</f>
        <v>1613.0</v>
      </c>
      <c r="U130" s="8">
        <f>S130-P130</f>
        <v>1543.0</v>
      </c>
      <c r="V130" s="8">
        <f>S130-Q130</f>
        <v>1474.0</v>
      </c>
      <c r="W130" s="2" t="str">
        <f>IF(R130=0,"Not Opened",IF(V130&gt;=0,"Recovered - All Scenarios",IF(U130&gt;=0,"Recovered - Low &amp; Base",IF(T130&gt;=0,"Recovered - Low Only","Not Recovered"))))</f>
        <v>Recovered - All Scenarios</v>
      </c>
      <c r="X130" s="8">
        <f>IF(R130=0,0,S130/R130)</f>
        <v>490.0</v>
      </c>
      <c r="Y130" s="2">
        <f>R130</f>
        <v>4</v>
      </c>
      <c r="Z130" s="8">
        <f>IF(R130=0,"",S130/R130)</f>
        <v>490.0</v>
      </c>
      <c r="AA130" s="2" t="str">
        <f>IF(R130=0,"Not Opened",IF(R130&gt;=Assumptions!$B$3,"High Frequency","Low Frequency")&amp;" / "&amp;IF(X130&gt;=Assumptions!$B$4,"High Contribution","Low Contribution"))</f>
        <v>High Frequency / High Contribution</v>
      </c>
    </row>
    <row r="131" spans="1:27">
      <c r="A131" s="2" t="s">
        <v>140</v>
      </c>
      <c r="B131" s="2" t="s">
        <v>364</v>
      </c>
      <c r="C131" s="2" t="s">
        <v>212</v>
      </c>
      <c r="D131" s="2">
        <v>6</v>
      </c>
      <c r="E131" s="2">
        <v>8</v>
      </c>
      <c r="F131" s="2">
        <v>109</v>
      </c>
      <c r="G131" s="2">
        <f>E131*F131</f>
        <v>872</v>
      </c>
      <c r="H131" s="2">
        <v>540</v>
      </c>
      <c r="I131" s="2" t="s">
        <v>22</v>
      </c>
      <c r="J131" s="2">
        <f>G131-H131</f>
        <v>332</v>
      </c>
      <c r="K131" s="2">
        <v>7</v>
      </c>
      <c r="L131" s="2">
        <v>0</v>
      </c>
      <c r="M131" s="2">
        <v>750</v>
      </c>
      <c r="N131" s="2">
        <v>1000</v>
      </c>
      <c r="O131" s="2">
        <f>ROUND(L131/Assumptions!$B$2,0)</f>
        <v>0</v>
      </c>
      <c r="P131" s="2">
        <f>ROUND(M131/Assumptions!$B$2,0)</f>
        <v>104</v>
      </c>
      <c r="Q131" s="2">
        <f>ROUND(N131/Assumptions!$B$2,0)</f>
        <v>139</v>
      </c>
      <c r="R131" s="2">
        <f>COUNTIF('Raw Data'!$B$2:$B$417,A131)</f>
        <v>1</v>
      </c>
      <c r="S131" s="8">
        <f>SUMIF('Raw Data'!$B$2:$B$417,A131,'Raw Data'!$L$2:$L$417)</f>
        <v>332.0</v>
      </c>
      <c r="T131" s="8">
        <f>S131-O131</f>
        <v>332.0</v>
      </c>
      <c r="U131" s="8">
        <f>S131-P131</f>
        <v>228.0</v>
      </c>
      <c r="V131" s="8">
        <f>S131-Q131</f>
        <v>193.0</v>
      </c>
      <c r="W131" s="2" t="str">
        <f>IF(R131=0,"Not Opened",IF(V131&gt;=0,"Recovered - All Scenarios",IF(U131&gt;=0,"Recovered - Low &amp; Base",IF(T131&gt;=0,"Recovered - Low Only","Not Recovered"))))</f>
        <v>Recovered - All Scenarios</v>
      </c>
      <c r="X131" s="8">
        <f>IF(R131=0,0,S131/R131)</f>
        <v>332.0</v>
      </c>
      <c r="Y131" s="2">
        <f>R131</f>
        <v>1</v>
      </c>
      <c r="Z131" s="8">
        <f>IF(R131=0,"",S131/R131)</f>
        <v>332.0</v>
      </c>
      <c r="AA131" s="2" t="str">
        <f>IF(R131=0,"Not Opened",IF(R131&gt;=Assumptions!$B$3,"High Frequency","Low Frequency")&amp;" / "&amp;IF(X131&gt;=Assumptions!$B$4,"High Contribution","Low Contribution"))</f>
        <v>Low Frequency / Low Contribution</v>
      </c>
    </row>
    <row r="132" spans="1:27">
      <c r="A132" s="2" t="s">
        <v>141</v>
      </c>
      <c r="B132" s="2" t="s">
        <v>365</v>
      </c>
      <c r="C132" s="2" t="s">
        <v>212</v>
      </c>
      <c r="D132" s="2">
        <v>2</v>
      </c>
      <c r="E132" s="2">
        <v>6</v>
      </c>
      <c r="F132" s="2">
        <v>118</v>
      </c>
      <c r="G132" s="2">
        <f>E132*F132</f>
        <v>708</v>
      </c>
      <c r="H132" s="2">
        <v>180</v>
      </c>
      <c r="I132" s="2" t="s">
        <v>22</v>
      </c>
      <c r="J132" s="2">
        <f>G132-H132</f>
        <v>528</v>
      </c>
      <c r="K132" s="2">
        <v>7.7</v>
      </c>
      <c r="L132" s="2">
        <v>0</v>
      </c>
      <c r="M132" s="2">
        <v>750</v>
      </c>
      <c r="N132" s="2">
        <v>1000</v>
      </c>
      <c r="O132" s="2">
        <f>ROUND(L132/Assumptions!$B$2,0)</f>
        <v>0</v>
      </c>
      <c r="P132" s="2">
        <f>ROUND(M132/Assumptions!$B$2,0)</f>
        <v>104</v>
      </c>
      <c r="Q132" s="2">
        <f>ROUND(N132/Assumptions!$B$2,0)</f>
        <v>139</v>
      </c>
      <c r="R132" s="2">
        <f>COUNTIF('Raw Data'!$B$2:$B$417,A132)</f>
        <v>2</v>
      </c>
      <c r="S132" s="8">
        <f>SUMIF('Raw Data'!$B$2:$B$417,A132,'Raw Data'!$L$2:$L$417)</f>
        <v>1056.0</v>
      </c>
      <c r="T132" s="8">
        <f>S132-O132</f>
        <v>1056.0</v>
      </c>
      <c r="U132" s="8">
        <f>S132-P132</f>
        <v>952.0</v>
      </c>
      <c r="V132" s="8">
        <f>S132-Q132</f>
        <v>917.0</v>
      </c>
      <c r="W132" s="2" t="str">
        <f>IF(R132=0,"Not Opened",IF(V132&gt;=0,"Recovered - All Scenarios",IF(U132&gt;=0,"Recovered - Low &amp; Base",IF(T132&gt;=0,"Recovered - Low Only","Not Recovered"))))</f>
        <v>Recovered - All Scenarios</v>
      </c>
      <c r="X132" s="8">
        <f>IF(R132=0,0,S132/R132)</f>
        <v>528.0</v>
      </c>
      <c r="Y132" s="2">
        <f>R132</f>
        <v>2</v>
      </c>
      <c r="Z132" s="8">
        <f>IF(R132=0,"",S132/R132)</f>
        <v>528.0</v>
      </c>
      <c r="AA132" s="2" t="str">
        <f>IF(R132=0,"Not Opened",IF(R132&gt;=Assumptions!$B$3,"High Frequency","Low Frequency")&amp;" / "&amp;IF(X132&gt;=Assumptions!$B$4,"High Contribution","Low Contribution"))</f>
        <v>High Frequency / High Contribution</v>
      </c>
    </row>
    <row r="133" spans="1:27">
      <c r="A133" s="2" t="s">
        <v>142</v>
      </c>
      <c r="B133" s="2" t="s">
        <v>366</v>
      </c>
      <c r="C133" s="2" t="s">
        <v>214</v>
      </c>
      <c r="D133" s="2">
        <v>1</v>
      </c>
      <c r="E133" s="2">
        <v>6</v>
      </c>
      <c r="F133" s="2">
        <v>119</v>
      </c>
      <c r="G133" s="2">
        <f>E133*F133</f>
        <v>714</v>
      </c>
      <c r="H133" s="2">
        <v>187</v>
      </c>
      <c r="I133" s="2" t="s">
        <v>20</v>
      </c>
      <c r="J133" s="2">
        <f>G133-H133</f>
        <v>527</v>
      </c>
      <c r="K133" s="2">
        <v>8.4</v>
      </c>
      <c r="L133" s="2">
        <v>1500</v>
      </c>
      <c r="M133" s="2">
        <v>2000</v>
      </c>
      <c r="N133" s="2">
        <v>2500</v>
      </c>
      <c r="O133" s="2">
        <f>ROUND(L133/Assumptions!$B$2,0)</f>
        <v>208</v>
      </c>
      <c r="P133" s="2">
        <f>ROUND(M133/Assumptions!$B$2,0)</f>
        <v>278</v>
      </c>
      <c r="Q133" s="2">
        <f>ROUND(N133/Assumptions!$B$2,0)</f>
        <v>347</v>
      </c>
      <c r="R133" s="2">
        <f>COUNTIF('Raw Data'!$B$2:$B$417,A133)</f>
        <v>5</v>
      </c>
      <c r="S133" s="8">
        <f>SUMIF('Raw Data'!$B$2:$B$417,A133,'Raw Data'!$L$2:$L$417)</f>
        <v>2635.0</v>
      </c>
      <c r="T133" s="8">
        <f>S133-O133</f>
        <v>2427.0</v>
      </c>
      <c r="U133" s="8">
        <f>S133-P133</f>
        <v>2357.0</v>
      </c>
      <c r="V133" s="8">
        <f>S133-Q133</f>
        <v>2288.0</v>
      </c>
      <c r="W133" s="2" t="str">
        <f>IF(R133=0,"Not Opened",IF(V133&gt;=0,"Recovered - All Scenarios",IF(U133&gt;=0,"Recovered - Low &amp; Base",IF(T133&gt;=0,"Recovered - Low Only","Not Recovered"))))</f>
        <v>Recovered - All Scenarios</v>
      </c>
      <c r="X133" s="8">
        <f>IF(R133=0,0,S133/R133)</f>
        <v>527.0</v>
      </c>
      <c r="Y133" s="2">
        <f>R133</f>
        <v>5</v>
      </c>
      <c r="Z133" s="8">
        <f>IF(R133=0,"",S133/R133)</f>
        <v>527.0</v>
      </c>
      <c r="AA133" s="2" t="str">
        <f>IF(R133=0,"Not Opened",IF(R133&gt;=Assumptions!$B$3,"High Frequency","Low Frequency")&amp;" / "&amp;IF(X133&gt;=Assumptions!$B$4,"High Contribution","Low Contribution"))</f>
        <v>High Frequency / High Contribution</v>
      </c>
    </row>
    <row r="134" spans="1:27">
      <c r="A134" s="2" t="s">
        <v>143</v>
      </c>
      <c r="B134" s="2" t="s">
        <v>367</v>
      </c>
      <c r="C134" s="2" t="s">
        <v>212</v>
      </c>
      <c r="D134" s="2">
        <v>3</v>
      </c>
      <c r="E134" s="2">
        <v>6</v>
      </c>
      <c r="F134" s="2">
        <v>99</v>
      </c>
      <c r="G134" s="2">
        <f>E134*F134</f>
        <v>594</v>
      </c>
      <c r="H134" s="2">
        <v>270</v>
      </c>
      <c r="I134" s="2" t="s">
        <v>22</v>
      </c>
      <c r="J134" s="2">
        <f>G134-H134</f>
        <v>324</v>
      </c>
      <c r="K134" s="2">
        <v>7</v>
      </c>
      <c r="L134" s="2">
        <v>0</v>
      </c>
      <c r="M134" s="2">
        <v>750</v>
      </c>
      <c r="N134" s="2">
        <v>1000</v>
      </c>
      <c r="O134" s="2">
        <f>ROUND(L134/Assumptions!$B$2,0)</f>
        <v>0</v>
      </c>
      <c r="P134" s="2">
        <f>ROUND(M134/Assumptions!$B$2,0)</f>
        <v>104</v>
      </c>
      <c r="Q134" s="2">
        <f>ROUND(N134/Assumptions!$B$2,0)</f>
        <v>139</v>
      </c>
      <c r="R134" s="2">
        <f>COUNTIF('Raw Data'!$B$2:$B$417,A134)</f>
        <v>1</v>
      </c>
      <c r="S134" s="8">
        <f>SUMIF('Raw Data'!$B$2:$B$417,A134,'Raw Data'!$L$2:$L$417)</f>
        <v>324.0</v>
      </c>
      <c r="T134" s="8">
        <f>S134-O134</f>
        <v>324.0</v>
      </c>
      <c r="U134" s="8">
        <f>S134-P134</f>
        <v>220.0</v>
      </c>
      <c r="V134" s="8">
        <f>S134-Q134</f>
        <v>185.0</v>
      </c>
      <c r="W134" s="2" t="str">
        <f>IF(R134=0,"Not Opened",IF(V134&gt;=0,"Recovered - All Scenarios",IF(U134&gt;=0,"Recovered - Low &amp; Base",IF(T134&gt;=0,"Recovered - Low Only","Not Recovered"))))</f>
        <v>Recovered - All Scenarios</v>
      </c>
      <c r="X134" s="8">
        <f>IF(R134=0,0,S134/R134)</f>
        <v>324.0</v>
      </c>
      <c r="Y134" s="2">
        <f>R134</f>
        <v>1</v>
      </c>
      <c r="Z134" s="8">
        <f>IF(R134=0,"",S134/R134)</f>
        <v>324.0</v>
      </c>
      <c r="AA134" s="2" t="str">
        <f>IF(R134=0,"Not Opened",IF(R134&gt;=Assumptions!$B$3,"High Frequency","Low Frequency")&amp;" / "&amp;IF(X134&gt;=Assumptions!$B$4,"High Contribution","Low Contribution"))</f>
        <v>Low Frequency / Low Contribution</v>
      </c>
    </row>
    <row r="135" spans="1:27">
      <c r="A135" s="2" t="s">
        <v>144</v>
      </c>
      <c r="B135" s="2" t="s">
        <v>368</v>
      </c>
      <c r="C135" s="2" t="s">
        <v>218</v>
      </c>
      <c r="D135" s="2">
        <v>3</v>
      </c>
      <c r="E135" s="2">
        <v>7</v>
      </c>
      <c r="F135" s="2">
        <v>109</v>
      </c>
      <c r="G135" s="2">
        <f>E135*F135</f>
        <v>763</v>
      </c>
      <c r="H135" s="2">
        <v>200</v>
      </c>
      <c r="I135" s="2" t="s">
        <v>21</v>
      </c>
      <c r="J135" s="2">
        <f>G135-H135</f>
        <v>563</v>
      </c>
      <c r="K135" s="2">
        <v>7.7</v>
      </c>
      <c r="L135" s="2">
        <v>2500</v>
      </c>
      <c r="M135" s="2">
        <v>3000</v>
      </c>
      <c r="N135" s="2">
        <v>3500</v>
      </c>
      <c r="O135" s="2">
        <f>ROUND(L135/Assumptions!$B$2,0)</f>
        <v>347</v>
      </c>
      <c r="P135" s="2">
        <f>ROUND(M135/Assumptions!$B$2,0)</f>
        <v>417</v>
      </c>
      <c r="Q135" s="2">
        <f>ROUND(N135/Assumptions!$B$2,0)</f>
        <v>486</v>
      </c>
      <c r="R135" s="2">
        <f>COUNTIF('Raw Data'!$B$2:$B$417,A135)</f>
        <v>2</v>
      </c>
      <c r="S135" s="8">
        <f>SUMIF('Raw Data'!$B$2:$B$417,A135,'Raw Data'!$L$2:$L$417)</f>
        <v>1126.0</v>
      </c>
      <c r="T135" s="8">
        <f>S135-O135</f>
        <v>779.0</v>
      </c>
      <c r="U135" s="8">
        <f>S135-P135</f>
        <v>709.0</v>
      </c>
      <c r="V135" s="8">
        <f>S135-Q135</f>
        <v>640.0</v>
      </c>
      <c r="W135" s="2" t="str">
        <f>IF(R135=0,"Not Opened",IF(V135&gt;=0,"Recovered - All Scenarios",IF(U135&gt;=0,"Recovered - Low &amp; Base",IF(T135&gt;=0,"Recovered - Low Only","Not Recovered"))))</f>
        <v>Recovered - All Scenarios</v>
      </c>
      <c r="X135" s="8">
        <f>IF(R135=0,0,S135/R135)</f>
        <v>563.0</v>
      </c>
      <c r="Y135" s="2">
        <f>R135</f>
        <v>2</v>
      </c>
      <c r="Z135" s="8">
        <f>IF(R135=0,"",S135/R135)</f>
        <v>563.0</v>
      </c>
      <c r="AA135" s="2" t="str">
        <f>IF(R135=0,"Not Opened",IF(R135&gt;=Assumptions!$B$3,"High Frequency","Low Frequency")&amp;" / "&amp;IF(X135&gt;=Assumptions!$B$4,"High Contribution","Low Contribution"))</f>
        <v>High Frequency / High Contribution</v>
      </c>
    </row>
    <row r="136" spans="1:27">
      <c r="A136" s="2" t="s">
        <v>145</v>
      </c>
      <c r="B136" s="2" t="s">
        <v>369</v>
      </c>
      <c r="C136" s="2" t="s">
        <v>214</v>
      </c>
      <c r="D136" s="2">
        <v>2</v>
      </c>
      <c r="E136" s="2">
        <v>8</v>
      </c>
      <c r="F136" s="2">
        <v>95</v>
      </c>
      <c r="G136" s="2">
        <f>E136*F136</f>
        <v>760</v>
      </c>
      <c r="H136" s="2">
        <v>200</v>
      </c>
      <c r="I136" s="2" t="s">
        <v>20</v>
      </c>
      <c r="J136" s="2">
        <f>G136-H136</f>
        <v>560</v>
      </c>
      <c r="K136" s="2">
        <v>8.4</v>
      </c>
      <c r="L136" s="2">
        <v>1500</v>
      </c>
      <c r="M136" s="2">
        <v>2000</v>
      </c>
      <c r="N136" s="2">
        <v>2500</v>
      </c>
      <c r="O136" s="2">
        <f>ROUND(L136/Assumptions!$B$2,0)</f>
        <v>208</v>
      </c>
      <c r="P136" s="2">
        <f>ROUND(M136/Assumptions!$B$2,0)</f>
        <v>278</v>
      </c>
      <c r="Q136" s="2">
        <f>ROUND(N136/Assumptions!$B$2,0)</f>
        <v>347</v>
      </c>
      <c r="R136" s="2">
        <f>COUNTIF('Raw Data'!$B$2:$B$417,A136)</f>
        <v>7</v>
      </c>
      <c r="S136" s="8">
        <f>SUMIF('Raw Data'!$B$2:$B$417,A136,'Raw Data'!$L$2:$L$417)</f>
        <v>3920.0</v>
      </c>
      <c r="T136" s="8">
        <f>S136-O136</f>
        <v>3712.0</v>
      </c>
      <c r="U136" s="8">
        <f>S136-P136</f>
        <v>3642.0</v>
      </c>
      <c r="V136" s="8">
        <f>S136-Q136</f>
        <v>3573.0</v>
      </c>
      <c r="W136" s="2" t="str">
        <f>IF(R136=0,"Not Opened",IF(V136&gt;=0,"Recovered - All Scenarios",IF(U136&gt;=0,"Recovered - Low &amp; Base",IF(T136&gt;=0,"Recovered - Low Only","Not Recovered"))))</f>
        <v>Recovered - All Scenarios</v>
      </c>
      <c r="X136" s="8">
        <f>IF(R136=0,0,S136/R136)</f>
        <v>560.0</v>
      </c>
      <c r="Y136" s="2">
        <f>R136</f>
        <v>7</v>
      </c>
      <c r="Z136" s="8">
        <f>IF(R136=0,"",S136/R136)</f>
        <v>560.0</v>
      </c>
      <c r="AA136" s="2" t="str">
        <f>IF(R136=0,"Not Opened",IF(R136&gt;=Assumptions!$B$3,"High Frequency","Low Frequency")&amp;" / "&amp;IF(X136&gt;=Assumptions!$B$4,"High Contribution","Low Contribution"))</f>
        <v>High Frequency / High Contribution</v>
      </c>
    </row>
    <row r="137" spans="1:27">
      <c r="A137" s="2" t="s">
        <v>146</v>
      </c>
      <c r="B137" s="2" t="s">
        <v>370</v>
      </c>
      <c r="C137" s="2" t="s">
        <v>212</v>
      </c>
      <c r="D137" s="2">
        <v>2</v>
      </c>
      <c r="E137" s="2">
        <v>6</v>
      </c>
      <c r="F137" s="2">
        <v>138</v>
      </c>
      <c r="G137" s="2">
        <f>E137*F137</f>
        <v>828</v>
      </c>
      <c r="H137" s="2">
        <v>180</v>
      </c>
      <c r="I137" s="2" t="s">
        <v>22</v>
      </c>
      <c r="J137" s="2">
        <f>G137-H137</f>
        <v>648</v>
      </c>
      <c r="K137" s="2">
        <v>7</v>
      </c>
      <c r="L137" s="2">
        <v>0</v>
      </c>
      <c r="M137" s="2">
        <v>750</v>
      </c>
      <c r="N137" s="2">
        <v>1000</v>
      </c>
      <c r="O137" s="2">
        <f>ROUND(L137/Assumptions!$B$2,0)</f>
        <v>0</v>
      </c>
      <c r="P137" s="2">
        <f>ROUND(M137/Assumptions!$B$2,0)</f>
        <v>104</v>
      </c>
      <c r="Q137" s="2">
        <f>ROUND(N137/Assumptions!$B$2,0)</f>
        <v>139</v>
      </c>
      <c r="R137" s="2">
        <f>COUNTIF('Raw Data'!$B$2:$B$417,A137)</f>
        <v>1</v>
      </c>
      <c r="S137" s="8">
        <f>SUMIF('Raw Data'!$B$2:$B$417,A137,'Raw Data'!$L$2:$L$417)</f>
        <v>648.0</v>
      </c>
      <c r="T137" s="8">
        <f>S137-O137</f>
        <v>648.0</v>
      </c>
      <c r="U137" s="8">
        <f>S137-P137</f>
        <v>544.0</v>
      </c>
      <c r="V137" s="8">
        <f>S137-Q137</f>
        <v>509.0</v>
      </c>
      <c r="W137" s="2" t="str">
        <f>IF(R137=0,"Not Opened",IF(V137&gt;=0,"Recovered - All Scenarios",IF(U137&gt;=0,"Recovered - Low &amp; Base",IF(T137&gt;=0,"Recovered - Low Only","Not Recovered"))))</f>
        <v>Recovered - All Scenarios</v>
      </c>
      <c r="X137" s="8">
        <f>IF(R137=0,0,S137/R137)</f>
        <v>648.0</v>
      </c>
      <c r="Y137" s="2">
        <f>R137</f>
        <v>1</v>
      </c>
      <c r="Z137" s="8">
        <f>IF(R137=0,"",S137/R137)</f>
        <v>648.0</v>
      </c>
      <c r="AA137" s="2" t="str">
        <f>IF(R137=0,"Not Opened",IF(R137&gt;=Assumptions!$B$3,"High Frequency","Low Frequency")&amp;" / "&amp;IF(X137&gt;=Assumptions!$B$4,"High Contribution","Low Contribution"))</f>
        <v>Low Frequency / High Contribution</v>
      </c>
    </row>
    <row r="138" spans="1:27">
      <c r="A138" s="2" t="s">
        <v>147</v>
      </c>
      <c r="B138" s="2" t="s">
        <v>371</v>
      </c>
      <c r="C138" s="2" t="s">
        <v>223</v>
      </c>
      <c r="D138" s="2">
        <v>1</v>
      </c>
      <c r="E138" s="2">
        <v>6</v>
      </c>
      <c r="F138" s="2">
        <v>109</v>
      </c>
      <c r="G138" s="2">
        <f>E138*F138</f>
        <v>654</v>
      </c>
      <c r="H138" s="2">
        <v>172</v>
      </c>
      <c r="I138" s="2" t="s">
        <v>20</v>
      </c>
      <c r="J138" s="2">
        <f>G138-H138</f>
        <v>482</v>
      </c>
      <c r="K138" s="2">
        <v>7.7</v>
      </c>
      <c r="L138" s="2">
        <v>1500</v>
      </c>
      <c r="M138" s="2">
        <v>2000</v>
      </c>
      <c r="N138" s="2">
        <v>2500</v>
      </c>
      <c r="O138" s="2">
        <f>ROUND(L138/Assumptions!$B$2,0)</f>
        <v>208</v>
      </c>
      <c r="P138" s="2">
        <f>ROUND(M138/Assumptions!$B$2,0)</f>
        <v>278</v>
      </c>
      <c r="Q138" s="2">
        <f>ROUND(N138/Assumptions!$B$2,0)</f>
        <v>347</v>
      </c>
      <c r="R138" s="2">
        <f>COUNTIF('Raw Data'!$B$2:$B$417,A138)</f>
        <v>3</v>
      </c>
      <c r="S138" s="8">
        <f>SUMIF('Raw Data'!$B$2:$B$417,A138,'Raw Data'!$L$2:$L$417)</f>
        <v>1446.0</v>
      </c>
      <c r="T138" s="8">
        <f>S138-O138</f>
        <v>1238.0</v>
      </c>
      <c r="U138" s="8">
        <f>S138-P138</f>
        <v>1168.0</v>
      </c>
      <c r="V138" s="8">
        <f>S138-Q138</f>
        <v>1099.0</v>
      </c>
      <c r="W138" s="2" t="str">
        <f>IF(R138=0,"Not Opened",IF(V138&gt;=0,"Recovered - All Scenarios",IF(U138&gt;=0,"Recovered - Low &amp; Base",IF(T138&gt;=0,"Recovered - Low Only","Not Recovered"))))</f>
        <v>Recovered - All Scenarios</v>
      </c>
      <c r="X138" s="8">
        <f>IF(R138=0,0,S138/R138)</f>
        <v>482.0</v>
      </c>
      <c r="Y138" s="2">
        <f>R138</f>
        <v>3</v>
      </c>
      <c r="Z138" s="8">
        <f>IF(R138=0,"",S138/R138)</f>
        <v>482.0</v>
      </c>
      <c r="AA138" s="2" t="str">
        <f>IF(R138=0,"Not Opened",IF(R138&gt;=Assumptions!$B$3,"High Frequency","Low Frequency")&amp;" / "&amp;IF(X138&gt;=Assumptions!$B$4,"High Contribution","Low Contribution"))</f>
        <v>High Frequency / Low Contribution</v>
      </c>
    </row>
    <row r="139" spans="1:27">
      <c r="A139" s="2" t="s">
        <v>148</v>
      </c>
      <c r="B139" s="2" t="s">
        <v>372</v>
      </c>
      <c r="C139" s="2" t="s">
        <v>214</v>
      </c>
      <c r="D139" s="2">
        <v>1</v>
      </c>
      <c r="E139" s="2">
        <v>6</v>
      </c>
      <c r="F139" s="2">
        <v>75</v>
      </c>
      <c r="G139" s="2">
        <f>E139*F139</f>
        <v>450</v>
      </c>
      <c r="H139" s="2">
        <v>118</v>
      </c>
      <c r="I139" s="2" t="s">
        <v>22</v>
      </c>
      <c r="J139" s="2">
        <f>G139-H139</f>
        <v>332</v>
      </c>
      <c r="K139" s="2">
        <v>8.4</v>
      </c>
      <c r="L139" s="2">
        <v>0</v>
      </c>
      <c r="M139" s="2">
        <v>750</v>
      </c>
      <c r="N139" s="2">
        <v>1000</v>
      </c>
      <c r="O139" s="2">
        <f>ROUND(L139/Assumptions!$B$2,0)</f>
        <v>0</v>
      </c>
      <c r="P139" s="2">
        <f>ROUND(M139/Assumptions!$B$2,0)</f>
        <v>104</v>
      </c>
      <c r="Q139" s="2">
        <f>ROUND(N139/Assumptions!$B$2,0)</f>
        <v>139</v>
      </c>
      <c r="R139" s="2">
        <f>COUNTIF('Raw Data'!$B$2:$B$417,A139)</f>
        <v>10</v>
      </c>
      <c r="S139" s="8">
        <f>SUMIF('Raw Data'!$B$2:$B$417,A139,'Raw Data'!$L$2:$L$417)</f>
        <v>3320.0</v>
      </c>
      <c r="T139" s="8">
        <f>S139-O139</f>
        <v>3320.0</v>
      </c>
      <c r="U139" s="8">
        <f>S139-P139</f>
        <v>3216.0</v>
      </c>
      <c r="V139" s="8">
        <f>S139-Q139</f>
        <v>3181.0</v>
      </c>
      <c r="W139" s="2" t="str">
        <f>IF(R139=0,"Not Opened",IF(V139&gt;=0,"Recovered - All Scenarios",IF(U139&gt;=0,"Recovered - Low &amp; Base",IF(T139&gt;=0,"Recovered - Low Only","Not Recovered"))))</f>
        <v>Recovered - All Scenarios</v>
      </c>
      <c r="X139" s="8">
        <f>IF(R139=0,0,S139/R139)</f>
        <v>332.0</v>
      </c>
      <c r="Y139" s="2">
        <f>R139</f>
        <v>10</v>
      </c>
      <c r="Z139" s="8">
        <f>IF(R139=0,"",S139/R139)</f>
        <v>332.0</v>
      </c>
      <c r="AA139" s="2" t="str">
        <f>IF(R139=0,"Not Opened",IF(R139&gt;=Assumptions!$B$3,"High Frequency","Low Frequency")&amp;" / "&amp;IF(X139&gt;=Assumptions!$B$4,"High Contribution","Low Contribution"))</f>
        <v>High Frequency / Low Contribution</v>
      </c>
    </row>
    <row r="140" spans="1:27">
      <c r="A140" s="2" t="s">
        <v>149</v>
      </c>
      <c r="B140" s="2" t="s">
        <v>373</v>
      </c>
      <c r="C140" s="2" t="s">
        <v>218</v>
      </c>
      <c r="D140" s="2">
        <v>3</v>
      </c>
      <c r="E140" s="2">
        <v>7</v>
      </c>
      <c r="F140" s="2">
        <v>118</v>
      </c>
      <c r="G140" s="2">
        <f>E140*F140</f>
        <v>826</v>
      </c>
      <c r="H140" s="2">
        <v>217</v>
      </c>
      <c r="I140" s="2" t="s">
        <v>21</v>
      </c>
      <c r="J140" s="2">
        <f>G140-H140</f>
        <v>609</v>
      </c>
      <c r="K140" s="2">
        <v>7</v>
      </c>
      <c r="L140" s="2">
        <v>2500</v>
      </c>
      <c r="M140" s="2">
        <v>3000</v>
      </c>
      <c r="N140" s="2">
        <v>3500</v>
      </c>
      <c r="O140" s="2">
        <f>ROUND(L140/Assumptions!$B$2,0)</f>
        <v>347</v>
      </c>
      <c r="P140" s="2">
        <f>ROUND(M140/Assumptions!$B$2,0)</f>
        <v>417</v>
      </c>
      <c r="Q140" s="2">
        <f>ROUND(N140/Assumptions!$B$2,0)</f>
        <v>486</v>
      </c>
      <c r="R140" s="2">
        <f>COUNTIF('Raw Data'!$B$2:$B$417,A140)</f>
        <v>1</v>
      </c>
      <c r="S140" s="8">
        <f>SUMIF('Raw Data'!$B$2:$B$417,A140,'Raw Data'!$L$2:$L$417)</f>
        <v>609.0</v>
      </c>
      <c r="T140" s="8">
        <f>S140-O140</f>
        <v>262.0</v>
      </c>
      <c r="U140" s="8">
        <f>S140-P140</f>
        <v>192.0</v>
      </c>
      <c r="V140" s="8">
        <f>S140-Q140</f>
        <v>123.0</v>
      </c>
      <c r="W140" s="2" t="str">
        <f>IF(R140=0,"Not Opened",IF(V140&gt;=0,"Recovered - All Scenarios",IF(U140&gt;=0,"Recovered - Low &amp; Base",IF(T140&gt;=0,"Recovered - Low Only","Not Recovered"))))</f>
        <v>Recovered - All Scenarios</v>
      </c>
      <c r="X140" s="8">
        <f>IF(R140=0,0,S140/R140)</f>
        <v>609.0</v>
      </c>
      <c r="Y140" s="2">
        <f>R140</f>
        <v>1</v>
      </c>
      <c r="Z140" s="8">
        <f>IF(R140=0,"",S140/R140)</f>
        <v>609.0</v>
      </c>
      <c r="AA140" s="2" t="str">
        <f>IF(R140=0,"Not Opened",IF(R140&gt;=Assumptions!$B$3,"High Frequency","Low Frequency")&amp;" / "&amp;IF(X140&gt;=Assumptions!$B$4,"High Contribution","Low Contribution"))</f>
        <v>Low Frequency / High Contribution</v>
      </c>
    </row>
    <row r="141" spans="1:27">
      <c r="A141" s="2" t="s">
        <v>150</v>
      </c>
      <c r="B141" s="2" t="s">
        <v>374</v>
      </c>
      <c r="C141" s="2" t="s">
        <v>212</v>
      </c>
      <c r="D141" s="2">
        <v>6</v>
      </c>
      <c r="E141" s="2">
        <v>8</v>
      </c>
      <c r="F141" s="2">
        <v>138</v>
      </c>
      <c r="G141" s="2">
        <f>E141*F141</f>
        <v>1104</v>
      </c>
      <c r="H141" s="2">
        <v>540</v>
      </c>
      <c r="I141" s="2" t="s">
        <v>22</v>
      </c>
      <c r="J141" s="2">
        <f>G141-H141</f>
        <v>564</v>
      </c>
      <c r="K141" s="2">
        <v>7.7</v>
      </c>
      <c r="L141" s="2">
        <v>0</v>
      </c>
      <c r="M141" s="2">
        <v>750</v>
      </c>
      <c r="N141" s="2">
        <v>1000</v>
      </c>
      <c r="O141" s="2">
        <f>ROUND(L141/Assumptions!$B$2,0)</f>
        <v>0</v>
      </c>
      <c r="P141" s="2">
        <f>ROUND(M141/Assumptions!$B$2,0)</f>
        <v>104</v>
      </c>
      <c r="Q141" s="2">
        <f>ROUND(N141/Assumptions!$B$2,0)</f>
        <v>139</v>
      </c>
      <c r="R141" s="2">
        <f>COUNTIF('Raw Data'!$B$2:$B$417,A141)</f>
        <v>3</v>
      </c>
      <c r="S141" s="8">
        <f>SUMIF('Raw Data'!$B$2:$B$417,A141,'Raw Data'!$L$2:$L$417)</f>
        <v>1692.0</v>
      </c>
      <c r="T141" s="8">
        <f>S141-O141</f>
        <v>1692.0</v>
      </c>
      <c r="U141" s="8">
        <f>S141-P141</f>
        <v>1588.0</v>
      </c>
      <c r="V141" s="8">
        <f>S141-Q141</f>
        <v>1553.0</v>
      </c>
      <c r="W141" s="2" t="str">
        <f>IF(R141=0,"Not Opened",IF(V141&gt;=0,"Recovered - All Scenarios",IF(U141&gt;=0,"Recovered - Low &amp; Base",IF(T141&gt;=0,"Recovered - Low Only","Not Recovered"))))</f>
        <v>Recovered - All Scenarios</v>
      </c>
      <c r="X141" s="8">
        <f>IF(R141=0,0,S141/R141)</f>
        <v>564.0</v>
      </c>
      <c r="Y141" s="2">
        <f>R141</f>
        <v>3</v>
      </c>
      <c r="Z141" s="8">
        <f>IF(R141=0,"",S141/R141)</f>
        <v>564.0</v>
      </c>
      <c r="AA141" s="2" t="str">
        <f>IF(R141=0,"Not Opened",IF(R141&gt;=Assumptions!$B$3,"High Frequency","Low Frequency")&amp;" / "&amp;IF(X141&gt;=Assumptions!$B$4,"High Contribution","Low Contribution"))</f>
        <v>High Frequency / High Contribution</v>
      </c>
    </row>
    <row r="142" spans="1:27">
      <c r="A142" s="2" t="s">
        <v>375</v>
      </c>
      <c r="B142" s="2" t="s">
        <v>376</v>
      </c>
      <c r="C142" s="2" t="s">
        <v>212</v>
      </c>
      <c r="D142" s="2">
        <v>2</v>
      </c>
      <c r="E142" s="2">
        <v>6</v>
      </c>
      <c r="F142" s="2">
        <v>99</v>
      </c>
      <c r="G142" s="2">
        <f>E142*F142</f>
        <v>594</v>
      </c>
      <c r="H142" s="2">
        <v>180</v>
      </c>
      <c r="I142" s="2" t="s">
        <v>22</v>
      </c>
      <c r="J142" s="2">
        <f>G142-H142</f>
        <v>414</v>
      </c>
      <c r="K142" s="2">
        <v>8.4</v>
      </c>
      <c r="L142" s="2">
        <v>0</v>
      </c>
      <c r="M142" s="2">
        <v>750</v>
      </c>
      <c r="N142" s="2">
        <v>1000</v>
      </c>
      <c r="O142" s="2">
        <f>ROUND(L142/Assumptions!$B$2,0)</f>
        <v>0</v>
      </c>
      <c r="P142" s="2">
        <f>ROUND(M142/Assumptions!$B$2,0)</f>
        <v>104</v>
      </c>
      <c r="Q142" s="2">
        <f>ROUND(N142/Assumptions!$B$2,0)</f>
        <v>139</v>
      </c>
      <c r="R142" s="2">
        <f>COUNTIF('Raw Data'!$B$2:$B$417,A142)</f>
        <v>0</v>
      </c>
      <c r="S142" s="8">
        <f>SUMIF('Raw Data'!$B$2:$B$417,A142,'Raw Data'!$L$2:$L$417)</f>
        <v>0.0</v>
      </c>
      <c r="T142" s="8">
        <f>S142-O142</f>
        <v>0.0</v>
      </c>
      <c r="U142" s="8">
        <f>S142-P142</f>
        <v>-104.0</v>
      </c>
      <c r="V142" s="8">
        <f>S142-Q142</f>
        <v>-139.0</v>
      </c>
      <c r="W142" s="2" t="str">
        <f>IF(R142=0,"Not Opened",IF(V142&gt;=0,"Recovered - All Scenarios",IF(U142&gt;=0,"Recovered - Low &amp; Base",IF(T142&gt;=0,"Recovered - Low Only","Not Recovered"))))</f>
        <v>Not Opened</v>
      </c>
      <c r="X142" s="2">
        <f>IF(R142=0,0,S142/R142)</f>
        <v>0</v>
      </c>
      <c r="Y142" s="2">
        <f>R142</f>
        <v>0</v>
      </c>
      <c r="Z142" s="2">
        <f>IF(R142=0,"",S142/R142)</f>
        <v/>
      </c>
      <c r="AA142" s="2" t="str">
        <f>IF(R142=0,"Not Opened",IF(R142&gt;=Assumptions!$B$3,"High Frequency","Low Frequency")&amp;" / "&amp;IF(X142&gt;=Assumptions!$B$4,"High Contribution","Low Contribution"))</f>
        <v>Not Opened</v>
      </c>
    </row>
    <row r="143" spans="1:27">
      <c r="A143" s="2" t="s">
        <v>151</v>
      </c>
      <c r="B143" s="2" t="s">
        <v>377</v>
      </c>
      <c r="C143" s="2" t="s">
        <v>214</v>
      </c>
      <c r="D143" s="2">
        <v>1</v>
      </c>
      <c r="E143" s="2">
        <v>6</v>
      </c>
      <c r="F143" s="2">
        <v>75</v>
      </c>
      <c r="G143" s="2">
        <f>E143*F143</f>
        <v>450</v>
      </c>
      <c r="H143" s="2">
        <v>118</v>
      </c>
      <c r="I143" s="2" t="s">
        <v>20</v>
      </c>
      <c r="J143" s="2">
        <f>G143-H143</f>
        <v>332</v>
      </c>
      <c r="K143" s="2">
        <v>7</v>
      </c>
      <c r="L143" s="2">
        <v>1500</v>
      </c>
      <c r="M143" s="2">
        <v>2000</v>
      </c>
      <c r="N143" s="2">
        <v>2500</v>
      </c>
      <c r="O143" s="2">
        <f>ROUND(L143/Assumptions!$B$2,0)</f>
        <v>208</v>
      </c>
      <c r="P143" s="2">
        <f>ROUND(M143/Assumptions!$B$2,0)</f>
        <v>278</v>
      </c>
      <c r="Q143" s="2">
        <f>ROUND(N143/Assumptions!$B$2,0)</f>
        <v>347</v>
      </c>
      <c r="R143" s="2">
        <f>COUNTIF('Raw Data'!$B$2:$B$417,A143)</f>
        <v>1</v>
      </c>
      <c r="S143" s="8">
        <f>SUMIF('Raw Data'!$B$2:$B$417,A143,'Raw Data'!$L$2:$L$417)</f>
        <v>332.0</v>
      </c>
      <c r="T143" s="8">
        <f>S143-O143</f>
        <v>124.0</v>
      </c>
      <c r="U143" s="8">
        <f>S143-P143</f>
        <v>54.0</v>
      </c>
      <c r="V143" s="8">
        <f>S143-Q143</f>
        <v>-15.0</v>
      </c>
      <c r="W143" s="2" t="str">
        <f>IF(R143=0,"Not Opened",IF(V143&gt;=0,"Recovered - All Scenarios",IF(U143&gt;=0,"Recovered - Low &amp; Base",IF(T143&gt;=0,"Recovered - Low Only","Not Recovered"))))</f>
        <v>Recovered - Low &amp; Base</v>
      </c>
      <c r="X143" s="8">
        <f>IF(R143=0,0,S143/R143)</f>
        <v>332.0</v>
      </c>
      <c r="Y143" s="2">
        <f>R143</f>
        <v>1</v>
      </c>
      <c r="Z143" s="8">
        <f>IF(R143=0,"",S143/R143)</f>
        <v>332.0</v>
      </c>
      <c r="AA143" s="2" t="str">
        <f>IF(R143=0,"Not Opened",IF(R143&gt;=Assumptions!$B$3,"High Frequency","Low Frequency")&amp;" / "&amp;IF(X143&gt;=Assumptions!$B$4,"High Contribution","Low Contribution"))</f>
        <v>Low Frequency / Low Contribution</v>
      </c>
    </row>
    <row r="144" spans="1:27">
      <c r="A144" s="2" t="s">
        <v>152</v>
      </c>
      <c r="B144" s="2" t="s">
        <v>378</v>
      </c>
      <c r="C144" s="2" t="s">
        <v>212</v>
      </c>
      <c r="D144" s="2">
        <v>3</v>
      </c>
      <c r="E144" s="2">
        <v>6</v>
      </c>
      <c r="F144" s="2">
        <v>118</v>
      </c>
      <c r="G144" s="2">
        <f>E144*F144</f>
        <v>708</v>
      </c>
      <c r="H144" s="2">
        <v>270</v>
      </c>
      <c r="I144" s="2" t="s">
        <v>22</v>
      </c>
      <c r="J144" s="2">
        <f>G144-H144</f>
        <v>438</v>
      </c>
      <c r="K144" s="2">
        <v>7.7</v>
      </c>
      <c r="L144" s="2">
        <v>0</v>
      </c>
      <c r="M144" s="2">
        <v>750</v>
      </c>
      <c r="N144" s="2">
        <v>1000</v>
      </c>
      <c r="O144" s="2">
        <f>ROUND(L144/Assumptions!$B$2,0)</f>
        <v>0</v>
      </c>
      <c r="P144" s="2">
        <f>ROUND(M144/Assumptions!$B$2,0)</f>
        <v>104</v>
      </c>
      <c r="Q144" s="2">
        <f>ROUND(N144/Assumptions!$B$2,0)</f>
        <v>139</v>
      </c>
      <c r="R144" s="2">
        <f>COUNTIF('Raw Data'!$B$2:$B$417,A144)</f>
        <v>3</v>
      </c>
      <c r="S144" s="8">
        <f>SUMIF('Raw Data'!$B$2:$B$417,A144,'Raw Data'!$L$2:$L$417)</f>
        <v>1314.0</v>
      </c>
      <c r="T144" s="8">
        <f>S144-O144</f>
        <v>1314.0</v>
      </c>
      <c r="U144" s="8">
        <f>S144-P144</f>
        <v>1210.0</v>
      </c>
      <c r="V144" s="8">
        <f>S144-Q144</f>
        <v>1175.0</v>
      </c>
      <c r="W144" s="2" t="str">
        <f>IF(R144=0,"Not Opened",IF(V144&gt;=0,"Recovered - All Scenarios",IF(U144&gt;=0,"Recovered - Low &amp; Base",IF(T144&gt;=0,"Recovered - Low Only","Not Recovered"))))</f>
        <v>Recovered - All Scenarios</v>
      </c>
      <c r="X144" s="8">
        <f>IF(R144=0,0,S144/R144)</f>
        <v>438.0</v>
      </c>
      <c r="Y144" s="2">
        <f>R144</f>
        <v>3</v>
      </c>
      <c r="Z144" s="8">
        <f>IF(R144=0,"",S144/R144)</f>
        <v>438.0</v>
      </c>
      <c r="AA144" s="2" t="str">
        <f>IF(R144=0,"Not Opened",IF(R144&gt;=Assumptions!$B$3,"High Frequency","Low Frequency")&amp;" / "&amp;IF(X144&gt;=Assumptions!$B$4,"High Contribution","Low Contribution"))</f>
        <v>High Frequency / Low Contribution</v>
      </c>
    </row>
    <row r="145" spans="1:27">
      <c r="A145" s="2" t="s">
        <v>379</v>
      </c>
      <c r="B145" s="2" t="s">
        <v>380</v>
      </c>
      <c r="C145" s="2" t="s">
        <v>218</v>
      </c>
      <c r="D145" s="2">
        <v>3</v>
      </c>
      <c r="E145" s="2">
        <v>7</v>
      </c>
      <c r="F145" s="2">
        <v>129</v>
      </c>
      <c r="G145" s="2">
        <f>E145*F145</f>
        <v>903</v>
      </c>
      <c r="H145" s="2">
        <v>237</v>
      </c>
      <c r="I145" s="2" t="s">
        <v>21</v>
      </c>
      <c r="J145" s="2">
        <f>G145-H145</f>
        <v>666</v>
      </c>
      <c r="K145" s="2">
        <v>8.4</v>
      </c>
      <c r="L145" s="2">
        <v>2500</v>
      </c>
      <c r="M145" s="2">
        <v>3000</v>
      </c>
      <c r="N145" s="2">
        <v>3500</v>
      </c>
      <c r="O145" s="2">
        <f>ROUND(L145/Assumptions!$B$2,0)</f>
        <v>347</v>
      </c>
      <c r="P145" s="2">
        <f>ROUND(M145/Assumptions!$B$2,0)</f>
        <v>417</v>
      </c>
      <c r="Q145" s="2">
        <f>ROUND(N145/Assumptions!$B$2,0)</f>
        <v>486</v>
      </c>
      <c r="R145" s="2">
        <f>COUNTIF('Raw Data'!$B$2:$B$417,A145)</f>
        <v>0</v>
      </c>
      <c r="S145" s="8">
        <f>SUMIF('Raw Data'!$B$2:$B$417,A145,'Raw Data'!$L$2:$L$417)</f>
        <v>0.0</v>
      </c>
      <c r="T145" s="8">
        <f>S145-O145</f>
        <v>-347.0</v>
      </c>
      <c r="U145" s="8">
        <f>S145-P145</f>
        <v>-417.0</v>
      </c>
      <c r="V145" s="8">
        <f>S145-Q145</f>
        <v>-486.0</v>
      </c>
      <c r="W145" s="2" t="str">
        <f>IF(R145=0,"Not Opened",IF(V145&gt;=0,"Recovered - All Scenarios",IF(U145&gt;=0,"Recovered - Low &amp; Base",IF(T145&gt;=0,"Recovered - Low Only","Not Recovered"))))</f>
        <v>Not Opened</v>
      </c>
      <c r="X145" s="2">
        <f>IF(R145=0,0,S145/R145)</f>
        <v>0</v>
      </c>
      <c r="Y145" s="2">
        <f>R145</f>
        <v>0</v>
      </c>
      <c r="Z145" s="2">
        <f>IF(R145=0,"",S145/R145)</f>
        <v/>
      </c>
      <c r="AA145" s="2" t="str">
        <f>IF(R145=0,"Not Opened",IF(R145&gt;=Assumptions!$B$3,"High Frequency","Low Frequency")&amp;" / "&amp;IF(X145&gt;=Assumptions!$B$4,"High Contribution","Low Contribution"))</f>
        <v>Not Opened</v>
      </c>
    </row>
    <row r="146" spans="1:27">
      <c r="A146" s="2" t="s">
        <v>153</v>
      </c>
      <c r="B146" s="2" t="s">
        <v>381</v>
      </c>
      <c r="C146" s="2" t="s">
        <v>214</v>
      </c>
      <c r="D146" s="2">
        <v>2</v>
      </c>
      <c r="E146" s="2">
        <v>8</v>
      </c>
      <c r="F146" s="2">
        <v>65</v>
      </c>
      <c r="G146" s="2">
        <f>E146*F146</f>
        <v>520</v>
      </c>
      <c r="H146" s="2">
        <v>137</v>
      </c>
      <c r="I146" s="2" t="s">
        <v>20</v>
      </c>
      <c r="J146" s="2">
        <f>G146-H146</f>
        <v>383</v>
      </c>
      <c r="K146" s="2">
        <v>7</v>
      </c>
      <c r="L146" s="2">
        <v>1500</v>
      </c>
      <c r="M146" s="2">
        <v>2000</v>
      </c>
      <c r="N146" s="2">
        <v>2500</v>
      </c>
      <c r="O146" s="2">
        <f>ROUND(L146/Assumptions!$B$2,0)</f>
        <v>208</v>
      </c>
      <c r="P146" s="2">
        <f>ROUND(M146/Assumptions!$B$2,0)</f>
        <v>278</v>
      </c>
      <c r="Q146" s="2">
        <f>ROUND(N146/Assumptions!$B$2,0)</f>
        <v>347</v>
      </c>
      <c r="R146" s="2">
        <f>COUNTIF('Raw Data'!$B$2:$B$417,A146)</f>
        <v>2</v>
      </c>
      <c r="S146" s="8">
        <f>SUMIF('Raw Data'!$B$2:$B$417,A146,'Raw Data'!$L$2:$L$417)</f>
        <v>766.0</v>
      </c>
      <c r="T146" s="8">
        <f>S146-O146</f>
        <v>558.0</v>
      </c>
      <c r="U146" s="8">
        <f>S146-P146</f>
        <v>488.0</v>
      </c>
      <c r="V146" s="8">
        <f>S146-Q146</f>
        <v>419.0</v>
      </c>
      <c r="W146" s="2" t="str">
        <f>IF(R146=0,"Not Opened",IF(V146&gt;=0,"Recovered - All Scenarios",IF(U146&gt;=0,"Recovered - Low &amp; Base",IF(T146&gt;=0,"Recovered - Low Only","Not Recovered"))))</f>
        <v>Recovered - All Scenarios</v>
      </c>
      <c r="X146" s="8">
        <f>IF(R146=0,0,S146/R146)</f>
        <v>383.0</v>
      </c>
      <c r="Y146" s="2">
        <f>R146</f>
        <v>2</v>
      </c>
      <c r="Z146" s="8">
        <f>IF(R146=0,"",S146/R146)</f>
        <v>383.0</v>
      </c>
      <c r="AA146" s="2" t="str">
        <f>IF(R146=0,"Not Opened",IF(R146&gt;=Assumptions!$B$3,"High Frequency","Low Frequency")&amp;" / "&amp;IF(X146&gt;=Assumptions!$B$4,"High Contribution","Low Contribution"))</f>
        <v>High Frequency / Low Contribution</v>
      </c>
    </row>
    <row r="147" spans="1:27">
      <c r="A147" s="2" t="s">
        <v>154</v>
      </c>
      <c r="B147" s="2" t="s">
        <v>382</v>
      </c>
      <c r="C147" s="2" t="s">
        <v>212</v>
      </c>
      <c r="D147" s="2">
        <v>2</v>
      </c>
      <c r="E147" s="2">
        <v>6</v>
      </c>
      <c r="F147" s="2">
        <v>109</v>
      </c>
      <c r="G147" s="2">
        <f>E147*F147</f>
        <v>654</v>
      </c>
      <c r="H147" s="2">
        <v>180</v>
      </c>
      <c r="I147" s="2" t="s">
        <v>22</v>
      </c>
      <c r="J147" s="2">
        <f>G147-H147</f>
        <v>474</v>
      </c>
      <c r="K147" s="2">
        <v>7.7</v>
      </c>
      <c r="L147" s="2">
        <v>0</v>
      </c>
      <c r="M147" s="2">
        <v>750</v>
      </c>
      <c r="N147" s="2">
        <v>1000</v>
      </c>
      <c r="O147" s="2">
        <f>ROUND(L147/Assumptions!$B$2,0)</f>
        <v>0</v>
      </c>
      <c r="P147" s="2">
        <f>ROUND(M147/Assumptions!$B$2,0)</f>
        <v>104</v>
      </c>
      <c r="Q147" s="2">
        <f>ROUND(N147/Assumptions!$B$2,0)</f>
        <v>139</v>
      </c>
      <c r="R147" s="2">
        <f>COUNTIF('Raw Data'!$B$2:$B$417,A147)</f>
        <v>4</v>
      </c>
      <c r="S147" s="8">
        <f>SUMIF('Raw Data'!$B$2:$B$417,A147,'Raw Data'!$L$2:$L$417)</f>
        <v>1896.0</v>
      </c>
      <c r="T147" s="8">
        <f>S147-O147</f>
        <v>1896.0</v>
      </c>
      <c r="U147" s="8">
        <f>S147-P147</f>
        <v>1792.0</v>
      </c>
      <c r="V147" s="8">
        <f>S147-Q147</f>
        <v>1757.0</v>
      </c>
      <c r="W147" s="2" t="str">
        <f>IF(R147=0,"Not Opened",IF(V147&gt;=0,"Recovered - All Scenarios",IF(U147&gt;=0,"Recovered - Low &amp; Base",IF(T147&gt;=0,"Recovered - Low Only","Not Recovered"))))</f>
        <v>Recovered - All Scenarios</v>
      </c>
      <c r="X147" s="8">
        <f>IF(R147=0,0,S147/R147)</f>
        <v>474.0</v>
      </c>
      <c r="Y147" s="2">
        <f>R147</f>
        <v>4</v>
      </c>
      <c r="Z147" s="8">
        <f>IF(R147=0,"",S147/R147)</f>
        <v>474.0</v>
      </c>
      <c r="AA147" s="2" t="str">
        <f>IF(R147=0,"Not Opened",IF(R147&gt;=Assumptions!$B$3,"High Frequency","Low Frequency")&amp;" / "&amp;IF(X147&gt;=Assumptions!$B$4,"High Contribution","Low Contribution"))</f>
        <v>High Frequency / Low Contribution</v>
      </c>
    </row>
    <row r="148" spans="1:27">
      <c r="A148" s="2" t="s">
        <v>383</v>
      </c>
      <c r="B148" s="2" t="s">
        <v>384</v>
      </c>
      <c r="C148" s="2" t="s">
        <v>223</v>
      </c>
      <c r="D148" s="2">
        <v>1</v>
      </c>
      <c r="E148" s="2">
        <v>6</v>
      </c>
      <c r="F148" s="2">
        <v>129</v>
      </c>
      <c r="G148" s="2">
        <f>E148*F148</f>
        <v>774</v>
      </c>
      <c r="H148" s="2">
        <v>203</v>
      </c>
      <c r="I148" s="2" t="s">
        <v>20</v>
      </c>
      <c r="J148" s="2">
        <f>G148-H148</f>
        <v>571</v>
      </c>
      <c r="K148" s="2">
        <v>8.4</v>
      </c>
      <c r="L148" s="2">
        <v>1500</v>
      </c>
      <c r="M148" s="2">
        <v>2000</v>
      </c>
      <c r="N148" s="2">
        <v>2500</v>
      </c>
      <c r="O148" s="2">
        <f>ROUND(L148/Assumptions!$B$2,0)</f>
        <v>208</v>
      </c>
      <c r="P148" s="2">
        <f>ROUND(M148/Assumptions!$B$2,0)</f>
        <v>278</v>
      </c>
      <c r="Q148" s="2">
        <f>ROUND(N148/Assumptions!$B$2,0)</f>
        <v>347</v>
      </c>
      <c r="R148" s="2">
        <f>COUNTIF('Raw Data'!$B$2:$B$417,A148)</f>
        <v>0</v>
      </c>
      <c r="S148" s="8">
        <f>SUMIF('Raw Data'!$B$2:$B$417,A148,'Raw Data'!$L$2:$L$417)</f>
        <v>0.0</v>
      </c>
      <c r="T148" s="8">
        <f>S148-O148</f>
        <v>-208.0</v>
      </c>
      <c r="U148" s="8">
        <f>S148-P148</f>
        <v>-278.0</v>
      </c>
      <c r="V148" s="8">
        <f>S148-Q148</f>
        <v>-347.0</v>
      </c>
      <c r="W148" s="2" t="str">
        <f>IF(R148=0,"Not Opened",IF(V148&gt;=0,"Recovered - All Scenarios",IF(U148&gt;=0,"Recovered - Low &amp; Base",IF(T148&gt;=0,"Recovered - Low Only","Not Recovered"))))</f>
        <v>Not Opened</v>
      </c>
      <c r="X148" s="2">
        <f>IF(R148=0,0,S148/R148)</f>
        <v>0</v>
      </c>
      <c r="Y148" s="2">
        <f>R148</f>
        <v>0</v>
      </c>
      <c r="Z148" s="2">
        <f>IF(R148=0,"",S148/R148)</f>
        <v/>
      </c>
      <c r="AA148" s="2" t="str">
        <f>IF(R148=0,"Not Opened",IF(R148&gt;=Assumptions!$B$3,"High Frequency","Low Frequency")&amp;" / "&amp;IF(X148&gt;=Assumptions!$B$4,"High Contribution","Low Contribution"))</f>
        <v>Not Opened</v>
      </c>
    </row>
    <row r="149" spans="1:27">
      <c r="A149" s="2" t="s">
        <v>155</v>
      </c>
      <c r="B149" s="2" t="s">
        <v>385</v>
      </c>
      <c r="C149" s="2" t="s">
        <v>214</v>
      </c>
      <c r="D149" s="2">
        <v>1</v>
      </c>
      <c r="E149" s="2">
        <v>6</v>
      </c>
      <c r="F149" s="2">
        <v>119</v>
      </c>
      <c r="G149" s="2">
        <f>E149*F149</f>
        <v>714</v>
      </c>
      <c r="H149" s="2">
        <v>187</v>
      </c>
      <c r="I149" s="2" t="s">
        <v>22</v>
      </c>
      <c r="J149" s="2">
        <f>G149-H149</f>
        <v>527</v>
      </c>
      <c r="K149" s="2">
        <v>7</v>
      </c>
      <c r="L149" s="2">
        <v>0</v>
      </c>
      <c r="M149" s="2">
        <v>750</v>
      </c>
      <c r="N149" s="2">
        <v>1000</v>
      </c>
      <c r="O149" s="2">
        <f>ROUND(L149/Assumptions!$B$2,0)</f>
        <v>0</v>
      </c>
      <c r="P149" s="2">
        <f>ROUND(M149/Assumptions!$B$2,0)</f>
        <v>104</v>
      </c>
      <c r="Q149" s="2">
        <f>ROUND(N149/Assumptions!$B$2,0)</f>
        <v>139</v>
      </c>
      <c r="R149" s="2">
        <f>COUNTIF('Raw Data'!$B$2:$B$417,A149)</f>
        <v>2</v>
      </c>
      <c r="S149" s="8">
        <f>SUMIF('Raw Data'!$B$2:$B$417,A149,'Raw Data'!$L$2:$L$417)</f>
        <v>1054.0</v>
      </c>
      <c r="T149" s="8">
        <f>S149-O149</f>
        <v>1054.0</v>
      </c>
      <c r="U149" s="8">
        <f>S149-P149</f>
        <v>950.0</v>
      </c>
      <c r="V149" s="8">
        <f>S149-Q149</f>
        <v>915.0</v>
      </c>
      <c r="W149" s="2" t="str">
        <f>IF(R149=0,"Not Opened",IF(V149&gt;=0,"Recovered - All Scenarios",IF(U149&gt;=0,"Recovered - Low &amp; Base",IF(T149&gt;=0,"Recovered - Low Only","Not Recovered"))))</f>
        <v>Recovered - All Scenarios</v>
      </c>
      <c r="X149" s="8">
        <f>IF(R149=0,0,S149/R149)</f>
        <v>527.0</v>
      </c>
      <c r="Y149" s="2">
        <f>R149</f>
        <v>2</v>
      </c>
      <c r="Z149" s="8">
        <f>IF(R149=0,"",S149/R149)</f>
        <v>527.0</v>
      </c>
      <c r="AA149" s="2" t="str">
        <f>IF(R149=0,"Not Opened",IF(R149&gt;=Assumptions!$B$3,"High Frequency","Low Frequency")&amp;" / "&amp;IF(X149&gt;=Assumptions!$B$4,"High Contribution","Low Contribution"))</f>
        <v>High Frequency / High Contribution</v>
      </c>
    </row>
    <row r="150" spans="1:27">
      <c r="A150" s="2" t="s">
        <v>156</v>
      </c>
      <c r="B150" s="2" t="s">
        <v>386</v>
      </c>
      <c r="C150" s="2" t="s">
        <v>218</v>
      </c>
      <c r="D150" s="2">
        <v>3</v>
      </c>
      <c r="E150" s="2">
        <v>7</v>
      </c>
      <c r="F150" s="2">
        <v>95</v>
      </c>
      <c r="G150" s="2">
        <f>E150*F150</f>
        <v>665</v>
      </c>
      <c r="H150" s="2">
        <v>175</v>
      </c>
      <c r="I150" s="2" t="s">
        <v>21</v>
      </c>
      <c r="J150" s="2">
        <f>G150-H150</f>
        <v>490</v>
      </c>
      <c r="K150" s="2">
        <v>7.7</v>
      </c>
      <c r="L150" s="2">
        <v>2500</v>
      </c>
      <c r="M150" s="2">
        <v>3000</v>
      </c>
      <c r="N150" s="2">
        <v>3500</v>
      </c>
      <c r="O150" s="2">
        <f>ROUND(L150/Assumptions!$B$2,0)</f>
        <v>347</v>
      </c>
      <c r="P150" s="2">
        <f>ROUND(M150/Assumptions!$B$2,0)</f>
        <v>417</v>
      </c>
      <c r="Q150" s="2">
        <f>ROUND(N150/Assumptions!$B$2,0)</f>
        <v>486</v>
      </c>
      <c r="R150" s="2">
        <f>COUNTIF('Raw Data'!$B$2:$B$417,A150)</f>
        <v>4</v>
      </c>
      <c r="S150" s="8">
        <f>SUMIF('Raw Data'!$B$2:$B$417,A150,'Raw Data'!$L$2:$L$417)</f>
        <v>1960.0</v>
      </c>
      <c r="T150" s="8">
        <f>S150-O150</f>
        <v>1613.0</v>
      </c>
      <c r="U150" s="8">
        <f>S150-P150</f>
        <v>1543.0</v>
      </c>
      <c r="V150" s="8">
        <f>S150-Q150</f>
        <v>1474.0</v>
      </c>
      <c r="W150" s="2" t="str">
        <f>IF(R150=0,"Not Opened",IF(V150&gt;=0,"Recovered - All Scenarios",IF(U150&gt;=0,"Recovered - Low &amp; Base",IF(T150&gt;=0,"Recovered - Low Only","Not Recovered"))))</f>
        <v>Recovered - All Scenarios</v>
      </c>
      <c r="X150" s="8">
        <f>IF(R150=0,0,S150/R150)</f>
        <v>490.0</v>
      </c>
      <c r="Y150" s="2">
        <f>R150</f>
        <v>4</v>
      </c>
      <c r="Z150" s="8">
        <f>IF(R150=0,"",S150/R150)</f>
        <v>490.0</v>
      </c>
      <c r="AA150" s="2" t="str">
        <f>IF(R150=0,"Not Opened",IF(R150&gt;=Assumptions!$B$3,"High Frequency","Low Frequency")&amp;" / "&amp;IF(X150&gt;=Assumptions!$B$4,"High Contribution","Low Contribution"))</f>
        <v>High Frequency / High Contribution</v>
      </c>
    </row>
    <row r="151" spans="1:27">
      <c r="A151" s="2" t="s">
        <v>157</v>
      </c>
      <c r="B151" s="2" t="s">
        <v>387</v>
      </c>
      <c r="C151" s="2" t="s">
        <v>212</v>
      </c>
      <c r="D151" s="2">
        <v>6</v>
      </c>
      <c r="E151" s="2">
        <v>8</v>
      </c>
      <c r="F151" s="2">
        <v>109</v>
      </c>
      <c r="G151" s="2">
        <f>E151*F151</f>
        <v>872</v>
      </c>
      <c r="H151" s="2">
        <v>540</v>
      </c>
      <c r="I151" s="2" t="s">
        <v>22</v>
      </c>
      <c r="J151" s="2">
        <f>G151-H151</f>
        <v>332</v>
      </c>
      <c r="K151" s="2">
        <v>8.4</v>
      </c>
      <c r="L151" s="2">
        <v>0</v>
      </c>
      <c r="M151" s="2">
        <v>750</v>
      </c>
      <c r="N151" s="2">
        <v>1000</v>
      </c>
      <c r="O151" s="2">
        <f>ROUND(L151/Assumptions!$B$2,0)</f>
        <v>0</v>
      </c>
      <c r="P151" s="2">
        <f>ROUND(M151/Assumptions!$B$2,0)</f>
        <v>104</v>
      </c>
      <c r="Q151" s="2">
        <f>ROUND(N151/Assumptions!$B$2,0)</f>
        <v>139</v>
      </c>
      <c r="R151" s="2">
        <f>COUNTIF('Raw Data'!$B$2:$B$417,A151)</f>
        <v>1</v>
      </c>
      <c r="S151" s="8">
        <f>SUMIF('Raw Data'!$B$2:$B$417,A151,'Raw Data'!$L$2:$L$417)</f>
        <v>332.0</v>
      </c>
      <c r="T151" s="8">
        <f>S151-O151</f>
        <v>332.0</v>
      </c>
      <c r="U151" s="8">
        <f>S151-P151</f>
        <v>228.0</v>
      </c>
      <c r="V151" s="8">
        <f>S151-Q151</f>
        <v>193.0</v>
      </c>
      <c r="W151" s="2" t="str">
        <f>IF(R151=0,"Not Opened",IF(V151&gt;=0,"Recovered - All Scenarios",IF(U151&gt;=0,"Recovered - Low &amp; Base",IF(T151&gt;=0,"Recovered - Low Only","Not Recovered"))))</f>
        <v>Recovered - All Scenarios</v>
      </c>
      <c r="X151" s="8">
        <f>IF(R151=0,0,S151/R151)</f>
        <v>332.0</v>
      </c>
      <c r="Y151" s="2">
        <f>R151</f>
        <v>1</v>
      </c>
      <c r="Z151" s="8">
        <f>IF(R151=0,"",S151/R151)</f>
        <v>332.0</v>
      </c>
      <c r="AA151" s="2" t="str">
        <f>IF(R151=0,"Not Opened",IF(R151&gt;=Assumptions!$B$3,"High Frequency","Low Frequency")&amp;" / "&amp;IF(X151&gt;=Assumptions!$B$4,"High Contribution","Low Contribution"))</f>
        <v>Low Frequency / Low Contribution</v>
      </c>
    </row>
    <row r="152" spans="1:27">
      <c r="A152" s="2" t="s">
        <v>158</v>
      </c>
      <c r="B152" s="2" t="s">
        <v>388</v>
      </c>
      <c r="C152" s="2" t="s">
        <v>212</v>
      </c>
      <c r="D152" s="2">
        <v>2</v>
      </c>
      <c r="E152" s="2">
        <v>6</v>
      </c>
      <c r="F152" s="2">
        <v>118</v>
      </c>
      <c r="G152" s="2">
        <f>E152*F152</f>
        <v>708</v>
      </c>
      <c r="H152" s="2">
        <v>180</v>
      </c>
      <c r="I152" s="2" t="s">
        <v>22</v>
      </c>
      <c r="J152" s="2">
        <f>G152-H152</f>
        <v>528</v>
      </c>
      <c r="K152" s="2">
        <v>7</v>
      </c>
      <c r="L152" s="2">
        <v>0</v>
      </c>
      <c r="M152" s="2">
        <v>750</v>
      </c>
      <c r="N152" s="2">
        <v>1000</v>
      </c>
      <c r="O152" s="2">
        <f>ROUND(L152/Assumptions!$B$2,0)</f>
        <v>0</v>
      </c>
      <c r="P152" s="2">
        <f>ROUND(M152/Assumptions!$B$2,0)</f>
        <v>104</v>
      </c>
      <c r="Q152" s="2">
        <f>ROUND(N152/Assumptions!$B$2,0)</f>
        <v>139</v>
      </c>
      <c r="R152" s="2">
        <f>COUNTIF('Raw Data'!$B$2:$B$417,A152)</f>
        <v>2</v>
      </c>
      <c r="S152" s="8">
        <f>SUMIF('Raw Data'!$B$2:$B$417,A152,'Raw Data'!$L$2:$L$417)</f>
        <v>1056.0</v>
      </c>
      <c r="T152" s="8">
        <f>S152-O152</f>
        <v>1056.0</v>
      </c>
      <c r="U152" s="8">
        <f>S152-P152</f>
        <v>952.0</v>
      </c>
      <c r="V152" s="8">
        <f>S152-Q152</f>
        <v>917.0</v>
      </c>
      <c r="W152" s="2" t="str">
        <f>IF(R152=0,"Not Opened",IF(V152&gt;=0,"Recovered - All Scenarios",IF(U152&gt;=0,"Recovered - Low &amp; Base",IF(T152&gt;=0,"Recovered - Low Only","Not Recovered"))))</f>
        <v>Recovered - All Scenarios</v>
      </c>
      <c r="X152" s="8">
        <f>IF(R152=0,0,S152/R152)</f>
        <v>528.0</v>
      </c>
      <c r="Y152" s="2">
        <f>R152</f>
        <v>2</v>
      </c>
      <c r="Z152" s="8">
        <f>IF(R152=0,"",S152/R152)</f>
        <v>528.0</v>
      </c>
      <c r="AA152" s="2" t="str">
        <f>IF(R152=0,"Not Opened",IF(R152&gt;=Assumptions!$B$3,"High Frequency","Low Frequency")&amp;" / "&amp;IF(X152&gt;=Assumptions!$B$4,"High Contribution","Low Contribution"))</f>
        <v>High Frequency / High Contribution</v>
      </c>
    </row>
    <row r="153" spans="1:27">
      <c r="A153" s="2" t="s">
        <v>159</v>
      </c>
      <c r="B153" s="2" t="s">
        <v>389</v>
      </c>
      <c r="C153" s="2" t="s">
        <v>214</v>
      </c>
      <c r="D153" s="2">
        <v>1</v>
      </c>
      <c r="E153" s="2">
        <v>6</v>
      </c>
      <c r="F153" s="2">
        <v>119</v>
      </c>
      <c r="G153" s="2">
        <f>E153*F153</f>
        <v>714</v>
      </c>
      <c r="H153" s="2">
        <v>187</v>
      </c>
      <c r="I153" s="2" t="s">
        <v>20</v>
      </c>
      <c r="J153" s="2">
        <f>G153-H153</f>
        <v>527</v>
      </c>
      <c r="K153" s="2">
        <v>7.7</v>
      </c>
      <c r="L153" s="2">
        <v>1500</v>
      </c>
      <c r="M153" s="2">
        <v>2000</v>
      </c>
      <c r="N153" s="2">
        <v>2500</v>
      </c>
      <c r="O153" s="2">
        <f>ROUND(L153/Assumptions!$B$2,0)</f>
        <v>208</v>
      </c>
      <c r="P153" s="2">
        <f>ROUND(M153/Assumptions!$B$2,0)</f>
        <v>278</v>
      </c>
      <c r="Q153" s="2">
        <f>ROUND(N153/Assumptions!$B$2,0)</f>
        <v>347</v>
      </c>
      <c r="R153" s="2">
        <f>COUNTIF('Raw Data'!$B$2:$B$417,A153)</f>
        <v>5</v>
      </c>
      <c r="S153" s="8">
        <f>SUMIF('Raw Data'!$B$2:$B$417,A153,'Raw Data'!$L$2:$L$417)</f>
        <v>2635.0</v>
      </c>
      <c r="T153" s="8">
        <f>S153-O153</f>
        <v>2427.0</v>
      </c>
      <c r="U153" s="8">
        <f>S153-P153</f>
        <v>2357.0</v>
      </c>
      <c r="V153" s="8">
        <f>S153-Q153</f>
        <v>2288.0</v>
      </c>
      <c r="W153" s="2" t="str">
        <f>IF(R153=0,"Not Opened",IF(V153&gt;=0,"Recovered - All Scenarios",IF(U153&gt;=0,"Recovered - Low &amp; Base",IF(T153&gt;=0,"Recovered - Low Only","Not Recovered"))))</f>
        <v>Recovered - All Scenarios</v>
      </c>
      <c r="X153" s="8">
        <f>IF(R153=0,0,S153/R153)</f>
        <v>527.0</v>
      </c>
      <c r="Y153" s="2">
        <f>R153</f>
        <v>5</v>
      </c>
      <c r="Z153" s="8">
        <f>IF(R153=0,"",S153/R153)</f>
        <v>527.0</v>
      </c>
      <c r="AA153" s="2" t="str">
        <f>IF(R153=0,"Not Opened",IF(R153&gt;=Assumptions!$B$3,"High Frequency","Low Frequency")&amp;" / "&amp;IF(X153&gt;=Assumptions!$B$4,"High Contribution","Low Contribution"))</f>
        <v>High Frequency / High Contribution</v>
      </c>
    </row>
    <row r="154" spans="1:27">
      <c r="A154" s="2" t="s">
        <v>160</v>
      </c>
      <c r="B154" s="2" t="s">
        <v>390</v>
      </c>
      <c r="C154" s="2" t="s">
        <v>212</v>
      </c>
      <c r="D154" s="2">
        <v>3</v>
      </c>
      <c r="E154" s="2">
        <v>6</v>
      </c>
      <c r="F154" s="2">
        <v>99</v>
      </c>
      <c r="G154" s="2">
        <f>E154*F154</f>
        <v>594</v>
      </c>
      <c r="H154" s="2">
        <v>270</v>
      </c>
      <c r="I154" s="2" t="s">
        <v>22</v>
      </c>
      <c r="J154" s="2">
        <f>G154-H154</f>
        <v>324</v>
      </c>
      <c r="K154" s="2">
        <v>8.4</v>
      </c>
      <c r="L154" s="2">
        <v>0</v>
      </c>
      <c r="M154" s="2">
        <v>750</v>
      </c>
      <c r="N154" s="2">
        <v>1000</v>
      </c>
      <c r="O154" s="2">
        <f>ROUND(L154/Assumptions!$B$2,0)</f>
        <v>0</v>
      </c>
      <c r="P154" s="2">
        <f>ROUND(M154/Assumptions!$B$2,0)</f>
        <v>104</v>
      </c>
      <c r="Q154" s="2">
        <f>ROUND(N154/Assumptions!$B$2,0)</f>
        <v>139</v>
      </c>
      <c r="R154" s="2">
        <f>COUNTIF('Raw Data'!$B$2:$B$417,A154)</f>
        <v>1</v>
      </c>
      <c r="S154" s="8">
        <f>SUMIF('Raw Data'!$B$2:$B$417,A154,'Raw Data'!$L$2:$L$417)</f>
        <v>324.0</v>
      </c>
      <c r="T154" s="8">
        <f>S154-O154</f>
        <v>324.0</v>
      </c>
      <c r="U154" s="8">
        <f>S154-P154</f>
        <v>220.0</v>
      </c>
      <c r="V154" s="8">
        <f>S154-Q154</f>
        <v>185.0</v>
      </c>
      <c r="W154" s="2" t="str">
        <f>IF(R154=0,"Not Opened",IF(V154&gt;=0,"Recovered - All Scenarios",IF(U154&gt;=0,"Recovered - Low &amp; Base",IF(T154&gt;=0,"Recovered - Low Only","Not Recovered"))))</f>
        <v>Recovered - All Scenarios</v>
      </c>
      <c r="X154" s="8">
        <f>IF(R154=0,0,S154/R154)</f>
        <v>324.0</v>
      </c>
      <c r="Y154" s="2">
        <f>R154</f>
        <v>1</v>
      </c>
      <c r="Z154" s="8">
        <f>IF(R154=0,"",S154/R154)</f>
        <v>324.0</v>
      </c>
      <c r="AA154" s="2" t="str">
        <f>IF(R154=0,"Not Opened",IF(R154&gt;=Assumptions!$B$3,"High Frequency","Low Frequency")&amp;" / "&amp;IF(X154&gt;=Assumptions!$B$4,"High Contribution","Low Contribution"))</f>
        <v>Low Frequency / Low Contribution</v>
      </c>
    </row>
    <row r="155" spans="1:27">
      <c r="A155" s="2" t="s">
        <v>161</v>
      </c>
      <c r="B155" s="2" t="s">
        <v>391</v>
      </c>
      <c r="C155" s="2" t="s">
        <v>218</v>
      </c>
      <c r="D155" s="2">
        <v>3</v>
      </c>
      <c r="E155" s="2">
        <v>7</v>
      </c>
      <c r="F155" s="2">
        <v>109</v>
      </c>
      <c r="G155" s="2">
        <f>E155*F155</f>
        <v>763</v>
      </c>
      <c r="H155" s="2">
        <v>200</v>
      </c>
      <c r="I155" s="2" t="s">
        <v>21</v>
      </c>
      <c r="J155" s="2">
        <f>G155-H155</f>
        <v>563</v>
      </c>
      <c r="K155" s="2">
        <v>7</v>
      </c>
      <c r="L155" s="2">
        <v>2500</v>
      </c>
      <c r="M155" s="2">
        <v>3000</v>
      </c>
      <c r="N155" s="2">
        <v>3500</v>
      </c>
      <c r="O155" s="2">
        <f>ROUND(L155/Assumptions!$B$2,0)</f>
        <v>347</v>
      </c>
      <c r="P155" s="2">
        <f>ROUND(M155/Assumptions!$B$2,0)</f>
        <v>417</v>
      </c>
      <c r="Q155" s="2">
        <f>ROUND(N155/Assumptions!$B$2,0)</f>
        <v>486</v>
      </c>
      <c r="R155" s="2">
        <f>COUNTIF('Raw Data'!$B$2:$B$417,A155)</f>
        <v>2</v>
      </c>
      <c r="S155" s="8">
        <f>SUMIF('Raw Data'!$B$2:$B$417,A155,'Raw Data'!$L$2:$L$417)</f>
        <v>1126.0</v>
      </c>
      <c r="T155" s="8">
        <f>S155-O155</f>
        <v>779.0</v>
      </c>
      <c r="U155" s="8">
        <f>S155-P155</f>
        <v>709.0</v>
      </c>
      <c r="V155" s="8">
        <f>S155-Q155</f>
        <v>640.0</v>
      </c>
      <c r="W155" s="2" t="str">
        <f>IF(R155=0,"Not Opened",IF(V155&gt;=0,"Recovered - All Scenarios",IF(U155&gt;=0,"Recovered - Low &amp; Base",IF(T155&gt;=0,"Recovered - Low Only","Not Recovered"))))</f>
        <v>Recovered - All Scenarios</v>
      </c>
      <c r="X155" s="8">
        <f>IF(R155=0,0,S155/R155)</f>
        <v>563.0</v>
      </c>
      <c r="Y155" s="2">
        <f>R155</f>
        <v>2</v>
      </c>
      <c r="Z155" s="8">
        <f>IF(R155=0,"",S155/R155)</f>
        <v>563.0</v>
      </c>
      <c r="AA155" s="2" t="str">
        <f>IF(R155=0,"Not Opened",IF(R155&gt;=Assumptions!$B$3,"High Frequency","Low Frequency")&amp;" / "&amp;IF(X155&gt;=Assumptions!$B$4,"High Contribution","Low Contribution"))</f>
        <v>High Frequency / High Contribution</v>
      </c>
    </row>
    <row r="156" spans="1:27">
      <c r="A156" s="2" t="s">
        <v>162</v>
      </c>
      <c r="B156" s="2" t="s">
        <v>392</v>
      </c>
      <c r="C156" s="2" t="s">
        <v>214</v>
      </c>
      <c r="D156" s="2">
        <v>2</v>
      </c>
      <c r="E156" s="2">
        <v>8</v>
      </c>
      <c r="F156" s="2">
        <v>95</v>
      </c>
      <c r="G156" s="2">
        <f>E156*F156</f>
        <v>760</v>
      </c>
      <c r="H156" s="2">
        <v>200</v>
      </c>
      <c r="I156" s="2" t="s">
        <v>20</v>
      </c>
      <c r="J156" s="2">
        <f>G156-H156</f>
        <v>560</v>
      </c>
      <c r="K156" s="2">
        <v>7.7</v>
      </c>
      <c r="L156" s="2">
        <v>1500</v>
      </c>
      <c r="M156" s="2">
        <v>2000</v>
      </c>
      <c r="N156" s="2">
        <v>2500</v>
      </c>
      <c r="O156" s="2">
        <f>ROUND(L156/Assumptions!$B$2,0)</f>
        <v>208</v>
      </c>
      <c r="P156" s="2">
        <f>ROUND(M156/Assumptions!$B$2,0)</f>
        <v>278</v>
      </c>
      <c r="Q156" s="2">
        <f>ROUND(N156/Assumptions!$B$2,0)</f>
        <v>347</v>
      </c>
      <c r="R156" s="2">
        <f>COUNTIF('Raw Data'!$B$2:$B$417,A156)</f>
        <v>7</v>
      </c>
      <c r="S156" s="8">
        <f>SUMIF('Raw Data'!$B$2:$B$417,A156,'Raw Data'!$L$2:$L$417)</f>
        <v>3920.0</v>
      </c>
      <c r="T156" s="8">
        <f>S156-O156</f>
        <v>3712.0</v>
      </c>
      <c r="U156" s="8">
        <f>S156-P156</f>
        <v>3642.0</v>
      </c>
      <c r="V156" s="8">
        <f>S156-Q156</f>
        <v>3573.0</v>
      </c>
      <c r="W156" s="2" t="str">
        <f>IF(R156=0,"Not Opened",IF(V156&gt;=0,"Recovered - All Scenarios",IF(U156&gt;=0,"Recovered - Low &amp; Base",IF(T156&gt;=0,"Recovered - Low Only","Not Recovered"))))</f>
        <v>Recovered - All Scenarios</v>
      </c>
      <c r="X156" s="8">
        <f>IF(R156=0,0,S156/R156)</f>
        <v>560.0</v>
      </c>
      <c r="Y156" s="2">
        <f>R156</f>
        <v>7</v>
      </c>
      <c r="Z156" s="8">
        <f>IF(R156=0,"",S156/R156)</f>
        <v>560.0</v>
      </c>
      <c r="AA156" s="2" t="str">
        <f>IF(R156=0,"Not Opened",IF(R156&gt;=Assumptions!$B$3,"High Frequency","Low Frequency")&amp;" / "&amp;IF(X156&gt;=Assumptions!$B$4,"High Contribution","Low Contribution"))</f>
        <v>High Frequency / High Contribution</v>
      </c>
    </row>
    <row r="157" spans="1:27">
      <c r="A157" s="2" t="s">
        <v>163</v>
      </c>
      <c r="B157" s="2" t="s">
        <v>393</v>
      </c>
      <c r="C157" s="2" t="s">
        <v>212</v>
      </c>
      <c r="D157" s="2">
        <v>2</v>
      </c>
      <c r="E157" s="2">
        <v>6</v>
      </c>
      <c r="F157" s="2">
        <v>138</v>
      </c>
      <c r="G157" s="2">
        <f>E157*F157</f>
        <v>828</v>
      </c>
      <c r="H157" s="2">
        <v>180</v>
      </c>
      <c r="I157" s="2" t="s">
        <v>22</v>
      </c>
      <c r="J157" s="2">
        <f>G157-H157</f>
        <v>648</v>
      </c>
      <c r="K157" s="2">
        <v>8.4</v>
      </c>
      <c r="L157" s="2">
        <v>0</v>
      </c>
      <c r="M157" s="2">
        <v>750</v>
      </c>
      <c r="N157" s="2">
        <v>1000</v>
      </c>
      <c r="O157" s="2">
        <f>ROUND(L157/Assumptions!$B$2,0)</f>
        <v>0</v>
      </c>
      <c r="P157" s="2">
        <f>ROUND(M157/Assumptions!$B$2,0)</f>
        <v>104</v>
      </c>
      <c r="Q157" s="2">
        <f>ROUND(N157/Assumptions!$B$2,0)</f>
        <v>139</v>
      </c>
      <c r="R157" s="2">
        <f>COUNTIF('Raw Data'!$B$2:$B$417,A157)</f>
        <v>1</v>
      </c>
      <c r="S157" s="8">
        <f>SUMIF('Raw Data'!$B$2:$B$417,A157,'Raw Data'!$L$2:$L$417)</f>
        <v>648.0</v>
      </c>
      <c r="T157" s="8">
        <f>S157-O157</f>
        <v>648.0</v>
      </c>
      <c r="U157" s="8">
        <f>S157-P157</f>
        <v>544.0</v>
      </c>
      <c r="V157" s="8">
        <f>S157-Q157</f>
        <v>509.0</v>
      </c>
      <c r="W157" s="2" t="str">
        <f>IF(R157=0,"Not Opened",IF(V157&gt;=0,"Recovered - All Scenarios",IF(U157&gt;=0,"Recovered - Low &amp; Base",IF(T157&gt;=0,"Recovered - Low Only","Not Recovered"))))</f>
        <v>Recovered - All Scenarios</v>
      </c>
      <c r="X157" s="8">
        <f>IF(R157=0,0,S157/R157)</f>
        <v>648.0</v>
      </c>
      <c r="Y157" s="2">
        <f>R157</f>
        <v>1</v>
      </c>
      <c r="Z157" s="8">
        <f>IF(R157=0,"",S157/R157)</f>
        <v>648.0</v>
      </c>
      <c r="AA157" s="2" t="str">
        <f>IF(R157=0,"Not Opened",IF(R157&gt;=Assumptions!$B$3,"High Frequency","Low Frequency")&amp;" / "&amp;IF(X157&gt;=Assumptions!$B$4,"High Contribution","Low Contribution"))</f>
        <v>Low Frequency / High Contribution</v>
      </c>
    </row>
    <row r="158" spans="1:27">
      <c r="A158" s="2" t="s">
        <v>164</v>
      </c>
      <c r="B158" s="2" t="s">
        <v>394</v>
      </c>
      <c r="C158" s="2" t="s">
        <v>223</v>
      </c>
      <c r="D158" s="2">
        <v>1</v>
      </c>
      <c r="E158" s="2">
        <v>6</v>
      </c>
      <c r="F158" s="2">
        <v>109</v>
      </c>
      <c r="G158" s="2">
        <f>E158*F158</f>
        <v>654</v>
      </c>
      <c r="H158" s="2">
        <v>172</v>
      </c>
      <c r="I158" s="2" t="s">
        <v>20</v>
      </c>
      <c r="J158" s="2">
        <f>G158-H158</f>
        <v>482</v>
      </c>
      <c r="K158" s="2">
        <v>7</v>
      </c>
      <c r="L158" s="2">
        <v>1500</v>
      </c>
      <c r="M158" s="2">
        <v>2000</v>
      </c>
      <c r="N158" s="2">
        <v>2500</v>
      </c>
      <c r="O158" s="2">
        <f>ROUND(L158/Assumptions!$B$2,0)</f>
        <v>208</v>
      </c>
      <c r="P158" s="2">
        <f>ROUND(M158/Assumptions!$B$2,0)</f>
        <v>278</v>
      </c>
      <c r="Q158" s="2">
        <f>ROUND(N158/Assumptions!$B$2,0)</f>
        <v>347</v>
      </c>
      <c r="R158" s="2">
        <f>COUNTIF('Raw Data'!$B$2:$B$417,A158)</f>
        <v>3</v>
      </c>
      <c r="S158" s="8">
        <f>SUMIF('Raw Data'!$B$2:$B$417,A158,'Raw Data'!$L$2:$L$417)</f>
        <v>1446.0</v>
      </c>
      <c r="T158" s="8">
        <f>S158-O158</f>
        <v>1238.0</v>
      </c>
      <c r="U158" s="8">
        <f>S158-P158</f>
        <v>1168.0</v>
      </c>
      <c r="V158" s="8">
        <f>S158-Q158</f>
        <v>1099.0</v>
      </c>
      <c r="W158" s="2" t="str">
        <f>IF(R158=0,"Not Opened",IF(V158&gt;=0,"Recovered - All Scenarios",IF(U158&gt;=0,"Recovered - Low &amp; Base",IF(T158&gt;=0,"Recovered - Low Only","Not Recovered"))))</f>
        <v>Recovered - All Scenarios</v>
      </c>
      <c r="X158" s="8">
        <f>IF(R158=0,0,S158/R158)</f>
        <v>482.0</v>
      </c>
      <c r="Y158" s="2">
        <f>R158</f>
        <v>3</v>
      </c>
      <c r="Z158" s="8">
        <f>IF(R158=0,"",S158/R158)</f>
        <v>482.0</v>
      </c>
      <c r="AA158" s="2" t="str">
        <f>IF(R158=0,"Not Opened",IF(R158&gt;=Assumptions!$B$3,"High Frequency","Low Frequency")&amp;" / "&amp;IF(X158&gt;=Assumptions!$B$4,"High Contribution","Low Contribution"))</f>
        <v>High Frequency / Low Contribution</v>
      </c>
    </row>
    <row r="159" spans="1:27">
      <c r="A159" s="2" t="s">
        <v>165</v>
      </c>
      <c r="B159" s="2" t="s">
        <v>395</v>
      </c>
      <c r="C159" s="2" t="s">
        <v>214</v>
      </c>
      <c r="D159" s="2">
        <v>1</v>
      </c>
      <c r="E159" s="2">
        <v>6</v>
      </c>
      <c r="F159" s="2">
        <v>75</v>
      </c>
      <c r="G159" s="2">
        <f>E159*F159</f>
        <v>450</v>
      </c>
      <c r="H159" s="2">
        <v>118</v>
      </c>
      <c r="I159" s="2" t="s">
        <v>22</v>
      </c>
      <c r="J159" s="2">
        <f>G159-H159</f>
        <v>332</v>
      </c>
      <c r="K159" s="2">
        <v>7.7</v>
      </c>
      <c r="L159" s="2">
        <v>0</v>
      </c>
      <c r="M159" s="2">
        <v>750</v>
      </c>
      <c r="N159" s="2">
        <v>1000</v>
      </c>
      <c r="O159" s="2">
        <f>ROUND(L159/Assumptions!$B$2,0)</f>
        <v>0</v>
      </c>
      <c r="P159" s="2">
        <f>ROUND(M159/Assumptions!$B$2,0)</f>
        <v>104</v>
      </c>
      <c r="Q159" s="2">
        <f>ROUND(N159/Assumptions!$B$2,0)</f>
        <v>139</v>
      </c>
      <c r="R159" s="2">
        <f>COUNTIF('Raw Data'!$B$2:$B$417,A159)</f>
        <v>10</v>
      </c>
      <c r="S159" s="8">
        <f>SUMIF('Raw Data'!$B$2:$B$417,A159,'Raw Data'!$L$2:$L$417)</f>
        <v>3320.0</v>
      </c>
      <c r="T159" s="8">
        <f>S159-O159</f>
        <v>3320.0</v>
      </c>
      <c r="U159" s="8">
        <f>S159-P159</f>
        <v>3216.0</v>
      </c>
      <c r="V159" s="8">
        <f>S159-Q159</f>
        <v>3181.0</v>
      </c>
      <c r="W159" s="2" t="str">
        <f>IF(R159=0,"Not Opened",IF(V159&gt;=0,"Recovered - All Scenarios",IF(U159&gt;=0,"Recovered - Low &amp; Base",IF(T159&gt;=0,"Recovered - Low Only","Not Recovered"))))</f>
        <v>Recovered - All Scenarios</v>
      </c>
      <c r="X159" s="8">
        <f>IF(R159=0,0,S159/R159)</f>
        <v>332.0</v>
      </c>
      <c r="Y159" s="2">
        <f>R159</f>
        <v>10</v>
      </c>
      <c r="Z159" s="8">
        <f>IF(R159=0,"",S159/R159)</f>
        <v>332.0</v>
      </c>
      <c r="AA159" s="2" t="str">
        <f>IF(R159=0,"Not Opened",IF(R159&gt;=Assumptions!$B$3,"High Frequency","Low Frequency")&amp;" / "&amp;IF(X159&gt;=Assumptions!$B$4,"High Contribution","Low Contribution"))</f>
        <v>High Frequency / Low Contribution</v>
      </c>
    </row>
    <row r="160" spans="1:27">
      <c r="A160" s="2" t="s">
        <v>166</v>
      </c>
      <c r="B160" s="2" t="s">
        <v>396</v>
      </c>
      <c r="C160" s="2" t="s">
        <v>218</v>
      </c>
      <c r="D160" s="2">
        <v>3</v>
      </c>
      <c r="E160" s="2">
        <v>7</v>
      </c>
      <c r="F160" s="2">
        <v>118</v>
      </c>
      <c r="G160" s="2">
        <f>E160*F160</f>
        <v>826</v>
      </c>
      <c r="H160" s="2">
        <v>217</v>
      </c>
      <c r="I160" s="2" t="s">
        <v>21</v>
      </c>
      <c r="J160" s="2">
        <f>G160-H160</f>
        <v>609</v>
      </c>
      <c r="K160" s="2">
        <v>8.4</v>
      </c>
      <c r="L160" s="2">
        <v>2500</v>
      </c>
      <c r="M160" s="2">
        <v>3000</v>
      </c>
      <c r="N160" s="2">
        <v>3500</v>
      </c>
      <c r="O160" s="2">
        <f>ROUND(L160/Assumptions!$B$2,0)</f>
        <v>347</v>
      </c>
      <c r="P160" s="2">
        <f>ROUND(M160/Assumptions!$B$2,0)</f>
        <v>417</v>
      </c>
      <c r="Q160" s="2">
        <f>ROUND(N160/Assumptions!$B$2,0)</f>
        <v>486</v>
      </c>
      <c r="R160" s="2">
        <f>COUNTIF('Raw Data'!$B$2:$B$417,A160)</f>
        <v>1</v>
      </c>
      <c r="S160" s="8">
        <f>SUMIF('Raw Data'!$B$2:$B$417,A160,'Raw Data'!$L$2:$L$417)</f>
        <v>609.0</v>
      </c>
      <c r="T160" s="8">
        <f>S160-O160</f>
        <v>262.0</v>
      </c>
      <c r="U160" s="8">
        <f>S160-P160</f>
        <v>192.0</v>
      </c>
      <c r="V160" s="8">
        <f>S160-Q160</f>
        <v>123.0</v>
      </c>
      <c r="W160" s="2" t="str">
        <f>IF(R160=0,"Not Opened",IF(V160&gt;=0,"Recovered - All Scenarios",IF(U160&gt;=0,"Recovered - Low &amp; Base",IF(T160&gt;=0,"Recovered - Low Only","Not Recovered"))))</f>
        <v>Recovered - All Scenarios</v>
      </c>
      <c r="X160" s="8">
        <f>IF(R160=0,0,S160/R160)</f>
        <v>609.0</v>
      </c>
      <c r="Y160" s="2">
        <f>R160</f>
        <v>1</v>
      </c>
      <c r="Z160" s="8">
        <f>IF(R160=0,"",S160/R160)</f>
        <v>609.0</v>
      </c>
      <c r="AA160" s="2" t="str">
        <f>IF(R160=0,"Not Opened",IF(R160&gt;=Assumptions!$B$3,"High Frequency","Low Frequency")&amp;" / "&amp;IF(X160&gt;=Assumptions!$B$4,"High Contribution","Low Contribution"))</f>
        <v>Low Frequency / High Contribution</v>
      </c>
    </row>
    <row r="161" spans="1:27">
      <c r="A161" s="2" t="s">
        <v>167</v>
      </c>
      <c r="B161" s="2" t="s">
        <v>397</v>
      </c>
      <c r="C161" s="2" t="s">
        <v>212</v>
      </c>
      <c r="D161" s="2">
        <v>6</v>
      </c>
      <c r="E161" s="2">
        <v>8</v>
      </c>
      <c r="F161" s="2">
        <v>138</v>
      </c>
      <c r="G161" s="2">
        <f>E161*F161</f>
        <v>1104</v>
      </c>
      <c r="H161" s="2">
        <v>540</v>
      </c>
      <c r="I161" s="2" t="s">
        <v>22</v>
      </c>
      <c r="J161" s="2">
        <f>G161-H161</f>
        <v>564</v>
      </c>
      <c r="K161" s="2">
        <v>7</v>
      </c>
      <c r="L161" s="2">
        <v>0</v>
      </c>
      <c r="M161" s="2">
        <v>750</v>
      </c>
      <c r="N161" s="2">
        <v>1000</v>
      </c>
      <c r="O161" s="2">
        <f>ROUND(L161/Assumptions!$B$2,0)</f>
        <v>0</v>
      </c>
      <c r="P161" s="2">
        <f>ROUND(M161/Assumptions!$B$2,0)</f>
        <v>104</v>
      </c>
      <c r="Q161" s="2">
        <f>ROUND(N161/Assumptions!$B$2,0)</f>
        <v>139</v>
      </c>
      <c r="R161" s="2">
        <f>COUNTIF('Raw Data'!$B$2:$B$417,A161)</f>
        <v>3</v>
      </c>
      <c r="S161" s="8">
        <f>SUMIF('Raw Data'!$B$2:$B$417,A161,'Raw Data'!$L$2:$L$417)</f>
        <v>1692.0</v>
      </c>
      <c r="T161" s="8">
        <f>S161-O161</f>
        <v>1692.0</v>
      </c>
      <c r="U161" s="8">
        <f>S161-P161</f>
        <v>1588.0</v>
      </c>
      <c r="V161" s="8">
        <f>S161-Q161</f>
        <v>1553.0</v>
      </c>
      <c r="W161" s="2" t="str">
        <f>IF(R161=0,"Not Opened",IF(V161&gt;=0,"Recovered - All Scenarios",IF(U161&gt;=0,"Recovered - Low &amp; Base",IF(T161&gt;=0,"Recovered - Low Only","Not Recovered"))))</f>
        <v>Recovered - All Scenarios</v>
      </c>
      <c r="X161" s="8">
        <f>IF(R161=0,0,S161/R161)</f>
        <v>564.0</v>
      </c>
      <c r="Y161" s="2">
        <f>R161</f>
        <v>3</v>
      </c>
      <c r="Z161" s="8">
        <f>IF(R161=0,"",S161/R161)</f>
        <v>564.0</v>
      </c>
      <c r="AA161" s="2" t="str">
        <f>IF(R161=0,"Not Opened",IF(R161&gt;=Assumptions!$B$3,"High Frequency","Low Frequency")&amp;" / "&amp;IF(X161&gt;=Assumptions!$B$4,"High Contribution","Low Contribution"))</f>
        <v>High Frequency / High Contribution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O417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5" width="20.7109375" style="2" customWidth="1"/>
  </cols>
  <sheetData>
    <row r="1" spans="1:15" ht="44" customHeight="1">
      <c r="A1" s="3" t="s">
        <v>398</v>
      </c>
      <c r="B1" s="3" t="s">
        <v>184</v>
      </c>
      <c r="C1" s="3" t="s">
        <v>399</v>
      </c>
      <c r="D1" s="3" t="s">
        <v>185</v>
      </c>
      <c r="E1" s="3" t="s">
        <v>186</v>
      </c>
      <c r="F1" s="3" t="s">
        <v>400</v>
      </c>
      <c r="G1" s="3" t="s">
        <v>188</v>
      </c>
      <c r="H1" s="3" t="s">
        <v>189</v>
      </c>
      <c r="I1" s="3" t="s">
        <v>190</v>
      </c>
      <c r="J1" s="3" t="s">
        <v>191</v>
      </c>
      <c r="K1" s="3" t="s">
        <v>192</v>
      </c>
      <c r="L1" s="3" t="s">
        <v>15</v>
      </c>
      <c r="M1" s="3" t="s">
        <v>193</v>
      </c>
      <c r="N1" s="3" t="s">
        <v>401</v>
      </c>
      <c r="O1" s="3" t="s">
        <v>402</v>
      </c>
    </row>
    <row r="2" spans="1:15">
      <c r="A2" s="2" t="s">
        <v>403</v>
      </c>
      <c r="B2" s="2" t="s">
        <v>27</v>
      </c>
      <c r="C2" s="9">
        <v>45901</v>
      </c>
      <c r="D2" s="2" t="s">
        <v>213</v>
      </c>
      <c r="E2" s="2" t="s">
        <v>214</v>
      </c>
      <c r="F2" s="2">
        <v>1</v>
      </c>
      <c r="G2" s="2">
        <v>6</v>
      </c>
      <c r="H2" s="2">
        <v>75</v>
      </c>
      <c r="I2" s="2">
        <f>G2*H2</f>
        <v>450</v>
      </c>
      <c r="J2" s="2">
        <f>INDEX('Script List'!$H$2:$H$161,MATCH(B2,'Script List'!$A$2:$A$161,0))</f>
        <v>118</v>
      </c>
      <c r="K2" s="2" t="s">
        <v>20</v>
      </c>
      <c r="L2" s="2">
        <f>I2-J2</f>
        <v>332</v>
      </c>
      <c r="M2" s="2">
        <v>7.7</v>
      </c>
      <c r="N2" s="9">
        <f>DATE(YEAR(C2),MONTH(C2),1)</f>
        <v>45901.0</v>
      </c>
      <c r="O2" s="2" t="str">
        <f>TEXT(N2,"yyyy-mm")</f>
        <v>2025-09</v>
      </c>
    </row>
    <row r="3" spans="1:15">
      <c r="A3" s="2" t="s">
        <v>404</v>
      </c>
      <c r="B3" s="2" t="s">
        <v>28</v>
      </c>
      <c r="C3" s="9">
        <v>45902</v>
      </c>
      <c r="D3" s="2" t="s">
        <v>215</v>
      </c>
      <c r="E3" s="2" t="s">
        <v>212</v>
      </c>
      <c r="F3" s="2">
        <v>3</v>
      </c>
      <c r="G3" s="2">
        <v>6</v>
      </c>
      <c r="H3" s="2">
        <v>118</v>
      </c>
      <c r="I3" s="2">
        <f>G3*H3</f>
        <v>708</v>
      </c>
      <c r="J3" s="2">
        <f>INDEX('Script List'!$H$2:$H$161,MATCH(B3,'Script List'!$A$2:$A$161,0))</f>
        <v>270</v>
      </c>
      <c r="K3" s="2" t="s">
        <v>22</v>
      </c>
      <c r="L3" s="2">
        <f>I3-J3</f>
        <v>438</v>
      </c>
      <c r="M3" s="2">
        <v>8.4</v>
      </c>
      <c r="N3" s="9">
        <f>DATE(YEAR(C3),MONTH(C3),1)</f>
        <v>45901.0</v>
      </c>
      <c r="O3" s="2" t="str">
        <f>TEXT(N3,"yyyy-mm")</f>
        <v>2025-09</v>
      </c>
    </row>
    <row r="4" spans="1:15">
      <c r="A4" s="2" t="s">
        <v>405</v>
      </c>
      <c r="B4" s="2" t="s">
        <v>28</v>
      </c>
      <c r="C4" s="9">
        <v>45903</v>
      </c>
      <c r="D4" s="2" t="s">
        <v>215</v>
      </c>
      <c r="E4" s="2" t="s">
        <v>212</v>
      </c>
      <c r="F4" s="2">
        <v>3</v>
      </c>
      <c r="G4" s="2">
        <v>6</v>
      </c>
      <c r="H4" s="2">
        <v>118</v>
      </c>
      <c r="I4" s="2">
        <f>G4*H4</f>
        <v>708</v>
      </c>
      <c r="J4" s="2">
        <f>INDEX('Script List'!$H$2:$H$161,MATCH(B4,'Script List'!$A$2:$A$161,0))</f>
        <v>270</v>
      </c>
      <c r="K4" s="2" t="s">
        <v>22</v>
      </c>
      <c r="L4" s="2">
        <f>I4-J4</f>
        <v>438</v>
      </c>
      <c r="M4" s="2">
        <v>8.4</v>
      </c>
      <c r="N4" s="9">
        <f>DATE(YEAR(C4),MONTH(C4),1)</f>
        <v>45901.0</v>
      </c>
      <c r="O4" s="2" t="str">
        <f>TEXT(N4,"yyyy-mm")</f>
        <v>2025-09</v>
      </c>
    </row>
    <row r="5" spans="1:15">
      <c r="A5" s="2" t="s">
        <v>406</v>
      </c>
      <c r="B5" s="2" t="s">
        <v>28</v>
      </c>
      <c r="C5" s="9">
        <v>45904</v>
      </c>
      <c r="D5" s="2" t="s">
        <v>215</v>
      </c>
      <c r="E5" s="2" t="s">
        <v>212</v>
      </c>
      <c r="F5" s="2">
        <v>3</v>
      </c>
      <c r="G5" s="2">
        <v>6</v>
      </c>
      <c r="H5" s="2">
        <v>118</v>
      </c>
      <c r="I5" s="2">
        <f>G5*H5</f>
        <v>708</v>
      </c>
      <c r="J5" s="2">
        <f>INDEX('Script List'!$H$2:$H$161,MATCH(B5,'Script List'!$A$2:$A$161,0))</f>
        <v>270</v>
      </c>
      <c r="K5" s="2" t="s">
        <v>22</v>
      </c>
      <c r="L5" s="2">
        <f>I5-J5</f>
        <v>438</v>
      </c>
      <c r="M5" s="2">
        <v>8.4</v>
      </c>
      <c r="N5" s="9">
        <f>DATE(YEAR(C5),MONTH(C5),1)</f>
        <v>45901.0</v>
      </c>
      <c r="O5" s="2" t="str">
        <f>TEXT(N5,"yyyy-mm")</f>
        <v>2025-09</v>
      </c>
    </row>
    <row r="6" spans="1:15">
      <c r="A6" s="2" t="s">
        <v>407</v>
      </c>
      <c r="B6" s="2" t="s">
        <v>29</v>
      </c>
      <c r="C6" s="9">
        <v>45905</v>
      </c>
      <c r="D6" s="2" t="s">
        <v>219</v>
      </c>
      <c r="E6" s="2" t="s">
        <v>214</v>
      </c>
      <c r="F6" s="2">
        <v>2</v>
      </c>
      <c r="G6" s="2">
        <v>8</v>
      </c>
      <c r="H6" s="2">
        <v>65</v>
      </c>
      <c r="I6" s="2">
        <f>G6*H6</f>
        <v>520</v>
      </c>
      <c r="J6" s="2">
        <f>INDEX('Script List'!$H$2:$H$161,MATCH(B6,'Script List'!$A$2:$A$161,0))</f>
        <v>137</v>
      </c>
      <c r="K6" s="2" t="s">
        <v>20</v>
      </c>
      <c r="L6" s="2">
        <f>I6-J6</f>
        <v>383</v>
      </c>
      <c r="M6" s="2">
        <v>7.7</v>
      </c>
      <c r="N6" s="9">
        <f>DATE(YEAR(C6),MONTH(C6),1)</f>
        <v>45901.0</v>
      </c>
      <c r="O6" s="2" t="str">
        <f>TEXT(N6,"yyyy-mm")</f>
        <v>2025-09</v>
      </c>
    </row>
    <row r="7" spans="1:15">
      <c r="A7" s="2" t="s">
        <v>408</v>
      </c>
      <c r="B7" s="2" t="s">
        <v>29</v>
      </c>
      <c r="C7" s="9">
        <v>45906</v>
      </c>
      <c r="D7" s="2" t="s">
        <v>219</v>
      </c>
      <c r="E7" s="2" t="s">
        <v>214</v>
      </c>
      <c r="F7" s="2">
        <v>2</v>
      </c>
      <c r="G7" s="2">
        <v>8</v>
      </c>
      <c r="H7" s="2">
        <v>65</v>
      </c>
      <c r="I7" s="2">
        <f>G7*H7</f>
        <v>520</v>
      </c>
      <c r="J7" s="2">
        <f>INDEX('Script List'!$H$2:$H$161,MATCH(B7,'Script List'!$A$2:$A$161,0))</f>
        <v>137</v>
      </c>
      <c r="K7" s="2" t="s">
        <v>20</v>
      </c>
      <c r="L7" s="2">
        <f>I7-J7</f>
        <v>383</v>
      </c>
      <c r="M7" s="2">
        <v>7.7</v>
      </c>
      <c r="N7" s="9">
        <f>DATE(YEAR(C7),MONTH(C7),1)</f>
        <v>45901.0</v>
      </c>
      <c r="O7" s="2" t="str">
        <f>TEXT(N7,"yyyy-mm")</f>
        <v>2025-09</v>
      </c>
    </row>
    <row r="8" spans="1:15">
      <c r="A8" s="2" t="s">
        <v>409</v>
      </c>
      <c r="B8" s="2" t="s">
        <v>30</v>
      </c>
      <c r="C8" s="9">
        <v>45907</v>
      </c>
      <c r="D8" s="2" t="s">
        <v>220</v>
      </c>
      <c r="E8" s="2" t="s">
        <v>212</v>
      </c>
      <c r="F8" s="2">
        <v>2</v>
      </c>
      <c r="G8" s="2">
        <v>6</v>
      </c>
      <c r="H8" s="2">
        <v>109</v>
      </c>
      <c r="I8" s="2">
        <f>G8*H8</f>
        <v>654</v>
      </c>
      <c r="J8" s="2">
        <f>INDEX('Script List'!$H$2:$H$161,MATCH(B8,'Script List'!$A$2:$A$161,0))</f>
        <v>180</v>
      </c>
      <c r="K8" s="2" t="s">
        <v>22</v>
      </c>
      <c r="L8" s="2">
        <f>I8-J8</f>
        <v>474</v>
      </c>
      <c r="M8" s="2">
        <v>8.4</v>
      </c>
      <c r="N8" s="9">
        <f>DATE(YEAR(C8),MONTH(C8),1)</f>
        <v>45901.0</v>
      </c>
      <c r="O8" s="2" t="str">
        <f>TEXT(N8,"yyyy-mm")</f>
        <v>2025-09</v>
      </c>
    </row>
    <row r="9" spans="1:15">
      <c r="A9" s="2" t="s">
        <v>410</v>
      </c>
      <c r="B9" s="2" t="s">
        <v>30</v>
      </c>
      <c r="C9" s="9">
        <v>45908</v>
      </c>
      <c r="D9" s="2" t="s">
        <v>220</v>
      </c>
      <c r="E9" s="2" t="s">
        <v>212</v>
      </c>
      <c r="F9" s="2">
        <v>2</v>
      </c>
      <c r="G9" s="2">
        <v>6</v>
      </c>
      <c r="H9" s="2">
        <v>109</v>
      </c>
      <c r="I9" s="2">
        <f>G9*H9</f>
        <v>654</v>
      </c>
      <c r="J9" s="2">
        <f>INDEX('Script List'!$H$2:$H$161,MATCH(B9,'Script List'!$A$2:$A$161,0))</f>
        <v>180</v>
      </c>
      <c r="K9" s="2" t="s">
        <v>22</v>
      </c>
      <c r="L9" s="2">
        <f>I9-J9</f>
        <v>474</v>
      </c>
      <c r="M9" s="2">
        <v>8.4</v>
      </c>
      <c r="N9" s="9">
        <f>DATE(YEAR(C9),MONTH(C9),1)</f>
        <v>45901.0</v>
      </c>
      <c r="O9" s="2" t="str">
        <f>TEXT(N9,"yyyy-mm")</f>
        <v>2025-09</v>
      </c>
    </row>
    <row r="10" spans="1:15">
      <c r="A10" s="2" t="s">
        <v>411</v>
      </c>
      <c r="B10" s="2" t="s">
        <v>30</v>
      </c>
      <c r="C10" s="9">
        <v>45909</v>
      </c>
      <c r="D10" s="2" t="s">
        <v>220</v>
      </c>
      <c r="E10" s="2" t="s">
        <v>212</v>
      </c>
      <c r="F10" s="2">
        <v>2</v>
      </c>
      <c r="G10" s="2">
        <v>6</v>
      </c>
      <c r="H10" s="2">
        <v>109</v>
      </c>
      <c r="I10" s="2">
        <f>G10*H10</f>
        <v>654</v>
      </c>
      <c r="J10" s="2">
        <f>INDEX('Script List'!$H$2:$H$161,MATCH(B10,'Script List'!$A$2:$A$161,0))</f>
        <v>180</v>
      </c>
      <c r="K10" s="2" t="s">
        <v>22</v>
      </c>
      <c r="L10" s="2">
        <f>I10-J10</f>
        <v>474</v>
      </c>
      <c r="M10" s="2">
        <v>8.4</v>
      </c>
      <c r="N10" s="9">
        <f>DATE(YEAR(C10),MONTH(C10),1)</f>
        <v>45901.0</v>
      </c>
      <c r="O10" s="2" t="str">
        <f>TEXT(N10,"yyyy-mm")</f>
        <v>2025-09</v>
      </c>
    </row>
    <row r="11" spans="1:15">
      <c r="A11" s="2" t="s">
        <v>412</v>
      </c>
      <c r="B11" s="2" t="s">
        <v>30</v>
      </c>
      <c r="C11" s="9">
        <v>45910</v>
      </c>
      <c r="D11" s="2" t="s">
        <v>220</v>
      </c>
      <c r="E11" s="2" t="s">
        <v>212</v>
      </c>
      <c r="F11" s="2">
        <v>2</v>
      </c>
      <c r="G11" s="2">
        <v>6</v>
      </c>
      <c r="H11" s="2">
        <v>109</v>
      </c>
      <c r="I11" s="2">
        <f>G11*H11</f>
        <v>654</v>
      </c>
      <c r="J11" s="2">
        <f>INDEX('Script List'!$H$2:$H$161,MATCH(B11,'Script List'!$A$2:$A$161,0))</f>
        <v>180</v>
      </c>
      <c r="K11" s="2" t="s">
        <v>22</v>
      </c>
      <c r="L11" s="2">
        <f>I11-J11</f>
        <v>474</v>
      </c>
      <c r="M11" s="2">
        <v>8.4</v>
      </c>
      <c r="N11" s="9">
        <f>DATE(YEAR(C11),MONTH(C11),1)</f>
        <v>45901.0</v>
      </c>
      <c r="O11" s="2" t="str">
        <f>TEXT(N11,"yyyy-mm")</f>
        <v>2025-09</v>
      </c>
    </row>
    <row r="12" spans="1:15">
      <c r="A12" s="2" t="s">
        <v>413</v>
      </c>
      <c r="B12" s="2" t="s">
        <v>31</v>
      </c>
      <c r="C12" s="9">
        <v>45911</v>
      </c>
      <c r="D12" s="2" t="s">
        <v>224</v>
      </c>
      <c r="E12" s="2" t="s">
        <v>214</v>
      </c>
      <c r="F12" s="2">
        <v>1</v>
      </c>
      <c r="G12" s="2">
        <v>6</v>
      </c>
      <c r="H12" s="2">
        <v>119</v>
      </c>
      <c r="I12" s="2">
        <f>G12*H12</f>
        <v>714</v>
      </c>
      <c r="J12" s="2">
        <f>INDEX('Script List'!$H$2:$H$161,MATCH(B12,'Script List'!$A$2:$A$161,0))</f>
        <v>187</v>
      </c>
      <c r="K12" s="2" t="s">
        <v>22</v>
      </c>
      <c r="L12" s="2">
        <f>I12-J12</f>
        <v>527</v>
      </c>
      <c r="M12" s="2">
        <v>7.7</v>
      </c>
      <c r="N12" s="9">
        <f>DATE(YEAR(C12),MONTH(C12),1)</f>
        <v>45901.0</v>
      </c>
      <c r="O12" s="2" t="str">
        <f>TEXT(N12,"yyyy-mm")</f>
        <v>2025-09</v>
      </c>
    </row>
    <row r="13" spans="1:15">
      <c r="A13" s="2" t="s">
        <v>414</v>
      </c>
      <c r="B13" s="2" t="s">
        <v>31</v>
      </c>
      <c r="C13" s="9">
        <v>45912</v>
      </c>
      <c r="D13" s="2" t="s">
        <v>224</v>
      </c>
      <c r="E13" s="2" t="s">
        <v>214</v>
      </c>
      <c r="F13" s="2">
        <v>1</v>
      </c>
      <c r="G13" s="2">
        <v>6</v>
      </c>
      <c r="H13" s="2">
        <v>119</v>
      </c>
      <c r="I13" s="2">
        <f>G13*H13</f>
        <v>714</v>
      </c>
      <c r="J13" s="2">
        <f>INDEX('Script List'!$H$2:$H$161,MATCH(B13,'Script List'!$A$2:$A$161,0))</f>
        <v>187</v>
      </c>
      <c r="K13" s="2" t="s">
        <v>22</v>
      </c>
      <c r="L13" s="2">
        <f>I13-J13</f>
        <v>527</v>
      </c>
      <c r="M13" s="2">
        <v>7.7</v>
      </c>
      <c r="N13" s="9">
        <f>DATE(YEAR(C13),MONTH(C13),1)</f>
        <v>45901.0</v>
      </c>
      <c r="O13" s="2" t="str">
        <f>TEXT(N13,"yyyy-mm")</f>
        <v>2025-09</v>
      </c>
    </row>
    <row r="14" spans="1:15">
      <c r="A14" s="2" t="s">
        <v>415</v>
      </c>
      <c r="B14" s="2" t="s">
        <v>32</v>
      </c>
      <c r="C14" s="9">
        <v>45913</v>
      </c>
      <c r="D14" s="2" t="s">
        <v>225</v>
      </c>
      <c r="E14" s="2" t="s">
        <v>218</v>
      </c>
      <c r="F14" s="2">
        <v>3</v>
      </c>
      <c r="G14" s="2">
        <v>7</v>
      </c>
      <c r="H14" s="2">
        <v>95</v>
      </c>
      <c r="I14" s="2">
        <f>G14*H14</f>
        <v>665</v>
      </c>
      <c r="J14" s="2">
        <f>INDEX('Script List'!$H$2:$H$161,MATCH(B14,'Script List'!$A$2:$A$161,0))</f>
        <v>175</v>
      </c>
      <c r="K14" s="2" t="s">
        <v>21</v>
      </c>
      <c r="L14" s="2">
        <f>I14-J14</f>
        <v>490</v>
      </c>
      <c r="M14" s="2">
        <v>8.4</v>
      </c>
      <c r="N14" s="9">
        <f>DATE(YEAR(C14),MONTH(C14),1)</f>
        <v>45901.0</v>
      </c>
      <c r="O14" s="2" t="str">
        <f>TEXT(N14,"yyyy-mm")</f>
        <v>2025-09</v>
      </c>
    </row>
    <row r="15" spans="1:15">
      <c r="A15" s="2" t="s">
        <v>416</v>
      </c>
      <c r="B15" s="2" t="s">
        <v>32</v>
      </c>
      <c r="C15" s="9">
        <v>45914</v>
      </c>
      <c r="D15" s="2" t="s">
        <v>225</v>
      </c>
      <c r="E15" s="2" t="s">
        <v>218</v>
      </c>
      <c r="F15" s="2">
        <v>3</v>
      </c>
      <c r="G15" s="2">
        <v>7</v>
      </c>
      <c r="H15" s="2">
        <v>95</v>
      </c>
      <c r="I15" s="2">
        <f>G15*H15</f>
        <v>665</v>
      </c>
      <c r="J15" s="2">
        <f>INDEX('Script List'!$H$2:$H$161,MATCH(B15,'Script List'!$A$2:$A$161,0))</f>
        <v>175</v>
      </c>
      <c r="K15" s="2" t="s">
        <v>21</v>
      </c>
      <c r="L15" s="2">
        <f>I15-J15</f>
        <v>490</v>
      </c>
      <c r="M15" s="2">
        <v>8.4</v>
      </c>
      <c r="N15" s="9">
        <f>DATE(YEAR(C15),MONTH(C15),1)</f>
        <v>45901.0</v>
      </c>
      <c r="O15" s="2" t="str">
        <f>TEXT(N15,"yyyy-mm")</f>
        <v>2025-09</v>
      </c>
    </row>
    <row r="16" spans="1:15">
      <c r="A16" s="2" t="s">
        <v>417</v>
      </c>
      <c r="B16" s="2" t="s">
        <v>32</v>
      </c>
      <c r="C16" s="9">
        <v>45915</v>
      </c>
      <c r="D16" s="2" t="s">
        <v>225</v>
      </c>
      <c r="E16" s="2" t="s">
        <v>218</v>
      </c>
      <c r="F16" s="2">
        <v>3</v>
      </c>
      <c r="G16" s="2">
        <v>7</v>
      </c>
      <c r="H16" s="2">
        <v>95</v>
      </c>
      <c r="I16" s="2">
        <f>G16*H16</f>
        <v>665</v>
      </c>
      <c r="J16" s="2">
        <f>INDEX('Script List'!$H$2:$H$161,MATCH(B16,'Script List'!$A$2:$A$161,0))</f>
        <v>175</v>
      </c>
      <c r="K16" s="2" t="s">
        <v>21</v>
      </c>
      <c r="L16" s="2">
        <f>I16-J16</f>
        <v>490</v>
      </c>
      <c r="M16" s="2">
        <v>8.4</v>
      </c>
      <c r="N16" s="9">
        <f>DATE(YEAR(C16),MONTH(C16),1)</f>
        <v>45901.0</v>
      </c>
      <c r="O16" s="2" t="str">
        <f>TEXT(N16,"yyyy-mm")</f>
        <v>2025-09</v>
      </c>
    </row>
    <row r="17" spans="1:15">
      <c r="A17" s="2" t="s">
        <v>418</v>
      </c>
      <c r="B17" s="2" t="s">
        <v>32</v>
      </c>
      <c r="C17" s="9">
        <v>45916</v>
      </c>
      <c r="D17" s="2" t="s">
        <v>225</v>
      </c>
      <c r="E17" s="2" t="s">
        <v>218</v>
      </c>
      <c r="F17" s="2">
        <v>3</v>
      </c>
      <c r="G17" s="2">
        <v>7</v>
      </c>
      <c r="H17" s="2">
        <v>95</v>
      </c>
      <c r="I17" s="2">
        <f>G17*H17</f>
        <v>665</v>
      </c>
      <c r="J17" s="2">
        <f>INDEX('Script List'!$H$2:$H$161,MATCH(B17,'Script List'!$A$2:$A$161,0))</f>
        <v>175</v>
      </c>
      <c r="K17" s="2" t="s">
        <v>21</v>
      </c>
      <c r="L17" s="2">
        <f>I17-J17</f>
        <v>490</v>
      </c>
      <c r="M17" s="2">
        <v>8.4</v>
      </c>
      <c r="N17" s="9">
        <f>DATE(YEAR(C17),MONTH(C17),1)</f>
        <v>45901.0</v>
      </c>
      <c r="O17" s="2" t="str">
        <f>TEXT(N17,"yyyy-mm")</f>
        <v>2025-09</v>
      </c>
    </row>
    <row r="18" spans="1:15">
      <c r="A18" s="2" t="s">
        <v>419</v>
      </c>
      <c r="B18" s="2" t="s">
        <v>33</v>
      </c>
      <c r="C18" s="9">
        <v>45916</v>
      </c>
      <c r="D18" s="2" t="s">
        <v>226</v>
      </c>
      <c r="E18" s="2" t="s">
        <v>212</v>
      </c>
      <c r="F18" s="2">
        <v>6</v>
      </c>
      <c r="G18" s="2">
        <v>8</v>
      </c>
      <c r="H18" s="2">
        <v>109</v>
      </c>
      <c r="I18" s="2">
        <f>G18*H18</f>
        <v>872</v>
      </c>
      <c r="J18" s="2">
        <f>INDEX('Script List'!$H$2:$H$161,MATCH(B18,'Script List'!$A$2:$A$161,0))</f>
        <v>540</v>
      </c>
      <c r="K18" s="2" t="s">
        <v>22</v>
      </c>
      <c r="L18" s="2">
        <f>I18-J18</f>
        <v>332</v>
      </c>
      <c r="M18" s="2">
        <v>7</v>
      </c>
      <c r="N18" s="9">
        <f>DATE(YEAR(C18),MONTH(C18),1)</f>
        <v>45901.0</v>
      </c>
      <c r="O18" s="2" t="str">
        <f>TEXT(N18,"yyyy-mm")</f>
        <v>2025-09</v>
      </c>
    </row>
    <row r="19" spans="1:15">
      <c r="A19" s="2" t="s">
        <v>420</v>
      </c>
      <c r="B19" s="2" t="s">
        <v>34</v>
      </c>
      <c r="C19" s="9">
        <v>45917</v>
      </c>
      <c r="D19" s="2" t="s">
        <v>227</v>
      </c>
      <c r="E19" s="2" t="s">
        <v>212</v>
      </c>
      <c r="F19" s="2">
        <v>2</v>
      </c>
      <c r="G19" s="2">
        <v>6</v>
      </c>
      <c r="H19" s="2">
        <v>118</v>
      </c>
      <c r="I19" s="2">
        <f>G19*H19</f>
        <v>708</v>
      </c>
      <c r="J19" s="2">
        <f>INDEX('Script List'!$H$2:$H$161,MATCH(B19,'Script List'!$A$2:$A$161,0))</f>
        <v>180</v>
      </c>
      <c r="K19" s="2" t="s">
        <v>22</v>
      </c>
      <c r="L19" s="2">
        <f>I19-J19</f>
        <v>528</v>
      </c>
      <c r="M19" s="2">
        <v>7.7</v>
      </c>
      <c r="N19" s="9">
        <f>DATE(YEAR(C19),MONTH(C19),1)</f>
        <v>45901.0</v>
      </c>
      <c r="O19" s="2" t="str">
        <f>TEXT(N19,"yyyy-mm")</f>
        <v>2025-09</v>
      </c>
    </row>
    <row r="20" spans="1:15">
      <c r="A20" s="2" t="s">
        <v>421</v>
      </c>
      <c r="B20" s="2" t="s">
        <v>34</v>
      </c>
      <c r="C20" s="9">
        <v>45918</v>
      </c>
      <c r="D20" s="2" t="s">
        <v>227</v>
      </c>
      <c r="E20" s="2" t="s">
        <v>212</v>
      </c>
      <c r="F20" s="2">
        <v>2</v>
      </c>
      <c r="G20" s="2">
        <v>6</v>
      </c>
      <c r="H20" s="2">
        <v>118</v>
      </c>
      <c r="I20" s="2">
        <f>G20*H20</f>
        <v>708</v>
      </c>
      <c r="J20" s="2">
        <f>INDEX('Script List'!$H$2:$H$161,MATCH(B20,'Script List'!$A$2:$A$161,0))</f>
        <v>180</v>
      </c>
      <c r="K20" s="2" t="s">
        <v>22</v>
      </c>
      <c r="L20" s="2">
        <f>I20-J20</f>
        <v>528</v>
      </c>
      <c r="M20" s="2">
        <v>7.7</v>
      </c>
      <c r="N20" s="9">
        <f>DATE(YEAR(C20),MONTH(C20),1)</f>
        <v>45901.0</v>
      </c>
      <c r="O20" s="2" t="str">
        <f>TEXT(N20,"yyyy-mm")</f>
        <v>2025-09</v>
      </c>
    </row>
    <row r="21" spans="1:15">
      <c r="A21" s="2" t="s">
        <v>422</v>
      </c>
      <c r="B21" s="2" t="s">
        <v>35</v>
      </c>
      <c r="C21" s="9">
        <v>45919</v>
      </c>
      <c r="D21" s="2" t="s">
        <v>228</v>
      </c>
      <c r="E21" s="2" t="s">
        <v>214</v>
      </c>
      <c r="F21" s="2">
        <v>1</v>
      </c>
      <c r="G21" s="2">
        <v>6</v>
      </c>
      <c r="H21" s="2">
        <v>119</v>
      </c>
      <c r="I21" s="2">
        <f>G21*H21</f>
        <v>714</v>
      </c>
      <c r="J21" s="2">
        <f>INDEX('Script List'!$H$2:$H$161,MATCH(B21,'Script List'!$A$2:$A$161,0))</f>
        <v>187</v>
      </c>
      <c r="K21" s="2" t="s">
        <v>20</v>
      </c>
      <c r="L21" s="2">
        <f>I21-J21</f>
        <v>527</v>
      </c>
      <c r="M21" s="2">
        <v>8.4</v>
      </c>
      <c r="N21" s="9">
        <f>DATE(YEAR(C21),MONTH(C21),1)</f>
        <v>45901.0</v>
      </c>
      <c r="O21" s="2" t="str">
        <f>TEXT(N21,"yyyy-mm")</f>
        <v>2025-09</v>
      </c>
    </row>
    <row r="22" spans="1:15">
      <c r="A22" s="2" t="s">
        <v>423</v>
      </c>
      <c r="B22" s="2" t="s">
        <v>35</v>
      </c>
      <c r="C22" s="9">
        <v>45920</v>
      </c>
      <c r="D22" s="2" t="s">
        <v>228</v>
      </c>
      <c r="E22" s="2" t="s">
        <v>214</v>
      </c>
      <c r="F22" s="2">
        <v>1</v>
      </c>
      <c r="G22" s="2">
        <v>6</v>
      </c>
      <c r="H22" s="2">
        <v>119</v>
      </c>
      <c r="I22" s="2">
        <f>G22*H22</f>
        <v>714</v>
      </c>
      <c r="J22" s="2">
        <f>INDEX('Script List'!$H$2:$H$161,MATCH(B22,'Script List'!$A$2:$A$161,0))</f>
        <v>187</v>
      </c>
      <c r="K22" s="2" t="s">
        <v>20</v>
      </c>
      <c r="L22" s="2">
        <f>I22-J22</f>
        <v>527</v>
      </c>
      <c r="M22" s="2">
        <v>8.4</v>
      </c>
      <c r="N22" s="9">
        <f>DATE(YEAR(C22),MONTH(C22),1)</f>
        <v>45901.0</v>
      </c>
      <c r="O22" s="2" t="str">
        <f>TEXT(N22,"yyyy-mm")</f>
        <v>2025-09</v>
      </c>
    </row>
    <row r="23" spans="1:15">
      <c r="A23" s="2" t="s">
        <v>424</v>
      </c>
      <c r="B23" s="2" t="s">
        <v>35</v>
      </c>
      <c r="C23" s="9">
        <v>45921</v>
      </c>
      <c r="D23" s="2" t="s">
        <v>228</v>
      </c>
      <c r="E23" s="2" t="s">
        <v>214</v>
      </c>
      <c r="F23" s="2">
        <v>1</v>
      </c>
      <c r="G23" s="2">
        <v>6</v>
      </c>
      <c r="H23" s="2">
        <v>119</v>
      </c>
      <c r="I23" s="2">
        <f>G23*H23</f>
        <v>714</v>
      </c>
      <c r="J23" s="2">
        <f>INDEX('Script List'!$H$2:$H$161,MATCH(B23,'Script List'!$A$2:$A$161,0))</f>
        <v>187</v>
      </c>
      <c r="K23" s="2" t="s">
        <v>20</v>
      </c>
      <c r="L23" s="2">
        <f>I23-J23</f>
        <v>527</v>
      </c>
      <c r="M23" s="2">
        <v>8.4</v>
      </c>
      <c r="N23" s="9">
        <f>DATE(YEAR(C23),MONTH(C23),1)</f>
        <v>45901.0</v>
      </c>
      <c r="O23" s="2" t="str">
        <f>TEXT(N23,"yyyy-mm")</f>
        <v>2025-09</v>
      </c>
    </row>
    <row r="24" spans="1:15">
      <c r="A24" s="2" t="s">
        <v>425</v>
      </c>
      <c r="B24" s="2" t="s">
        <v>35</v>
      </c>
      <c r="C24" s="9">
        <v>45922</v>
      </c>
      <c r="D24" s="2" t="s">
        <v>228</v>
      </c>
      <c r="E24" s="2" t="s">
        <v>214</v>
      </c>
      <c r="F24" s="2">
        <v>1</v>
      </c>
      <c r="G24" s="2">
        <v>6</v>
      </c>
      <c r="H24" s="2">
        <v>119</v>
      </c>
      <c r="I24" s="2">
        <f>G24*H24</f>
        <v>714</v>
      </c>
      <c r="J24" s="2">
        <f>INDEX('Script List'!$H$2:$H$161,MATCH(B24,'Script List'!$A$2:$A$161,0))</f>
        <v>187</v>
      </c>
      <c r="K24" s="2" t="s">
        <v>20</v>
      </c>
      <c r="L24" s="2">
        <f>I24-J24</f>
        <v>527</v>
      </c>
      <c r="M24" s="2">
        <v>8.4</v>
      </c>
      <c r="N24" s="9">
        <f>DATE(YEAR(C24),MONTH(C24),1)</f>
        <v>45901.0</v>
      </c>
      <c r="O24" s="2" t="str">
        <f>TEXT(N24,"yyyy-mm")</f>
        <v>2025-09</v>
      </c>
    </row>
    <row r="25" spans="1:15">
      <c r="A25" s="2" t="s">
        <v>426</v>
      </c>
      <c r="B25" s="2" t="s">
        <v>35</v>
      </c>
      <c r="C25" s="9">
        <v>45923</v>
      </c>
      <c r="D25" s="2" t="s">
        <v>228</v>
      </c>
      <c r="E25" s="2" t="s">
        <v>214</v>
      </c>
      <c r="F25" s="2">
        <v>1</v>
      </c>
      <c r="G25" s="2">
        <v>6</v>
      </c>
      <c r="H25" s="2">
        <v>119</v>
      </c>
      <c r="I25" s="2">
        <f>G25*H25</f>
        <v>714</v>
      </c>
      <c r="J25" s="2">
        <f>INDEX('Script List'!$H$2:$H$161,MATCH(B25,'Script List'!$A$2:$A$161,0))</f>
        <v>187</v>
      </c>
      <c r="K25" s="2" t="s">
        <v>20</v>
      </c>
      <c r="L25" s="2">
        <f>I25-J25</f>
        <v>527</v>
      </c>
      <c r="M25" s="2">
        <v>8.4</v>
      </c>
      <c r="N25" s="9">
        <f>DATE(YEAR(C25),MONTH(C25),1)</f>
        <v>45901.0</v>
      </c>
      <c r="O25" s="2" t="str">
        <f>TEXT(N25,"yyyy-mm")</f>
        <v>2025-09</v>
      </c>
    </row>
    <row r="26" spans="1:15">
      <c r="A26" s="2" t="s">
        <v>427</v>
      </c>
      <c r="B26" s="2" t="s">
        <v>36</v>
      </c>
      <c r="C26" s="9">
        <v>45924</v>
      </c>
      <c r="D26" s="2" t="s">
        <v>229</v>
      </c>
      <c r="E26" s="2" t="s">
        <v>212</v>
      </c>
      <c r="F26" s="2">
        <v>3</v>
      </c>
      <c r="G26" s="2">
        <v>6</v>
      </c>
      <c r="H26" s="2">
        <v>99</v>
      </c>
      <c r="I26" s="2">
        <f>G26*H26</f>
        <v>594</v>
      </c>
      <c r="J26" s="2">
        <f>INDEX('Script List'!$H$2:$H$161,MATCH(B26,'Script List'!$A$2:$A$161,0))</f>
        <v>270</v>
      </c>
      <c r="K26" s="2" t="s">
        <v>22</v>
      </c>
      <c r="L26" s="2">
        <f>I26-J26</f>
        <v>324</v>
      </c>
      <c r="M26" s="2">
        <v>7</v>
      </c>
      <c r="N26" s="9">
        <f>DATE(YEAR(C26),MONTH(C26),1)</f>
        <v>45901.0</v>
      </c>
      <c r="O26" s="2" t="str">
        <f>TEXT(N26,"yyyy-mm")</f>
        <v>2025-09</v>
      </c>
    </row>
    <row r="27" spans="1:15">
      <c r="A27" s="2" t="s">
        <v>428</v>
      </c>
      <c r="B27" s="2" t="s">
        <v>37</v>
      </c>
      <c r="C27" s="9">
        <v>45925</v>
      </c>
      <c r="D27" s="2" t="s">
        <v>230</v>
      </c>
      <c r="E27" s="2" t="s">
        <v>218</v>
      </c>
      <c r="F27" s="2">
        <v>3</v>
      </c>
      <c r="G27" s="2">
        <v>7</v>
      </c>
      <c r="H27" s="2">
        <v>109</v>
      </c>
      <c r="I27" s="2">
        <f>G27*H27</f>
        <v>763</v>
      </c>
      <c r="J27" s="2">
        <f>INDEX('Script List'!$H$2:$H$161,MATCH(B27,'Script List'!$A$2:$A$161,0))</f>
        <v>200</v>
      </c>
      <c r="K27" s="2" t="s">
        <v>21</v>
      </c>
      <c r="L27" s="2">
        <f>I27-J27</f>
        <v>563</v>
      </c>
      <c r="M27" s="2">
        <v>7.7</v>
      </c>
      <c r="N27" s="9">
        <f>DATE(YEAR(C27),MONTH(C27),1)</f>
        <v>45901.0</v>
      </c>
      <c r="O27" s="2" t="str">
        <f>TEXT(N27,"yyyy-mm")</f>
        <v>2025-09</v>
      </c>
    </row>
    <row r="28" spans="1:15">
      <c r="A28" s="2" t="s">
        <v>429</v>
      </c>
      <c r="B28" s="2" t="s">
        <v>37</v>
      </c>
      <c r="C28" s="9">
        <v>45926</v>
      </c>
      <c r="D28" s="2" t="s">
        <v>230</v>
      </c>
      <c r="E28" s="2" t="s">
        <v>218</v>
      </c>
      <c r="F28" s="2">
        <v>3</v>
      </c>
      <c r="G28" s="2">
        <v>7</v>
      </c>
      <c r="H28" s="2">
        <v>109</v>
      </c>
      <c r="I28" s="2">
        <f>G28*H28</f>
        <v>763</v>
      </c>
      <c r="J28" s="2">
        <f>INDEX('Script List'!$H$2:$H$161,MATCH(B28,'Script List'!$A$2:$A$161,0))</f>
        <v>200</v>
      </c>
      <c r="K28" s="2" t="s">
        <v>21</v>
      </c>
      <c r="L28" s="2">
        <f>I28-J28</f>
        <v>563</v>
      </c>
      <c r="M28" s="2">
        <v>7.7</v>
      </c>
      <c r="N28" s="9">
        <f>DATE(YEAR(C28),MONTH(C28),1)</f>
        <v>45901.0</v>
      </c>
      <c r="O28" s="2" t="str">
        <f>TEXT(N28,"yyyy-mm")</f>
        <v>2025-09</v>
      </c>
    </row>
    <row r="29" spans="1:15">
      <c r="A29" s="2" t="s">
        <v>430</v>
      </c>
      <c r="B29" s="2" t="s">
        <v>38</v>
      </c>
      <c r="C29" s="9">
        <v>45927</v>
      </c>
      <c r="D29" s="2" t="s">
        <v>231</v>
      </c>
      <c r="E29" s="2" t="s">
        <v>214</v>
      </c>
      <c r="F29" s="2">
        <v>2</v>
      </c>
      <c r="G29" s="2">
        <v>8</v>
      </c>
      <c r="H29" s="2">
        <v>95</v>
      </c>
      <c r="I29" s="2">
        <f>G29*H29</f>
        <v>760</v>
      </c>
      <c r="J29" s="2">
        <f>INDEX('Script List'!$H$2:$H$161,MATCH(B29,'Script List'!$A$2:$A$161,0))</f>
        <v>200</v>
      </c>
      <c r="K29" s="2" t="s">
        <v>20</v>
      </c>
      <c r="L29" s="2">
        <f>I29-J29</f>
        <v>560</v>
      </c>
      <c r="M29" s="2">
        <v>8.4</v>
      </c>
      <c r="N29" s="9">
        <f>DATE(YEAR(C29),MONTH(C29),1)</f>
        <v>45901.0</v>
      </c>
      <c r="O29" s="2" t="str">
        <f>TEXT(N29,"yyyy-mm")</f>
        <v>2025-09</v>
      </c>
    </row>
    <row r="30" spans="1:15">
      <c r="A30" s="2" t="s">
        <v>431</v>
      </c>
      <c r="B30" s="2" t="s">
        <v>38</v>
      </c>
      <c r="C30" s="9">
        <v>45928</v>
      </c>
      <c r="D30" s="2" t="s">
        <v>231</v>
      </c>
      <c r="E30" s="2" t="s">
        <v>214</v>
      </c>
      <c r="F30" s="2">
        <v>2</v>
      </c>
      <c r="G30" s="2">
        <v>8</v>
      </c>
      <c r="H30" s="2">
        <v>95</v>
      </c>
      <c r="I30" s="2">
        <f>G30*H30</f>
        <v>760</v>
      </c>
      <c r="J30" s="2">
        <f>INDEX('Script List'!$H$2:$H$161,MATCH(B30,'Script List'!$A$2:$A$161,0))</f>
        <v>200</v>
      </c>
      <c r="K30" s="2" t="s">
        <v>20</v>
      </c>
      <c r="L30" s="2">
        <f>I30-J30</f>
        <v>560</v>
      </c>
      <c r="M30" s="2">
        <v>8.4</v>
      </c>
      <c r="N30" s="9">
        <f>DATE(YEAR(C30),MONTH(C30),1)</f>
        <v>45901.0</v>
      </c>
      <c r="O30" s="2" t="str">
        <f>TEXT(N30,"yyyy-mm")</f>
        <v>2025-09</v>
      </c>
    </row>
    <row r="31" spans="1:15">
      <c r="A31" s="2" t="s">
        <v>432</v>
      </c>
      <c r="B31" s="2" t="s">
        <v>38</v>
      </c>
      <c r="C31" s="9">
        <v>45929</v>
      </c>
      <c r="D31" s="2" t="s">
        <v>231</v>
      </c>
      <c r="E31" s="2" t="s">
        <v>214</v>
      </c>
      <c r="F31" s="2">
        <v>2</v>
      </c>
      <c r="G31" s="2">
        <v>8</v>
      </c>
      <c r="H31" s="2">
        <v>95</v>
      </c>
      <c r="I31" s="2">
        <f>G31*H31</f>
        <v>760</v>
      </c>
      <c r="J31" s="2">
        <f>INDEX('Script List'!$H$2:$H$161,MATCH(B31,'Script List'!$A$2:$A$161,0))</f>
        <v>200</v>
      </c>
      <c r="K31" s="2" t="s">
        <v>20</v>
      </c>
      <c r="L31" s="2">
        <f>I31-J31</f>
        <v>560</v>
      </c>
      <c r="M31" s="2">
        <v>8.4</v>
      </c>
      <c r="N31" s="9">
        <f>DATE(YEAR(C31),MONTH(C31),1)</f>
        <v>45901.0</v>
      </c>
      <c r="O31" s="2" t="str">
        <f>TEXT(N31,"yyyy-mm")</f>
        <v>2025-09</v>
      </c>
    </row>
    <row r="32" spans="1:15">
      <c r="A32" s="2" t="s">
        <v>433</v>
      </c>
      <c r="B32" s="2" t="s">
        <v>38</v>
      </c>
      <c r="C32" s="9">
        <v>45930</v>
      </c>
      <c r="D32" s="2" t="s">
        <v>231</v>
      </c>
      <c r="E32" s="2" t="s">
        <v>214</v>
      </c>
      <c r="F32" s="2">
        <v>2</v>
      </c>
      <c r="G32" s="2">
        <v>8</v>
      </c>
      <c r="H32" s="2">
        <v>95</v>
      </c>
      <c r="I32" s="2">
        <f>G32*H32</f>
        <v>760</v>
      </c>
      <c r="J32" s="2">
        <f>INDEX('Script List'!$H$2:$H$161,MATCH(B32,'Script List'!$A$2:$A$161,0))</f>
        <v>200</v>
      </c>
      <c r="K32" s="2" t="s">
        <v>20</v>
      </c>
      <c r="L32" s="2">
        <f>I32-J32</f>
        <v>560</v>
      </c>
      <c r="M32" s="2">
        <v>8.4</v>
      </c>
      <c r="N32" s="9">
        <f>DATE(YEAR(C32),MONTH(C32),1)</f>
        <v>45901.0</v>
      </c>
      <c r="O32" s="2" t="str">
        <f>TEXT(N32,"yyyy-mm")</f>
        <v>2025-09</v>
      </c>
    </row>
    <row r="33" spans="1:15">
      <c r="A33" s="2" t="s">
        <v>434</v>
      </c>
      <c r="B33" s="2" t="s">
        <v>38</v>
      </c>
      <c r="C33" s="9">
        <v>45931</v>
      </c>
      <c r="D33" s="2" t="s">
        <v>231</v>
      </c>
      <c r="E33" s="2" t="s">
        <v>214</v>
      </c>
      <c r="F33" s="2">
        <v>2</v>
      </c>
      <c r="G33" s="2">
        <v>8</v>
      </c>
      <c r="H33" s="2">
        <v>95</v>
      </c>
      <c r="I33" s="2">
        <f>G33*H33</f>
        <v>760</v>
      </c>
      <c r="J33" s="2">
        <f>INDEX('Script List'!$H$2:$H$161,MATCH(B33,'Script List'!$A$2:$A$161,0))</f>
        <v>200</v>
      </c>
      <c r="K33" s="2" t="s">
        <v>20</v>
      </c>
      <c r="L33" s="2">
        <f>I33-J33</f>
        <v>560</v>
      </c>
      <c r="M33" s="2">
        <v>8.4</v>
      </c>
      <c r="N33" s="9">
        <f>DATE(YEAR(C33),MONTH(C33),1)</f>
        <v>45931.0</v>
      </c>
      <c r="O33" s="2" t="str">
        <f>TEXT(N33,"yyyy-mm")</f>
        <v>2025-10</v>
      </c>
    </row>
    <row r="34" spans="1:15">
      <c r="A34" s="2" t="s">
        <v>435</v>
      </c>
      <c r="B34" s="2" t="s">
        <v>38</v>
      </c>
      <c r="C34" s="9">
        <v>45932</v>
      </c>
      <c r="D34" s="2" t="s">
        <v>231</v>
      </c>
      <c r="E34" s="2" t="s">
        <v>214</v>
      </c>
      <c r="F34" s="2">
        <v>2</v>
      </c>
      <c r="G34" s="2">
        <v>8</v>
      </c>
      <c r="H34" s="2">
        <v>95</v>
      </c>
      <c r="I34" s="2">
        <f>G34*H34</f>
        <v>760</v>
      </c>
      <c r="J34" s="2">
        <f>INDEX('Script List'!$H$2:$H$161,MATCH(B34,'Script List'!$A$2:$A$161,0))</f>
        <v>200</v>
      </c>
      <c r="K34" s="2" t="s">
        <v>20</v>
      </c>
      <c r="L34" s="2">
        <f>I34-J34</f>
        <v>560</v>
      </c>
      <c r="M34" s="2">
        <v>8.4</v>
      </c>
      <c r="N34" s="9">
        <f>DATE(YEAR(C34),MONTH(C34),1)</f>
        <v>45931.0</v>
      </c>
      <c r="O34" s="2" t="str">
        <f>TEXT(N34,"yyyy-mm")</f>
        <v>2025-10</v>
      </c>
    </row>
    <row r="35" spans="1:15">
      <c r="A35" s="2" t="s">
        <v>436</v>
      </c>
      <c r="B35" s="2" t="s">
        <v>38</v>
      </c>
      <c r="C35" s="9">
        <v>45933</v>
      </c>
      <c r="D35" s="2" t="s">
        <v>231</v>
      </c>
      <c r="E35" s="2" t="s">
        <v>214</v>
      </c>
      <c r="F35" s="2">
        <v>2</v>
      </c>
      <c r="G35" s="2">
        <v>8</v>
      </c>
      <c r="H35" s="2">
        <v>95</v>
      </c>
      <c r="I35" s="2">
        <f>G35*H35</f>
        <v>760</v>
      </c>
      <c r="J35" s="2">
        <f>INDEX('Script List'!$H$2:$H$161,MATCH(B35,'Script List'!$A$2:$A$161,0))</f>
        <v>200</v>
      </c>
      <c r="K35" s="2" t="s">
        <v>20</v>
      </c>
      <c r="L35" s="2">
        <f>I35-J35</f>
        <v>560</v>
      </c>
      <c r="M35" s="2">
        <v>8.4</v>
      </c>
      <c r="N35" s="9">
        <f>DATE(YEAR(C35),MONTH(C35),1)</f>
        <v>45931.0</v>
      </c>
      <c r="O35" s="2" t="str">
        <f>TEXT(N35,"yyyy-mm")</f>
        <v>2025-10</v>
      </c>
    </row>
    <row r="36" spans="1:15">
      <c r="A36" s="2" t="s">
        <v>437</v>
      </c>
      <c r="B36" s="2" t="s">
        <v>40</v>
      </c>
      <c r="C36" s="9">
        <v>45934</v>
      </c>
      <c r="D36" s="2" t="s">
        <v>232</v>
      </c>
      <c r="E36" s="2" t="s">
        <v>212</v>
      </c>
      <c r="F36" s="2">
        <v>2</v>
      </c>
      <c r="G36" s="2">
        <v>6</v>
      </c>
      <c r="H36" s="2">
        <v>138</v>
      </c>
      <c r="I36" s="2">
        <f>G36*H36</f>
        <v>828</v>
      </c>
      <c r="J36" s="2">
        <f>INDEX('Script List'!$H$2:$H$161,MATCH(B36,'Script List'!$A$2:$A$161,0))</f>
        <v>180</v>
      </c>
      <c r="K36" s="2" t="s">
        <v>22</v>
      </c>
      <c r="L36" s="2">
        <f>I36-J36</f>
        <v>648</v>
      </c>
      <c r="M36" s="2">
        <v>7</v>
      </c>
      <c r="N36" s="9">
        <f>DATE(YEAR(C36),MONTH(C36),1)</f>
        <v>45931.0</v>
      </c>
      <c r="O36" s="2" t="str">
        <f>TEXT(N36,"yyyy-mm")</f>
        <v>2025-10</v>
      </c>
    </row>
    <row r="37" spans="1:15">
      <c r="A37" s="2" t="s">
        <v>438</v>
      </c>
      <c r="B37" s="2" t="s">
        <v>42</v>
      </c>
      <c r="C37" s="9">
        <v>45935</v>
      </c>
      <c r="D37" s="2" t="s">
        <v>233</v>
      </c>
      <c r="E37" s="2" t="s">
        <v>223</v>
      </c>
      <c r="F37" s="2">
        <v>1</v>
      </c>
      <c r="G37" s="2">
        <v>6</v>
      </c>
      <c r="H37" s="2">
        <v>109</v>
      </c>
      <c r="I37" s="2">
        <f>G37*H37</f>
        <v>654</v>
      </c>
      <c r="J37" s="2">
        <f>INDEX('Script List'!$H$2:$H$161,MATCH(B37,'Script List'!$A$2:$A$161,0))</f>
        <v>172</v>
      </c>
      <c r="K37" s="2" t="s">
        <v>20</v>
      </c>
      <c r="L37" s="2">
        <f>I37-J37</f>
        <v>482</v>
      </c>
      <c r="M37" s="2">
        <v>7.7</v>
      </c>
      <c r="N37" s="9">
        <f>DATE(YEAR(C37),MONTH(C37),1)</f>
        <v>45931.0</v>
      </c>
      <c r="O37" s="2" t="str">
        <f>TEXT(N37,"yyyy-mm")</f>
        <v>2025-10</v>
      </c>
    </row>
    <row r="38" spans="1:15">
      <c r="A38" s="2" t="s">
        <v>439</v>
      </c>
      <c r="B38" s="2" t="s">
        <v>42</v>
      </c>
      <c r="C38" s="9">
        <v>45936</v>
      </c>
      <c r="D38" s="2" t="s">
        <v>233</v>
      </c>
      <c r="E38" s="2" t="s">
        <v>223</v>
      </c>
      <c r="F38" s="2">
        <v>1</v>
      </c>
      <c r="G38" s="2">
        <v>6</v>
      </c>
      <c r="H38" s="2">
        <v>109</v>
      </c>
      <c r="I38" s="2">
        <f>G38*H38</f>
        <v>654</v>
      </c>
      <c r="J38" s="2">
        <f>INDEX('Script List'!$H$2:$H$161,MATCH(B38,'Script List'!$A$2:$A$161,0))</f>
        <v>172</v>
      </c>
      <c r="K38" s="2" t="s">
        <v>20</v>
      </c>
      <c r="L38" s="2">
        <f>I38-J38</f>
        <v>482</v>
      </c>
      <c r="M38" s="2">
        <v>7.7</v>
      </c>
      <c r="N38" s="9">
        <f>DATE(YEAR(C38),MONTH(C38),1)</f>
        <v>45931.0</v>
      </c>
      <c r="O38" s="2" t="str">
        <f>TEXT(N38,"yyyy-mm")</f>
        <v>2025-10</v>
      </c>
    </row>
    <row r="39" spans="1:15">
      <c r="A39" s="2" t="s">
        <v>440</v>
      </c>
      <c r="B39" s="2" t="s">
        <v>42</v>
      </c>
      <c r="C39" s="9">
        <v>45937</v>
      </c>
      <c r="D39" s="2" t="s">
        <v>233</v>
      </c>
      <c r="E39" s="2" t="s">
        <v>223</v>
      </c>
      <c r="F39" s="2">
        <v>1</v>
      </c>
      <c r="G39" s="2">
        <v>6</v>
      </c>
      <c r="H39" s="2">
        <v>109</v>
      </c>
      <c r="I39" s="2">
        <f>G39*H39</f>
        <v>654</v>
      </c>
      <c r="J39" s="2">
        <f>INDEX('Script List'!$H$2:$H$161,MATCH(B39,'Script List'!$A$2:$A$161,0))</f>
        <v>172</v>
      </c>
      <c r="K39" s="2" t="s">
        <v>20</v>
      </c>
      <c r="L39" s="2">
        <f>I39-J39</f>
        <v>482</v>
      </c>
      <c r="M39" s="2">
        <v>7.7</v>
      </c>
      <c r="N39" s="9">
        <f>DATE(YEAR(C39),MONTH(C39),1)</f>
        <v>45931.0</v>
      </c>
      <c r="O39" s="2" t="str">
        <f>TEXT(N39,"yyyy-mm")</f>
        <v>2025-10</v>
      </c>
    </row>
    <row r="40" spans="1:15">
      <c r="A40" s="2" t="s">
        <v>441</v>
      </c>
      <c r="B40" s="2" t="s">
        <v>44</v>
      </c>
      <c r="C40" s="9">
        <v>45938</v>
      </c>
      <c r="D40" s="2" t="s">
        <v>234</v>
      </c>
      <c r="E40" s="2" t="s">
        <v>214</v>
      </c>
      <c r="F40" s="2">
        <v>1</v>
      </c>
      <c r="G40" s="2">
        <v>6</v>
      </c>
      <c r="H40" s="2">
        <v>75</v>
      </c>
      <c r="I40" s="2">
        <f>G40*H40</f>
        <v>450</v>
      </c>
      <c r="J40" s="2">
        <f>INDEX('Script List'!$H$2:$H$161,MATCH(B40,'Script List'!$A$2:$A$161,0))</f>
        <v>118</v>
      </c>
      <c r="K40" s="2" t="s">
        <v>22</v>
      </c>
      <c r="L40" s="2">
        <f>I40-J40</f>
        <v>332</v>
      </c>
      <c r="M40" s="2">
        <v>8.4</v>
      </c>
      <c r="N40" s="9">
        <f>DATE(YEAR(C40),MONTH(C40),1)</f>
        <v>45931.0</v>
      </c>
      <c r="O40" s="2" t="str">
        <f>TEXT(N40,"yyyy-mm")</f>
        <v>2025-10</v>
      </c>
    </row>
    <row r="41" spans="1:15">
      <c r="A41" s="2" t="s">
        <v>442</v>
      </c>
      <c r="B41" s="2" t="s">
        <v>44</v>
      </c>
      <c r="C41" s="9">
        <v>45939</v>
      </c>
      <c r="D41" s="2" t="s">
        <v>234</v>
      </c>
      <c r="E41" s="2" t="s">
        <v>214</v>
      </c>
      <c r="F41" s="2">
        <v>1</v>
      </c>
      <c r="G41" s="2">
        <v>6</v>
      </c>
      <c r="H41" s="2">
        <v>75</v>
      </c>
      <c r="I41" s="2">
        <f>G41*H41</f>
        <v>450</v>
      </c>
      <c r="J41" s="2">
        <f>INDEX('Script List'!$H$2:$H$161,MATCH(B41,'Script List'!$A$2:$A$161,0))</f>
        <v>118</v>
      </c>
      <c r="K41" s="2" t="s">
        <v>22</v>
      </c>
      <c r="L41" s="2">
        <f>I41-J41</f>
        <v>332</v>
      </c>
      <c r="M41" s="2">
        <v>8.4</v>
      </c>
      <c r="N41" s="9">
        <f>DATE(YEAR(C41),MONTH(C41),1)</f>
        <v>45931.0</v>
      </c>
      <c r="O41" s="2" t="str">
        <f>TEXT(N41,"yyyy-mm")</f>
        <v>2025-10</v>
      </c>
    </row>
    <row r="42" spans="1:15">
      <c r="A42" s="2" t="s">
        <v>443</v>
      </c>
      <c r="B42" s="2" t="s">
        <v>44</v>
      </c>
      <c r="C42" s="9">
        <v>45940</v>
      </c>
      <c r="D42" s="2" t="s">
        <v>234</v>
      </c>
      <c r="E42" s="2" t="s">
        <v>214</v>
      </c>
      <c r="F42" s="2">
        <v>1</v>
      </c>
      <c r="G42" s="2">
        <v>6</v>
      </c>
      <c r="H42" s="2">
        <v>75</v>
      </c>
      <c r="I42" s="2">
        <f>G42*H42</f>
        <v>450</v>
      </c>
      <c r="J42" s="2">
        <f>INDEX('Script List'!$H$2:$H$161,MATCH(B42,'Script List'!$A$2:$A$161,0))</f>
        <v>118</v>
      </c>
      <c r="K42" s="2" t="s">
        <v>22</v>
      </c>
      <c r="L42" s="2">
        <f>I42-J42</f>
        <v>332</v>
      </c>
      <c r="M42" s="2">
        <v>8.4</v>
      </c>
      <c r="N42" s="9">
        <f>DATE(YEAR(C42),MONTH(C42),1)</f>
        <v>45931.0</v>
      </c>
      <c r="O42" s="2" t="str">
        <f>TEXT(N42,"yyyy-mm")</f>
        <v>2025-10</v>
      </c>
    </row>
    <row r="43" spans="1:15">
      <c r="A43" s="2" t="s">
        <v>444</v>
      </c>
      <c r="B43" s="2" t="s">
        <v>44</v>
      </c>
      <c r="C43" s="9">
        <v>45941</v>
      </c>
      <c r="D43" s="2" t="s">
        <v>234</v>
      </c>
      <c r="E43" s="2" t="s">
        <v>214</v>
      </c>
      <c r="F43" s="2">
        <v>1</v>
      </c>
      <c r="G43" s="2">
        <v>6</v>
      </c>
      <c r="H43" s="2">
        <v>75</v>
      </c>
      <c r="I43" s="2">
        <f>G43*H43</f>
        <v>450</v>
      </c>
      <c r="J43" s="2">
        <f>INDEX('Script List'!$H$2:$H$161,MATCH(B43,'Script List'!$A$2:$A$161,0))</f>
        <v>118</v>
      </c>
      <c r="K43" s="2" t="s">
        <v>22</v>
      </c>
      <c r="L43" s="2">
        <f>I43-J43</f>
        <v>332</v>
      </c>
      <c r="M43" s="2">
        <v>8.4</v>
      </c>
      <c r="N43" s="9">
        <f>DATE(YEAR(C43),MONTH(C43),1)</f>
        <v>45931.0</v>
      </c>
      <c r="O43" s="2" t="str">
        <f>TEXT(N43,"yyyy-mm")</f>
        <v>2025-10</v>
      </c>
    </row>
    <row r="44" spans="1:15">
      <c r="A44" s="2" t="s">
        <v>445</v>
      </c>
      <c r="B44" s="2" t="s">
        <v>44</v>
      </c>
      <c r="C44" s="9">
        <v>45942</v>
      </c>
      <c r="D44" s="2" t="s">
        <v>234</v>
      </c>
      <c r="E44" s="2" t="s">
        <v>214</v>
      </c>
      <c r="F44" s="2">
        <v>1</v>
      </c>
      <c r="G44" s="2">
        <v>6</v>
      </c>
      <c r="H44" s="2">
        <v>75</v>
      </c>
      <c r="I44" s="2">
        <f>G44*H44</f>
        <v>450</v>
      </c>
      <c r="J44" s="2">
        <f>INDEX('Script List'!$H$2:$H$161,MATCH(B44,'Script List'!$A$2:$A$161,0))</f>
        <v>118</v>
      </c>
      <c r="K44" s="2" t="s">
        <v>22</v>
      </c>
      <c r="L44" s="2">
        <f>I44-J44</f>
        <v>332</v>
      </c>
      <c r="M44" s="2">
        <v>8.4</v>
      </c>
      <c r="N44" s="9">
        <f>DATE(YEAR(C44),MONTH(C44),1)</f>
        <v>45931.0</v>
      </c>
      <c r="O44" s="2" t="str">
        <f>TEXT(N44,"yyyy-mm")</f>
        <v>2025-10</v>
      </c>
    </row>
    <row r="45" spans="1:15">
      <c r="A45" s="2" t="s">
        <v>446</v>
      </c>
      <c r="B45" s="2" t="s">
        <v>44</v>
      </c>
      <c r="C45" s="9">
        <v>45943</v>
      </c>
      <c r="D45" s="2" t="s">
        <v>234</v>
      </c>
      <c r="E45" s="2" t="s">
        <v>214</v>
      </c>
      <c r="F45" s="2">
        <v>1</v>
      </c>
      <c r="G45" s="2">
        <v>6</v>
      </c>
      <c r="H45" s="2">
        <v>75</v>
      </c>
      <c r="I45" s="2">
        <f>G45*H45</f>
        <v>450</v>
      </c>
      <c r="J45" s="2">
        <f>INDEX('Script List'!$H$2:$H$161,MATCH(B45,'Script List'!$A$2:$A$161,0))</f>
        <v>118</v>
      </c>
      <c r="K45" s="2" t="s">
        <v>22</v>
      </c>
      <c r="L45" s="2">
        <f>I45-J45</f>
        <v>332</v>
      </c>
      <c r="M45" s="2">
        <v>8.4</v>
      </c>
      <c r="N45" s="9">
        <f>DATE(YEAR(C45),MONTH(C45),1)</f>
        <v>45931.0</v>
      </c>
      <c r="O45" s="2" t="str">
        <f>TEXT(N45,"yyyy-mm")</f>
        <v>2025-10</v>
      </c>
    </row>
    <row r="46" spans="1:15">
      <c r="A46" s="2" t="s">
        <v>447</v>
      </c>
      <c r="B46" s="2" t="s">
        <v>44</v>
      </c>
      <c r="C46" s="9">
        <v>45944</v>
      </c>
      <c r="D46" s="2" t="s">
        <v>234</v>
      </c>
      <c r="E46" s="2" t="s">
        <v>214</v>
      </c>
      <c r="F46" s="2">
        <v>1</v>
      </c>
      <c r="G46" s="2">
        <v>6</v>
      </c>
      <c r="H46" s="2">
        <v>75</v>
      </c>
      <c r="I46" s="2">
        <f>G46*H46</f>
        <v>450</v>
      </c>
      <c r="J46" s="2">
        <f>INDEX('Script List'!$H$2:$H$161,MATCH(B46,'Script List'!$A$2:$A$161,0))</f>
        <v>118</v>
      </c>
      <c r="K46" s="2" t="s">
        <v>22</v>
      </c>
      <c r="L46" s="2">
        <f>I46-J46</f>
        <v>332</v>
      </c>
      <c r="M46" s="2">
        <v>8.4</v>
      </c>
      <c r="N46" s="9">
        <f>DATE(YEAR(C46),MONTH(C46),1)</f>
        <v>45931.0</v>
      </c>
      <c r="O46" s="2" t="str">
        <f>TEXT(N46,"yyyy-mm")</f>
        <v>2025-10</v>
      </c>
    </row>
    <row r="47" spans="1:15">
      <c r="A47" s="2" t="s">
        <v>448</v>
      </c>
      <c r="B47" s="2" t="s">
        <v>44</v>
      </c>
      <c r="C47" s="9">
        <v>45945</v>
      </c>
      <c r="D47" s="2" t="s">
        <v>234</v>
      </c>
      <c r="E47" s="2" t="s">
        <v>214</v>
      </c>
      <c r="F47" s="2">
        <v>1</v>
      </c>
      <c r="G47" s="2">
        <v>6</v>
      </c>
      <c r="H47" s="2">
        <v>75</v>
      </c>
      <c r="I47" s="2">
        <f>G47*H47</f>
        <v>450</v>
      </c>
      <c r="J47" s="2">
        <f>INDEX('Script List'!$H$2:$H$161,MATCH(B47,'Script List'!$A$2:$A$161,0))</f>
        <v>118</v>
      </c>
      <c r="K47" s="2" t="s">
        <v>22</v>
      </c>
      <c r="L47" s="2">
        <f>I47-J47</f>
        <v>332</v>
      </c>
      <c r="M47" s="2">
        <v>8.4</v>
      </c>
      <c r="N47" s="9">
        <f>DATE(YEAR(C47),MONTH(C47),1)</f>
        <v>45931.0</v>
      </c>
      <c r="O47" s="2" t="str">
        <f>TEXT(N47,"yyyy-mm")</f>
        <v>2025-10</v>
      </c>
    </row>
    <row r="48" spans="1:15">
      <c r="A48" s="2" t="s">
        <v>449</v>
      </c>
      <c r="B48" s="2" t="s">
        <v>44</v>
      </c>
      <c r="C48" s="9">
        <v>45946</v>
      </c>
      <c r="D48" s="2" t="s">
        <v>234</v>
      </c>
      <c r="E48" s="2" t="s">
        <v>214</v>
      </c>
      <c r="F48" s="2">
        <v>1</v>
      </c>
      <c r="G48" s="2">
        <v>6</v>
      </c>
      <c r="H48" s="2">
        <v>75</v>
      </c>
      <c r="I48" s="2">
        <f>G48*H48</f>
        <v>450</v>
      </c>
      <c r="J48" s="2">
        <f>INDEX('Script List'!$H$2:$H$161,MATCH(B48,'Script List'!$A$2:$A$161,0))</f>
        <v>118</v>
      </c>
      <c r="K48" s="2" t="s">
        <v>22</v>
      </c>
      <c r="L48" s="2">
        <f>I48-J48</f>
        <v>332</v>
      </c>
      <c r="M48" s="2">
        <v>8.4</v>
      </c>
      <c r="N48" s="9">
        <f>DATE(YEAR(C48),MONTH(C48),1)</f>
        <v>45931.0</v>
      </c>
      <c r="O48" s="2" t="str">
        <f>TEXT(N48,"yyyy-mm")</f>
        <v>2025-10</v>
      </c>
    </row>
    <row r="49" spans="1:15">
      <c r="A49" s="2" t="s">
        <v>450</v>
      </c>
      <c r="B49" s="2" t="s">
        <v>44</v>
      </c>
      <c r="C49" s="9">
        <v>45947</v>
      </c>
      <c r="D49" s="2" t="s">
        <v>234</v>
      </c>
      <c r="E49" s="2" t="s">
        <v>214</v>
      </c>
      <c r="F49" s="2">
        <v>1</v>
      </c>
      <c r="G49" s="2">
        <v>6</v>
      </c>
      <c r="H49" s="2">
        <v>75</v>
      </c>
      <c r="I49" s="2">
        <f>G49*H49</f>
        <v>450</v>
      </c>
      <c r="J49" s="2">
        <f>INDEX('Script List'!$H$2:$H$161,MATCH(B49,'Script List'!$A$2:$A$161,0))</f>
        <v>118</v>
      </c>
      <c r="K49" s="2" t="s">
        <v>22</v>
      </c>
      <c r="L49" s="2">
        <f>I49-J49</f>
        <v>332</v>
      </c>
      <c r="M49" s="2">
        <v>8.4</v>
      </c>
      <c r="N49" s="9">
        <f>DATE(YEAR(C49),MONTH(C49),1)</f>
        <v>45931.0</v>
      </c>
      <c r="O49" s="2" t="str">
        <f>TEXT(N49,"yyyy-mm")</f>
        <v>2025-10</v>
      </c>
    </row>
    <row r="50" spans="1:15">
      <c r="A50" s="2" t="s">
        <v>451</v>
      </c>
      <c r="B50" s="2" t="s">
        <v>46</v>
      </c>
      <c r="C50" s="9">
        <v>45947</v>
      </c>
      <c r="D50" s="2" t="s">
        <v>235</v>
      </c>
      <c r="E50" s="2" t="s">
        <v>218</v>
      </c>
      <c r="F50" s="2">
        <v>3</v>
      </c>
      <c r="G50" s="2">
        <v>7</v>
      </c>
      <c r="H50" s="2">
        <v>118</v>
      </c>
      <c r="I50" s="2">
        <f>G50*H50</f>
        <v>826</v>
      </c>
      <c r="J50" s="2">
        <f>INDEX('Script List'!$H$2:$H$161,MATCH(B50,'Script List'!$A$2:$A$161,0))</f>
        <v>217</v>
      </c>
      <c r="K50" s="2" t="s">
        <v>21</v>
      </c>
      <c r="L50" s="2">
        <f>I50-J50</f>
        <v>609</v>
      </c>
      <c r="M50" s="2">
        <v>7</v>
      </c>
      <c r="N50" s="9">
        <f>DATE(YEAR(C50),MONTH(C50),1)</f>
        <v>45931.0</v>
      </c>
      <c r="O50" s="2" t="str">
        <f>TEXT(N50,"yyyy-mm")</f>
        <v>2025-10</v>
      </c>
    </row>
    <row r="51" spans="1:15">
      <c r="A51" s="2" t="s">
        <v>452</v>
      </c>
      <c r="B51" s="2" t="s">
        <v>47</v>
      </c>
      <c r="C51" s="9">
        <v>45948</v>
      </c>
      <c r="D51" s="2" t="s">
        <v>236</v>
      </c>
      <c r="E51" s="2" t="s">
        <v>212</v>
      </c>
      <c r="F51" s="2">
        <v>6</v>
      </c>
      <c r="G51" s="2">
        <v>8</v>
      </c>
      <c r="H51" s="2">
        <v>138</v>
      </c>
      <c r="I51" s="2">
        <f>G51*H51</f>
        <v>1104</v>
      </c>
      <c r="J51" s="2">
        <f>INDEX('Script List'!$H$2:$H$161,MATCH(B51,'Script List'!$A$2:$A$161,0))</f>
        <v>540</v>
      </c>
      <c r="K51" s="2" t="s">
        <v>22</v>
      </c>
      <c r="L51" s="2">
        <f>I51-J51</f>
        <v>564</v>
      </c>
      <c r="M51" s="2">
        <v>7.7</v>
      </c>
      <c r="N51" s="9">
        <f>DATE(YEAR(C51),MONTH(C51),1)</f>
        <v>45931.0</v>
      </c>
      <c r="O51" s="2" t="str">
        <f>TEXT(N51,"yyyy-mm")</f>
        <v>2025-10</v>
      </c>
    </row>
    <row r="52" spans="1:15">
      <c r="A52" s="2" t="s">
        <v>453</v>
      </c>
      <c r="B52" s="2" t="s">
        <v>47</v>
      </c>
      <c r="C52" s="9">
        <v>45949</v>
      </c>
      <c r="D52" s="2" t="s">
        <v>236</v>
      </c>
      <c r="E52" s="2" t="s">
        <v>212</v>
      </c>
      <c r="F52" s="2">
        <v>6</v>
      </c>
      <c r="G52" s="2">
        <v>8</v>
      </c>
      <c r="H52" s="2">
        <v>138</v>
      </c>
      <c r="I52" s="2">
        <f>G52*H52</f>
        <v>1104</v>
      </c>
      <c r="J52" s="2">
        <f>INDEX('Script List'!$H$2:$H$161,MATCH(B52,'Script List'!$A$2:$A$161,0))</f>
        <v>540</v>
      </c>
      <c r="K52" s="2" t="s">
        <v>22</v>
      </c>
      <c r="L52" s="2">
        <f>I52-J52</f>
        <v>564</v>
      </c>
      <c r="M52" s="2">
        <v>7.7</v>
      </c>
      <c r="N52" s="9">
        <f>DATE(YEAR(C52),MONTH(C52),1)</f>
        <v>45931.0</v>
      </c>
      <c r="O52" s="2" t="str">
        <f>TEXT(N52,"yyyy-mm")</f>
        <v>2025-10</v>
      </c>
    </row>
    <row r="53" spans="1:15">
      <c r="A53" s="2" t="s">
        <v>454</v>
      </c>
      <c r="B53" s="2" t="s">
        <v>47</v>
      </c>
      <c r="C53" s="9">
        <v>45950</v>
      </c>
      <c r="D53" s="2" t="s">
        <v>236</v>
      </c>
      <c r="E53" s="2" t="s">
        <v>212</v>
      </c>
      <c r="F53" s="2">
        <v>6</v>
      </c>
      <c r="G53" s="2">
        <v>8</v>
      </c>
      <c r="H53" s="2">
        <v>138</v>
      </c>
      <c r="I53" s="2">
        <f>G53*H53</f>
        <v>1104</v>
      </c>
      <c r="J53" s="2">
        <f>INDEX('Script List'!$H$2:$H$161,MATCH(B53,'Script List'!$A$2:$A$161,0))</f>
        <v>540</v>
      </c>
      <c r="K53" s="2" t="s">
        <v>22</v>
      </c>
      <c r="L53" s="2">
        <f>I53-J53</f>
        <v>564</v>
      </c>
      <c r="M53" s="2">
        <v>7.7</v>
      </c>
      <c r="N53" s="9">
        <f>DATE(YEAR(C53),MONTH(C53),1)</f>
        <v>45931.0</v>
      </c>
      <c r="O53" s="2" t="str">
        <f>TEXT(N53,"yyyy-mm")</f>
        <v>2025-10</v>
      </c>
    </row>
    <row r="54" spans="1:15">
      <c r="A54" s="2" t="s">
        <v>455</v>
      </c>
      <c r="B54" s="2" t="s">
        <v>49</v>
      </c>
      <c r="C54" s="9">
        <v>45951</v>
      </c>
      <c r="D54" s="2" t="s">
        <v>239</v>
      </c>
      <c r="E54" s="2" t="s">
        <v>214</v>
      </c>
      <c r="F54" s="2">
        <v>1</v>
      </c>
      <c r="G54" s="2">
        <v>6</v>
      </c>
      <c r="H54" s="2">
        <v>75</v>
      </c>
      <c r="I54" s="2">
        <f>G54*H54</f>
        <v>450</v>
      </c>
      <c r="J54" s="2">
        <f>INDEX('Script List'!$H$2:$H$161,MATCH(B54,'Script List'!$A$2:$A$161,0))</f>
        <v>118</v>
      </c>
      <c r="K54" s="2" t="s">
        <v>20</v>
      </c>
      <c r="L54" s="2">
        <f>I54-J54</f>
        <v>332</v>
      </c>
      <c r="M54" s="2">
        <v>7</v>
      </c>
      <c r="N54" s="9">
        <f>DATE(YEAR(C54),MONTH(C54),1)</f>
        <v>45931.0</v>
      </c>
      <c r="O54" s="2" t="str">
        <f>TEXT(N54,"yyyy-mm")</f>
        <v>2025-10</v>
      </c>
    </row>
    <row r="55" spans="1:15">
      <c r="A55" s="2" t="s">
        <v>456</v>
      </c>
      <c r="B55" s="2" t="s">
        <v>50</v>
      </c>
      <c r="C55" s="9">
        <v>45952</v>
      </c>
      <c r="D55" s="2" t="s">
        <v>240</v>
      </c>
      <c r="E55" s="2" t="s">
        <v>212</v>
      </c>
      <c r="F55" s="2">
        <v>3</v>
      </c>
      <c r="G55" s="2">
        <v>6</v>
      </c>
      <c r="H55" s="2">
        <v>118</v>
      </c>
      <c r="I55" s="2">
        <f>G55*H55</f>
        <v>708</v>
      </c>
      <c r="J55" s="2">
        <f>INDEX('Script List'!$H$2:$H$161,MATCH(B55,'Script List'!$A$2:$A$161,0))</f>
        <v>270</v>
      </c>
      <c r="K55" s="2" t="s">
        <v>22</v>
      </c>
      <c r="L55" s="2">
        <f>I55-J55</f>
        <v>438</v>
      </c>
      <c r="M55" s="2">
        <v>7.7</v>
      </c>
      <c r="N55" s="9">
        <f>DATE(YEAR(C55),MONTH(C55),1)</f>
        <v>45931.0</v>
      </c>
      <c r="O55" s="2" t="str">
        <f>TEXT(N55,"yyyy-mm")</f>
        <v>2025-10</v>
      </c>
    </row>
    <row r="56" spans="1:15">
      <c r="A56" s="2" t="s">
        <v>457</v>
      </c>
      <c r="B56" s="2" t="s">
        <v>50</v>
      </c>
      <c r="C56" s="9">
        <v>45953</v>
      </c>
      <c r="D56" s="2" t="s">
        <v>240</v>
      </c>
      <c r="E56" s="2" t="s">
        <v>212</v>
      </c>
      <c r="F56" s="2">
        <v>3</v>
      </c>
      <c r="G56" s="2">
        <v>6</v>
      </c>
      <c r="H56" s="2">
        <v>118</v>
      </c>
      <c r="I56" s="2">
        <f>G56*H56</f>
        <v>708</v>
      </c>
      <c r="J56" s="2">
        <f>INDEX('Script List'!$H$2:$H$161,MATCH(B56,'Script List'!$A$2:$A$161,0))</f>
        <v>270</v>
      </c>
      <c r="K56" s="2" t="s">
        <v>22</v>
      </c>
      <c r="L56" s="2">
        <f>I56-J56</f>
        <v>438</v>
      </c>
      <c r="M56" s="2">
        <v>7.7</v>
      </c>
      <c r="N56" s="9">
        <f>DATE(YEAR(C56),MONTH(C56),1)</f>
        <v>45931.0</v>
      </c>
      <c r="O56" s="2" t="str">
        <f>TEXT(N56,"yyyy-mm")</f>
        <v>2025-10</v>
      </c>
    </row>
    <row r="57" spans="1:15">
      <c r="A57" s="2" t="s">
        <v>458</v>
      </c>
      <c r="B57" s="2" t="s">
        <v>50</v>
      </c>
      <c r="C57" s="9">
        <v>45954</v>
      </c>
      <c r="D57" s="2" t="s">
        <v>240</v>
      </c>
      <c r="E57" s="2" t="s">
        <v>212</v>
      </c>
      <c r="F57" s="2">
        <v>3</v>
      </c>
      <c r="G57" s="2">
        <v>6</v>
      </c>
      <c r="H57" s="2">
        <v>118</v>
      </c>
      <c r="I57" s="2">
        <f>G57*H57</f>
        <v>708</v>
      </c>
      <c r="J57" s="2">
        <f>INDEX('Script List'!$H$2:$H$161,MATCH(B57,'Script List'!$A$2:$A$161,0))</f>
        <v>270</v>
      </c>
      <c r="K57" s="2" t="s">
        <v>22</v>
      </c>
      <c r="L57" s="2">
        <f>I57-J57</f>
        <v>438</v>
      </c>
      <c r="M57" s="2">
        <v>7.7</v>
      </c>
      <c r="N57" s="9">
        <f>DATE(YEAR(C57),MONTH(C57),1)</f>
        <v>45931.0</v>
      </c>
      <c r="O57" s="2" t="str">
        <f>TEXT(N57,"yyyy-mm")</f>
        <v>2025-10</v>
      </c>
    </row>
    <row r="58" spans="1:15">
      <c r="A58" s="2" t="s">
        <v>459</v>
      </c>
      <c r="B58" s="2" t="s">
        <v>51</v>
      </c>
      <c r="C58" s="9">
        <v>45955</v>
      </c>
      <c r="D58" s="2" t="s">
        <v>243</v>
      </c>
      <c r="E58" s="2" t="s">
        <v>214</v>
      </c>
      <c r="F58" s="2">
        <v>2</v>
      </c>
      <c r="G58" s="2">
        <v>8</v>
      </c>
      <c r="H58" s="2">
        <v>65</v>
      </c>
      <c r="I58" s="2">
        <f>G58*H58</f>
        <v>520</v>
      </c>
      <c r="J58" s="2">
        <f>INDEX('Script List'!$H$2:$H$161,MATCH(B58,'Script List'!$A$2:$A$161,0))</f>
        <v>137</v>
      </c>
      <c r="K58" s="2" t="s">
        <v>20</v>
      </c>
      <c r="L58" s="2">
        <f>I58-J58</f>
        <v>383</v>
      </c>
      <c r="M58" s="2">
        <v>7</v>
      </c>
      <c r="N58" s="9">
        <f>DATE(YEAR(C58),MONTH(C58),1)</f>
        <v>45931.0</v>
      </c>
      <c r="O58" s="2" t="str">
        <f>TEXT(N58,"yyyy-mm")</f>
        <v>2025-10</v>
      </c>
    </row>
    <row r="59" spans="1:15">
      <c r="A59" s="2" t="s">
        <v>460</v>
      </c>
      <c r="B59" s="2" t="s">
        <v>51</v>
      </c>
      <c r="C59" s="9">
        <v>45956</v>
      </c>
      <c r="D59" s="2" t="s">
        <v>243</v>
      </c>
      <c r="E59" s="2" t="s">
        <v>214</v>
      </c>
      <c r="F59" s="2">
        <v>2</v>
      </c>
      <c r="G59" s="2">
        <v>8</v>
      </c>
      <c r="H59" s="2">
        <v>65</v>
      </c>
      <c r="I59" s="2">
        <f>G59*H59</f>
        <v>520</v>
      </c>
      <c r="J59" s="2">
        <f>INDEX('Script List'!$H$2:$H$161,MATCH(B59,'Script List'!$A$2:$A$161,0))</f>
        <v>137</v>
      </c>
      <c r="K59" s="2" t="s">
        <v>20</v>
      </c>
      <c r="L59" s="2">
        <f>I59-J59</f>
        <v>383</v>
      </c>
      <c r="M59" s="2">
        <v>7</v>
      </c>
      <c r="N59" s="9">
        <f>DATE(YEAR(C59),MONTH(C59),1)</f>
        <v>45931.0</v>
      </c>
      <c r="O59" s="2" t="str">
        <f>TEXT(N59,"yyyy-mm")</f>
        <v>2025-10</v>
      </c>
    </row>
    <row r="60" spans="1:15">
      <c r="A60" s="2" t="s">
        <v>461</v>
      </c>
      <c r="B60" s="2" t="s">
        <v>52</v>
      </c>
      <c r="C60" s="9">
        <v>45957</v>
      </c>
      <c r="D60" s="2" t="s">
        <v>244</v>
      </c>
      <c r="E60" s="2" t="s">
        <v>212</v>
      </c>
      <c r="F60" s="2">
        <v>2</v>
      </c>
      <c r="G60" s="2">
        <v>6</v>
      </c>
      <c r="H60" s="2">
        <v>109</v>
      </c>
      <c r="I60" s="2">
        <f>G60*H60</f>
        <v>654</v>
      </c>
      <c r="J60" s="2">
        <f>INDEX('Script List'!$H$2:$H$161,MATCH(B60,'Script List'!$A$2:$A$161,0))</f>
        <v>180</v>
      </c>
      <c r="K60" s="2" t="s">
        <v>22</v>
      </c>
      <c r="L60" s="2">
        <f>I60-J60</f>
        <v>474</v>
      </c>
      <c r="M60" s="2">
        <v>7.7</v>
      </c>
      <c r="N60" s="9">
        <f>DATE(YEAR(C60),MONTH(C60),1)</f>
        <v>45931.0</v>
      </c>
      <c r="O60" s="2" t="str">
        <f>TEXT(N60,"yyyy-mm")</f>
        <v>2025-10</v>
      </c>
    </row>
    <row r="61" spans="1:15">
      <c r="A61" s="2" t="s">
        <v>462</v>
      </c>
      <c r="B61" s="2" t="s">
        <v>52</v>
      </c>
      <c r="C61" s="9">
        <v>45958</v>
      </c>
      <c r="D61" s="2" t="s">
        <v>244</v>
      </c>
      <c r="E61" s="2" t="s">
        <v>212</v>
      </c>
      <c r="F61" s="2">
        <v>2</v>
      </c>
      <c r="G61" s="2">
        <v>6</v>
      </c>
      <c r="H61" s="2">
        <v>109</v>
      </c>
      <c r="I61" s="2">
        <f>G61*H61</f>
        <v>654</v>
      </c>
      <c r="J61" s="2">
        <f>INDEX('Script List'!$H$2:$H$161,MATCH(B61,'Script List'!$A$2:$A$161,0))</f>
        <v>180</v>
      </c>
      <c r="K61" s="2" t="s">
        <v>22</v>
      </c>
      <c r="L61" s="2">
        <f>I61-J61</f>
        <v>474</v>
      </c>
      <c r="M61" s="2">
        <v>7.7</v>
      </c>
      <c r="N61" s="9">
        <f>DATE(YEAR(C61),MONTH(C61),1)</f>
        <v>45931.0</v>
      </c>
      <c r="O61" s="2" t="str">
        <f>TEXT(N61,"yyyy-mm")</f>
        <v>2025-10</v>
      </c>
    </row>
    <row r="62" spans="1:15">
      <c r="A62" s="2" t="s">
        <v>463</v>
      </c>
      <c r="B62" s="2" t="s">
        <v>52</v>
      </c>
      <c r="C62" s="9">
        <v>45959</v>
      </c>
      <c r="D62" s="2" t="s">
        <v>244</v>
      </c>
      <c r="E62" s="2" t="s">
        <v>212</v>
      </c>
      <c r="F62" s="2">
        <v>2</v>
      </c>
      <c r="G62" s="2">
        <v>6</v>
      </c>
      <c r="H62" s="2">
        <v>109</v>
      </c>
      <c r="I62" s="2">
        <f>G62*H62</f>
        <v>654</v>
      </c>
      <c r="J62" s="2">
        <f>INDEX('Script List'!$H$2:$H$161,MATCH(B62,'Script List'!$A$2:$A$161,0))</f>
        <v>180</v>
      </c>
      <c r="K62" s="2" t="s">
        <v>22</v>
      </c>
      <c r="L62" s="2">
        <f>I62-J62</f>
        <v>474</v>
      </c>
      <c r="M62" s="2">
        <v>7.7</v>
      </c>
      <c r="N62" s="9">
        <f>DATE(YEAR(C62),MONTH(C62),1)</f>
        <v>45931.0</v>
      </c>
      <c r="O62" s="2" t="str">
        <f>TEXT(N62,"yyyy-mm")</f>
        <v>2025-10</v>
      </c>
    </row>
    <row r="63" spans="1:15">
      <c r="A63" s="2" t="s">
        <v>464</v>
      </c>
      <c r="B63" s="2" t="s">
        <v>52</v>
      </c>
      <c r="C63" s="9">
        <v>45960</v>
      </c>
      <c r="D63" s="2" t="s">
        <v>244</v>
      </c>
      <c r="E63" s="2" t="s">
        <v>212</v>
      </c>
      <c r="F63" s="2">
        <v>2</v>
      </c>
      <c r="G63" s="2">
        <v>6</v>
      </c>
      <c r="H63" s="2">
        <v>109</v>
      </c>
      <c r="I63" s="2">
        <f>G63*H63</f>
        <v>654</v>
      </c>
      <c r="J63" s="2">
        <f>INDEX('Script List'!$H$2:$H$161,MATCH(B63,'Script List'!$A$2:$A$161,0))</f>
        <v>180</v>
      </c>
      <c r="K63" s="2" t="s">
        <v>22</v>
      </c>
      <c r="L63" s="2">
        <f>I63-J63</f>
        <v>474</v>
      </c>
      <c r="M63" s="2">
        <v>7.7</v>
      </c>
      <c r="N63" s="9">
        <f>DATE(YEAR(C63),MONTH(C63),1)</f>
        <v>45931.0</v>
      </c>
      <c r="O63" s="2" t="str">
        <f>TEXT(N63,"yyyy-mm")</f>
        <v>2025-10</v>
      </c>
    </row>
    <row r="64" spans="1:15">
      <c r="A64" s="2" t="s">
        <v>465</v>
      </c>
      <c r="B64" s="2" t="s">
        <v>53</v>
      </c>
      <c r="C64" s="9">
        <v>45961</v>
      </c>
      <c r="D64" s="2" t="s">
        <v>247</v>
      </c>
      <c r="E64" s="2" t="s">
        <v>214</v>
      </c>
      <c r="F64" s="2">
        <v>1</v>
      </c>
      <c r="G64" s="2">
        <v>6</v>
      </c>
      <c r="H64" s="2">
        <v>119</v>
      </c>
      <c r="I64" s="2">
        <f>G64*H64</f>
        <v>714</v>
      </c>
      <c r="J64" s="2">
        <f>INDEX('Script List'!$H$2:$H$161,MATCH(B64,'Script List'!$A$2:$A$161,0))</f>
        <v>187</v>
      </c>
      <c r="K64" s="2" t="s">
        <v>22</v>
      </c>
      <c r="L64" s="2">
        <f>I64-J64</f>
        <v>527</v>
      </c>
      <c r="M64" s="2">
        <v>7</v>
      </c>
      <c r="N64" s="9">
        <f>DATE(YEAR(C64),MONTH(C64),1)</f>
        <v>45931.0</v>
      </c>
      <c r="O64" s="2" t="str">
        <f>TEXT(N64,"yyyy-mm")</f>
        <v>2025-10</v>
      </c>
    </row>
    <row r="65" spans="1:15">
      <c r="A65" s="2" t="s">
        <v>466</v>
      </c>
      <c r="B65" s="2" t="s">
        <v>53</v>
      </c>
      <c r="C65" s="9">
        <v>45962</v>
      </c>
      <c r="D65" s="2" t="s">
        <v>247</v>
      </c>
      <c r="E65" s="2" t="s">
        <v>214</v>
      </c>
      <c r="F65" s="2">
        <v>1</v>
      </c>
      <c r="G65" s="2">
        <v>6</v>
      </c>
      <c r="H65" s="2">
        <v>119</v>
      </c>
      <c r="I65" s="2">
        <f>G65*H65</f>
        <v>714</v>
      </c>
      <c r="J65" s="2">
        <f>INDEX('Script List'!$H$2:$H$161,MATCH(B65,'Script List'!$A$2:$A$161,0))</f>
        <v>187</v>
      </c>
      <c r="K65" s="2" t="s">
        <v>22</v>
      </c>
      <c r="L65" s="2">
        <f>I65-J65</f>
        <v>527</v>
      </c>
      <c r="M65" s="2">
        <v>7</v>
      </c>
      <c r="N65" s="9">
        <f>DATE(YEAR(C65),MONTH(C65),1)</f>
        <v>45962.0</v>
      </c>
      <c r="O65" s="2" t="str">
        <f>TEXT(N65,"yyyy-mm")</f>
        <v>2025-11</v>
      </c>
    </row>
    <row r="66" spans="1:15">
      <c r="A66" s="2" t="s">
        <v>467</v>
      </c>
      <c r="B66" s="2" t="s">
        <v>54</v>
      </c>
      <c r="C66" s="9">
        <v>45963</v>
      </c>
      <c r="D66" s="2" t="s">
        <v>248</v>
      </c>
      <c r="E66" s="2" t="s">
        <v>218</v>
      </c>
      <c r="F66" s="2">
        <v>3</v>
      </c>
      <c r="G66" s="2">
        <v>7</v>
      </c>
      <c r="H66" s="2">
        <v>95</v>
      </c>
      <c r="I66" s="2">
        <f>G66*H66</f>
        <v>665</v>
      </c>
      <c r="J66" s="2">
        <f>INDEX('Script List'!$H$2:$H$161,MATCH(B66,'Script List'!$A$2:$A$161,0))</f>
        <v>175</v>
      </c>
      <c r="K66" s="2" t="s">
        <v>21</v>
      </c>
      <c r="L66" s="2">
        <f>I66-J66</f>
        <v>490</v>
      </c>
      <c r="M66" s="2">
        <v>7.7</v>
      </c>
      <c r="N66" s="9">
        <f>DATE(YEAR(C66),MONTH(C66),1)</f>
        <v>45962.0</v>
      </c>
      <c r="O66" s="2" t="str">
        <f>TEXT(N66,"yyyy-mm")</f>
        <v>2025-11</v>
      </c>
    </row>
    <row r="67" spans="1:15">
      <c r="A67" s="2" t="s">
        <v>468</v>
      </c>
      <c r="B67" s="2" t="s">
        <v>54</v>
      </c>
      <c r="C67" s="9">
        <v>45964</v>
      </c>
      <c r="D67" s="2" t="s">
        <v>248</v>
      </c>
      <c r="E67" s="2" t="s">
        <v>218</v>
      </c>
      <c r="F67" s="2">
        <v>3</v>
      </c>
      <c r="G67" s="2">
        <v>7</v>
      </c>
      <c r="H67" s="2">
        <v>95</v>
      </c>
      <c r="I67" s="2">
        <f>G67*H67</f>
        <v>665</v>
      </c>
      <c r="J67" s="2">
        <f>INDEX('Script List'!$H$2:$H$161,MATCH(B67,'Script List'!$A$2:$A$161,0))</f>
        <v>175</v>
      </c>
      <c r="K67" s="2" t="s">
        <v>21</v>
      </c>
      <c r="L67" s="2">
        <f>I67-J67</f>
        <v>490</v>
      </c>
      <c r="M67" s="2">
        <v>7.7</v>
      </c>
      <c r="N67" s="9">
        <f>DATE(YEAR(C67),MONTH(C67),1)</f>
        <v>45962.0</v>
      </c>
      <c r="O67" s="2" t="str">
        <f>TEXT(N67,"yyyy-mm")</f>
        <v>2025-11</v>
      </c>
    </row>
    <row r="68" spans="1:15">
      <c r="A68" s="2" t="s">
        <v>469</v>
      </c>
      <c r="B68" s="2" t="s">
        <v>54</v>
      </c>
      <c r="C68" s="9">
        <v>45965</v>
      </c>
      <c r="D68" s="2" t="s">
        <v>248</v>
      </c>
      <c r="E68" s="2" t="s">
        <v>218</v>
      </c>
      <c r="F68" s="2">
        <v>3</v>
      </c>
      <c r="G68" s="2">
        <v>7</v>
      </c>
      <c r="H68" s="2">
        <v>95</v>
      </c>
      <c r="I68" s="2">
        <f>G68*H68</f>
        <v>665</v>
      </c>
      <c r="J68" s="2">
        <f>INDEX('Script List'!$H$2:$H$161,MATCH(B68,'Script List'!$A$2:$A$161,0))</f>
        <v>175</v>
      </c>
      <c r="K68" s="2" t="s">
        <v>21</v>
      </c>
      <c r="L68" s="2">
        <f>I68-J68</f>
        <v>490</v>
      </c>
      <c r="M68" s="2">
        <v>7.7</v>
      </c>
      <c r="N68" s="9">
        <f>DATE(YEAR(C68),MONTH(C68),1)</f>
        <v>45962.0</v>
      </c>
      <c r="O68" s="2" t="str">
        <f>TEXT(N68,"yyyy-mm")</f>
        <v>2025-11</v>
      </c>
    </row>
    <row r="69" spans="1:15">
      <c r="A69" s="2" t="s">
        <v>470</v>
      </c>
      <c r="B69" s="2" t="s">
        <v>54</v>
      </c>
      <c r="C69" s="9">
        <v>45966</v>
      </c>
      <c r="D69" s="2" t="s">
        <v>248</v>
      </c>
      <c r="E69" s="2" t="s">
        <v>218</v>
      </c>
      <c r="F69" s="2">
        <v>3</v>
      </c>
      <c r="G69" s="2">
        <v>7</v>
      </c>
      <c r="H69" s="2">
        <v>95</v>
      </c>
      <c r="I69" s="2">
        <f>G69*H69</f>
        <v>665</v>
      </c>
      <c r="J69" s="2">
        <f>INDEX('Script List'!$H$2:$H$161,MATCH(B69,'Script List'!$A$2:$A$161,0))</f>
        <v>175</v>
      </c>
      <c r="K69" s="2" t="s">
        <v>21</v>
      </c>
      <c r="L69" s="2">
        <f>I69-J69</f>
        <v>490</v>
      </c>
      <c r="M69" s="2">
        <v>7.7</v>
      </c>
      <c r="N69" s="9">
        <f>DATE(YEAR(C69),MONTH(C69),1)</f>
        <v>45962.0</v>
      </c>
      <c r="O69" s="2" t="str">
        <f>TEXT(N69,"yyyy-mm")</f>
        <v>2025-11</v>
      </c>
    </row>
    <row r="70" spans="1:15">
      <c r="A70" s="2" t="s">
        <v>471</v>
      </c>
      <c r="B70" s="2" t="s">
        <v>55</v>
      </c>
      <c r="C70" s="9">
        <v>45967</v>
      </c>
      <c r="D70" s="2" t="s">
        <v>249</v>
      </c>
      <c r="E70" s="2" t="s">
        <v>212</v>
      </c>
      <c r="F70" s="2">
        <v>6</v>
      </c>
      <c r="G70" s="2">
        <v>8</v>
      </c>
      <c r="H70" s="2">
        <v>109</v>
      </c>
      <c r="I70" s="2">
        <f>G70*H70</f>
        <v>872</v>
      </c>
      <c r="J70" s="2">
        <f>INDEX('Script List'!$H$2:$H$161,MATCH(B70,'Script List'!$A$2:$A$161,0))</f>
        <v>540</v>
      </c>
      <c r="K70" s="2" t="s">
        <v>22</v>
      </c>
      <c r="L70" s="2">
        <f>I70-J70</f>
        <v>332</v>
      </c>
      <c r="M70" s="2">
        <v>8.4</v>
      </c>
      <c r="N70" s="9">
        <f>DATE(YEAR(C70),MONTH(C70),1)</f>
        <v>45962.0</v>
      </c>
      <c r="O70" s="2" t="str">
        <f>TEXT(N70,"yyyy-mm")</f>
        <v>2025-11</v>
      </c>
    </row>
    <row r="71" spans="1:15">
      <c r="A71" s="2" t="s">
        <v>472</v>
      </c>
      <c r="B71" s="2" t="s">
        <v>56</v>
      </c>
      <c r="C71" s="9">
        <v>45968</v>
      </c>
      <c r="D71" s="2" t="s">
        <v>250</v>
      </c>
      <c r="E71" s="2" t="s">
        <v>212</v>
      </c>
      <c r="F71" s="2">
        <v>2</v>
      </c>
      <c r="G71" s="2">
        <v>6</v>
      </c>
      <c r="H71" s="2">
        <v>118</v>
      </c>
      <c r="I71" s="2">
        <f>G71*H71</f>
        <v>708</v>
      </c>
      <c r="J71" s="2">
        <f>INDEX('Script List'!$H$2:$H$161,MATCH(B71,'Script List'!$A$2:$A$161,0))</f>
        <v>180</v>
      </c>
      <c r="K71" s="2" t="s">
        <v>22</v>
      </c>
      <c r="L71" s="2">
        <f>I71-J71</f>
        <v>528</v>
      </c>
      <c r="M71" s="2">
        <v>7</v>
      </c>
      <c r="N71" s="9">
        <f>DATE(YEAR(C71),MONTH(C71),1)</f>
        <v>45962.0</v>
      </c>
      <c r="O71" s="2" t="str">
        <f>TEXT(N71,"yyyy-mm")</f>
        <v>2025-11</v>
      </c>
    </row>
    <row r="72" spans="1:15">
      <c r="A72" s="2" t="s">
        <v>473</v>
      </c>
      <c r="B72" s="2" t="s">
        <v>56</v>
      </c>
      <c r="C72" s="9">
        <v>45969</v>
      </c>
      <c r="D72" s="2" t="s">
        <v>250</v>
      </c>
      <c r="E72" s="2" t="s">
        <v>212</v>
      </c>
      <c r="F72" s="2">
        <v>2</v>
      </c>
      <c r="G72" s="2">
        <v>6</v>
      </c>
      <c r="H72" s="2">
        <v>118</v>
      </c>
      <c r="I72" s="2">
        <f>G72*H72</f>
        <v>708</v>
      </c>
      <c r="J72" s="2">
        <f>INDEX('Script List'!$H$2:$H$161,MATCH(B72,'Script List'!$A$2:$A$161,0))</f>
        <v>180</v>
      </c>
      <c r="K72" s="2" t="s">
        <v>22</v>
      </c>
      <c r="L72" s="2">
        <f>I72-J72</f>
        <v>528</v>
      </c>
      <c r="M72" s="2">
        <v>7</v>
      </c>
      <c r="N72" s="9">
        <f>DATE(YEAR(C72),MONTH(C72),1)</f>
        <v>45962.0</v>
      </c>
      <c r="O72" s="2" t="str">
        <f>TEXT(N72,"yyyy-mm")</f>
        <v>2025-11</v>
      </c>
    </row>
    <row r="73" spans="1:15">
      <c r="A73" s="2" t="s">
        <v>474</v>
      </c>
      <c r="B73" s="2" t="s">
        <v>57</v>
      </c>
      <c r="C73" s="9">
        <v>45970</v>
      </c>
      <c r="D73" s="2" t="s">
        <v>251</v>
      </c>
      <c r="E73" s="2" t="s">
        <v>214</v>
      </c>
      <c r="F73" s="2">
        <v>1</v>
      </c>
      <c r="G73" s="2">
        <v>6</v>
      </c>
      <c r="H73" s="2">
        <v>119</v>
      </c>
      <c r="I73" s="2">
        <f>G73*H73</f>
        <v>714</v>
      </c>
      <c r="J73" s="2">
        <f>INDEX('Script List'!$H$2:$H$161,MATCH(B73,'Script List'!$A$2:$A$161,0))</f>
        <v>187</v>
      </c>
      <c r="K73" s="2" t="s">
        <v>20</v>
      </c>
      <c r="L73" s="2">
        <f>I73-J73</f>
        <v>527</v>
      </c>
      <c r="M73" s="2">
        <v>7.7</v>
      </c>
      <c r="N73" s="9">
        <f>DATE(YEAR(C73),MONTH(C73),1)</f>
        <v>45962.0</v>
      </c>
      <c r="O73" s="2" t="str">
        <f>TEXT(N73,"yyyy-mm")</f>
        <v>2025-11</v>
      </c>
    </row>
    <row r="74" spans="1:15">
      <c r="A74" s="2" t="s">
        <v>475</v>
      </c>
      <c r="B74" s="2" t="s">
        <v>57</v>
      </c>
      <c r="C74" s="9">
        <v>45971</v>
      </c>
      <c r="D74" s="2" t="s">
        <v>251</v>
      </c>
      <c r="E74" s="2" t="s">
        <v>214</v>
      </c>
      <c r="F74" s="2">
        <v>1</v>
      </c>
      <c r="G74" s="2">
        <v>6</v>
      </c>
      <c r="H74" s="2">
        <v>119</v>
      </c>
      <c r="I74" s="2">
        <f>G74*H74</f>
        <v>714</v>
      </c>
      <c r="J74" s="2">
        <f>INDEX('Script List'!$H$2:$H$161,MATCH(B74,'Script List'!$A$2:$A$161,0))</f>
        <v>187</v>
      </c>
      <c r="K74" s="2" t="s">
        <v>20</v>
      </c>
      <c r="L74" s="2">
        <f>I74-J74</f>
        <v>527</v>
      </c>
      <c r="M74" s="2">
        <v>7.7</v>
      </c>
      <c r="N74" s="9">
        <f>DATE(YEAR(C74),MONTH(C74),1)</f>
        <v>45962.0</v>
      </c>
      <c r="O74" s="2" t="str">
        <f>TEXT(N74,"yyyy-mm")</f>
        <v>2025-11</v>
      </c>
    </row>
    <row r="75" spans="1:15">
      <c r="A75" s="2" t="s">
        <v>476</v>
      </c>
      <c r="B75" s="2" t="s">
        <v>57</v>
      </c>
      <c r="C75" s="9">
        <v>45972</v>
      </c>
      <c r="D75" s="2" t="s">
        <v>251</v>
      </c>
      <c r="E75" s="2" t="s">
        <v>214</v>
      </c>
      <c r="F75" s="2">
        <v>1</v>
      </c>
      <c r="G75" s="2">
        <v>6</v>
      </c>
      <c r="H75" s="2">
        <v>119</v>
      </c>
      <c r="I75" s="2">
        <f>G75*H75</f>
        <v>714</v>
      </c>
      <c r="J75" s="2">
        <f>INDEX('Script List'!$H$2:$H$161,MATCH(B75,'Script List'!$A$2:$A$161,0))</f>
        <v>187</v>
      </c>
      <c r="K75" s="2" t="s">
        <v>20</v>
      </c>
      <c r="L75" s="2">
        <f>I75-J75</f>
        <v>527</v>
      </c>
      <c r="M75" s="2">
        <v>7.7</v>
      </c>
      <c r="N75" s="9">
        <f>DATE(YEAR(C75),MONTH(C75),1)</f>
        <v>45962.0</v>
      </c>
      <c r="O75" s="2" t="str">
        <f>TEXT(N75,"yyyy-mm")</f>
        <v>2025-11</v>
      </c>
    </row>
    <row r="76" spans="1:15">
      <c r="A76" s="2" t="s">
        <v>477</v>
      </c>
      <c r="B76" s="2" t="s">
        <v>57</v>
      </c>
      <c r="C76" s="9">
        <v>45973</v>
      </c>
      <c r="D76" s="2" t="s">
        <v>251</v>
      </c>
      <c r="E76" s="2" t="s">
        <v>214</v>
      </c>
      <c r="F76" s="2">
        <v>1</v>
      </c>
      <c r="G76" s="2">
        <v>6</v>
      </c>
      <c r="H76" s="2">
        <v>119</v>
      </c>
      <c r="I76" s="2">
        <f>G76*H76</f>
        <v>714</v>
      </c>
      <c r="J76" s="2">
        <f>INDEX('Script List'!$H$2:$H$161,MATCH(B76,'Script List'!$A$2:$A$161,0))</f>
        <v>187</v>
      </c>
      <c r="K76" s="2" t="s">
        <v>20</v>
      </c>
      <c r="L76" s="2">
        <f>I76-J76</f>
        <v>527</v>
      </c>
      <c r="M76" s="2">
        <v>7.7</v>
      </c>
      <c r="N76" s="9">
        <f>DATE(YEAR(C76),MONTH(C76),1)</f>
        <v>45962.0</v>
      </c>
      <c r="O76" s="2" t="str">
        <f>TEXT(N76,"yyyy-mm")</f>
        <v>2025-11</v>
      </c>
    </row>
    <row r="77" spans="1:15">
      <c r="A77" s="2" t="s">
        <v>478</v>
      </c>
      <c r="B77" s="2" t="s">
        <v>57</v>
      </c>
      <c r="C77" s="9">
        <v>45974</v>
      </c>
      <c r="D77" s="2" t="s">
        <v>251</v>
      </c>
      <c r="E77" s="2" t="s">
        <v>214</v>
      </c>
      <c r="F77" s="2">
        <v>1</v>
      </c>
      <c r="G77" s="2">
        <v>6</v>
      </c>
      <c r="H77" s="2">
        <v>119</v>
      </c>
      <c r="I77" s="2">
        <f>G77*H77</f>
        <v>714</v>
      </c>
      <c r="J77" s="2">
        <f>INDEX('Script List'!$H$2:$H$161,MATCH(B77,'Script List'!$A$2:$A$161,0))</f>
        <v>187</v>
      </c>
      <c r="K77" s="2" t="s">
        <v>20</v>
      </c>
      <c r="L77" s="2">
        <f>I77-J77</f>
        <v>527</v>
      </c>
      <c r="M77" s="2">
        <v>7.7</v>
      </c>
      <c r="N77" s="9">
        <f>DATE(YEAR(C77),MONTH(C77),1)</f>
        <v>45962.0</v>
      </c>
      <c r="O77" s="2" t="str">
        <f>TEXT(N77,"yyyy-mm")</f>
        <v>2025-11</v>
      </c>
    </row>
    <row r="78" spans="1:15">
      <c r="A78" s="2" t="s">
        <v>479</v>
      </c>
      <c r="B78" s="2" t="s">
        <v>58</v>
      </c>
      <c r="C78" s="9">
        <v>45975</v>
      </c>
      <c r="D78" s="2" t="s">
        <v>252</v>
      </c>
      <c r="E78" s="2" t="s">
        <v>212</v>
      </c>
      <c r="F78" s="2">
        <v>3</v>
      </c>
      <c r="G78" s="2">
        <v>6</v>
      </c>
      <c r="H78" s="2">
        <v>99</v>
      </c>
      <c r="I78" s="2">
        <f>G78*H78</f>
        <v>594</v>
      </c>
      <c r="J78" s="2">
        <f>INDEX('Script List'!$H$2:$H$161,MATCH(B78,'Script List'!$A$2:$A$161,0))</f>
        <v>270</v>
      </c>
      <c r="K78" s="2" t="s">
        <v>22</v>
      </c>
      <c r="L78" s="2">
        <f>I78-J78</f>
        <v>324</v>
      </c>
      <c r="M78" s="2">
        <v>8.4</v>
      </c>
      <c r="N78" s="9">
        <f>DATE(YEAR(C78),MONTH(C78),1)</f>
        <v>45962.0</v>
      </c>
      <c r="O78" s="2" t="str">
        <f>TEXT(N78,"yyyy-mm")</f>
        <v>2025-11</v>
      </c>
    </row>
    <row r="79" spans="1:15">
      <c r="A79" s="2" t="s">
        <v>480</v>
      </c>
      <c r="B79" s="2" t="s">
        <v>59</v>
      </c>
      <c r="C79" s="9">
        <v>45976</v>
      </c>
      <c r="D79" s="2" t="s">
        <v>253</v>
      </c>
      <c r="E79" s="2" t="s">
        <v>218</v>
      </c>
      <c r="F79" s="2">
        <v>3</v>
      </c>
      <c r="G79" s="2">
        <v>7</v>
      </c>
      <c r="H79" s="2">
        <v>109</v>
      </c>
      <c r="I79" s="2">
        <f>G79*H79</f>
        <v>763</v>
      </c>
      <c r="J79" s="2">
        <f>INDEX('Script List'!$H$2:$H$161,MATCH(B79,'Script List'!$A$2:$A$161,0))</f>
        <v>200</v>
      </c>
      <c r="K79" s="2" t="s">
        <v>21</v>
      </c>
      <c r="L79" s="2">
        <f>I79-J79</f>
        <v>563</v>
      </c>
      <c r="M79" s="2">
        <v>7</v>
      </c>
      <c r="N79" s="9">
        <f>DATE(YEAR(C79),MONTH(C79),1)</f>
        <v>45962.0</v>
      </c>
      <c r="O79" s="2" t="str">
        <f>TEXT(N79,"yyyy-mm")</f>
        <v>2025-11</v>
      </c>
    </row>
    <row r="80" spans="1:15">
      <c r="A80" s="2" t="s">
        <v>481</v>
      </c>
      <c r="B80" s="2" t="s">
        <v>59</v>
      </c>
      <c r="C80" s="9">
        <v>45977</v>
      </c>
      <c r="D80" s="2" t="s">
        <v>253</v>
      </c>
      <c r="E80" s="2" t="s">
        <v>218</v>
      </c>
      <c r="F80" s="2">
        <v>3</v>
      </c>
      <c r="G80" s="2">
        <v>7</v>
      </c>
      <c r="H80" s="2">
        <v>109</v>
      </c>
      <c r="I80" s="2">
        <f>G80*H80</f>
        <v>763</v>
      </c>
      <c r="J80" s="2">
        <f>INDEX('Script List'!$H$2:$H$161,MATCH(B80,'Script List'!$A$2:$A$161,0))</f>
        <v>200</v>
      </c>
      <c r="K80" s="2" t="s">
        <v>21</v>
      </c>
      <c r="L80" s="2">
        <f>I80-J80</f>
        <v>563</v>
      </c>
      <c r="M80" s="2">
        <v>7</v>
      </c>
      <c r="N80" s="9">
        <f>DATE(YEAR(C80),MONTH(C80),1)</f>
        <v>45962.0</v>
      </c>
      <c r="O80" s="2" t="str">
        <f>TEXT(N80,"yyyy-mm")</f>
        <v>2025-11</v>
      </c>
    </row>
    <row r="81" spans="1:15">
      <c r="A81" s="2" t="s">
        <v>482</v>
      </c>
      <c r="B81" s="2" t="s">
        <v>60</v>
      </c>
      <c r="C81" s="9">
        <v>45978</v>
      </c>
      <c r="D81" s="2" t="s">
        <v>254</v>
      </c>
      <c r="E81" s="2" t="s">
        <v>214</v>
      </c>
      <c r="F81" s="2">
        <v>2</v>
      </c>
      <c r="G81" s="2">
        <v>8</v>
      </c>
      <c r="H81" s="2">
        <v>95</v>
      </c>
      <c r="I81" s="2">
        <f>G81*H81</f>
        <v>760</v>
      </c>
      <c r="J81" s="2">
        <f>INDEX('Script List'!$H$2:$H$161,MATCH(B81,'Script List'!$A$2:$A$161,0))</f>
        <v>200</v>
      </c>
      <c r="K81" s="2" t="s">
        <v>20</v>
      </c>
      <c r="L81" s="2">
        <f>I81-J81</f>
        <v>560</v>
      </c>
      <c r="M81" s="2">
        <v>7.7</v>
      </c>
      <c r="N81" s="9">
        <f>DATE(YEAR(C81),MONTH(C81),1)</f>
        <v>45962.0</v>
      </c>
      <c r="O81" s="2" t="str">
        <f>TEXT(N81,"yyyy-mm")</f>
        <v>2025-11</v>
      </c>
    </row>
    <row r="82" spans="1:15">
      <c r="A82" s="2" t="s">
        <v>483</v>
      </c>
      <c r="B82" s="2" t="s">
        <v>60</v>
      </c>
      <c r="C82" s="9">
        <v>45978</v>
      </c>
      <c r="D82" s="2" t="s">
        <v>254</v>
      </c>
      <c r="E82" s="2" t="s">
        <v>214</v>
      </c>
      <c r="F82" s="2">
        <v>2</v>
      </c>
      <c r="G82" s="2">
        <v>8</v>
      </c>
      <c r="H82" s="2">
        <v>95</v>
      </c>
      <c r="I82" s="2">
        <f>G82*H82</f>
        <v>760</v>
      </c>
      <c r="J82" s="2">
        <f>INDEX('Script List'!$H$2:$H$161,MATCH(B82,'Script List'!$A$2:$A$161,0))</f>
        <v>200</v>
      </c>
      <c r="K82" s="2" t="s">
        <v>20</v>
      </c>
      <c r="L82" s="2">
        <f>I82-J82</f>
        <v>560</v>
      </c>
      <c r="M82" s="2">
        <v>7.7</v>
      </c>
      <c r="N82" s="9">
        <f>DATE(YEAR(C82),MONTH(C82),1)</f>
        <v>45962.0</v>
      </c>
      <c r="O82" s="2" t="str">
        <f>TEXT(N82,"yyyy-mm")</f>
        <v>2025-11</v>
      </c>
    </row>
    <row r="83" spans="1:15">
      <c r="A83" s="2" t="s">
        <v>484</v>
      </c>
      <c r="B83" s="2" t="s">
        <v>60</v>
      </c>
      <c r="C83" s="9">
        <v>45979</v>
      </c>
      <c r="D83" s="2" t="s">
        <v>254</v>
      </c>
      <c r="E83" s="2" t="s">
        <v>214</v>
      </c>
      <c r="F83" s="2">
        <v>2</v>
      </c>
      <c r="G83" s="2">
        <v>8</v>
      </c>
      <c r="H83" s="2">
        <v>95</v>
      </c>
      <c r="I83" s="2">
        <f>G83*H83</f>
        <v>760</v>
      </c>
      <c r="J83" s="2">
        <f>INDEX('Script List'!$H$2:$H$161,MATCH(B83,'Script List'!$A$2:$A$161,0))</f>
        <v>200</v>
      </c>
      <c r="K83" s="2" t="s">
        <v>20</v>
      </c>
      <c r="L83" s="2">
        <f>I83-J83</f>
        <v>560</v>
      </c>
      <c r="M83" s="2">
        <v>7.7</v>
      </c>
      <c r="N83" s="9">
        <f>DATE(YEAR(C83),MONTH(C83),1)</f>
        <v>45962.0</v>
      </c>
      <c r="O83" s="2" t="str">
        <f>TEXT(N83,"yyyy-mm")</f>
        <v>2025-11</v>
      </c>
    </row>
    <row r="84" spans="1:15">
      <c r="A84" s="2" t="s">
        <v>485</v>
      </c>
      <c r="B84" s="2" t="s">
        <v>60</v>
      </c>
      <c r="C84" s="9">
        <v>45980</v>
      </c>
      <c r="D84" s="2" t="s">
        <v>254</v>
      </c>
      <c r="E84" s="2" t="s">
        <v>214</v>
      </c>
      <c r="F84" s="2">
        <v>2</v>
      </c>
      <c r="G84" s="2">
        <v>8</v>
      </c>
      <c r="H84" s="2">
        <v>95</v>
      </c>
      <c r="I84" s="2">
        <f>G84*H84</f>
        <v>760</v>
      </c>
      <c r="J84" s="2">
        <f>INDEX('Script List'!$H$2:$H$161,MATCH(B84,'Script List'!$A$2:$A$161,0))</f>
        <v>200</v>
      </c>
      <c r="K84" s="2" t="s">
        <v>20</v>
      </c>
      <c r="L84" s="2">
        <f>I84-J84</f>
        <v>560</v>
      </c>
      <c r="M84" s="2">
        <v>7.7</v>
      </c>
      <c r="N84" s="9">
        <f>DATE(YEAR(C84),MONTH(C84),1)</f>
        <v>45962.0</v>
      </c>
      <c r="O84" s="2" t="str">
        <f>TEXT(N84,"yyyy-mm")</f>
        <v>2025-11</v>
      </c>
    </row>
    <row r="85" spans="1:15">
      <c r="A85" s="2" t="s">
        <v>486</v>
      </c>
      <c r="B85" s="2" t="s">
        <v>60</v>
      </c>
      <c r="C85" s="9">
        <v>45981</v>
      </c>
      <c r="D85" s="2" t="s">
        <v>254</v>
      </c>
      <c r="E85" s="2" t="s">
        <v>214</v>
      </c>
      <c r="F85" s="2">
        <v>2</v>
      </c>
      <c r="G85" s="2">
        <v>8</v>
      </c>
      <c r="H85" s="2">
        <v>95</v>
      </c>
      <c r="I85" s="2">
        <f>G85*H85</f>
        <v>760</v>
      </c>
      <c r="J85" s="2">
        <f>INDEX('Script List'!$H$2:$H$161,MATCH(B85,'Script List'!$A$2:$A$161,0))</f>
        <v>200</v>
      </c>
      <c r="K85" s="2" t="s">
        <v>20</v>
      </c>
      <c r="L85" s="2">
        <f>I85-J85</f>
        <v>560</v>
      </c>
      <c r="M85" s="2">
        <v>7.7</v>
      </c>
      <c r="N85" s="9">
        <f>DATE(YEAR(C85),MONTH(C85),1)</f>
        <v>45962.0</v>
      </c>
      <c r="O85" s="2" t="str">
        <f>TEXT(N85,"yyyy-mm")</f>
        <v>2025-11</v>
      </c>
    </row>
    <row r="86" spans="1:15">
      <c r="A86" s="2" t="s">
        <v>487</v>
      </c>
      <c r="B86" s="2" t="s">
        <v>60</v>
      </c>
      <c r="C86" s="9">
        <v>45982</v>
      </c>
      <c r="D86" s="2" t="s">
        <v>254</v>
      </c>
      <c r="E86" s="2" t="s">
        <v>214</v>
      </c>
      <c r="F86" s="2">
        <v>2</v>
      </c>
      <c r="G86" s="2">
        <v>8</v>
      </c>
      <c r="H86" s="2">
        <v>95</v>
      </c>
      <c r="I86" s="2">
        <f>G86*H86</f>
        <v>760</v>
      </c>
      <c r="J86" s="2">
        <f>INDEX('Script List'!$H$2:$H$161,MATCH(B86,'Script List'!$A$2:$A$161,0))</f>
        <v>200</v>
      </c>
      <c r="K86" s="2" t="s">
        <v>20</v>
      </c>
      <c r="L86" s="2">
        <f>I86-J86</f>
        <v>560</v>
      </c>
      <c r="M86" s="2">
        <v>7.7</v>
      </c>
      <c r="N86" s="9">
        <f>DATE(YEAR(C86),MONTH(C86),1)</f>
        <v>45962.0</v>
      </c>
      <c r="O86" s="2" t="str">
        <f>TEXT(N86,"yyyy-mm")</f>
        <v>2025-11</v>
      </c>
    </row>
    <row r="87" spans="1:15">
      <c r="A87" s="2" t="s">
        <v>488</v>
      </c>
      <c r="B87" s="2" t="s">
        <v>60</v>
      </c>
      <c r="C87" s="9">
        <v>45983</v>
      </c>
      <c r="D87" s="2" t="s">
        <v>254</v>
      </c>
      <c r="E87" s="2" t="s">
        <v>214</v>
      </c>
      <c r="F87" s="2">
        <v>2</v>
      </c>
      <c r="G87" s="2">
        <v>8</v>
      </c>
      <c r="H87" s="2">
        <v>95</v>
      </c>
      <c r="I87" s="2">
        <f>G87*H87</f>
        <v>760</v>
      </c>
      <c r="J87" s="2">
        <f>INDEX('Script List'!$H$2:$H$161,MATCH(B87,'Script List'!$A$2:$A$161,0))</f>
        <v>200</v>
      </c>
      <c r="K87" s="2" t="s">
        <v>20</v>
      </c>
      <c r="L87" s="2">
        <f>I87-J87</f>
        <v>560</v>
      </c>
      <c r="M87" s="2">
        <v>7.7</v>
      </c>
      <c r="N87" s="9">
        <f>DATE(YEAR(C87),MONTH(C87),1)</f>
        <v>45962.0</v>
      </c>
      <c r="O87" s="2" t="str">
        <f>TEXT(N87,"yyyy-mm")</f>
        <v>2025-11</v>
      </c>
    </row>
    <row r="88" spans="1:15">
      <c r="A88" s="2" t="s">
        <v>489</v>
      </c>
      <c r="B88" s="2" t="s">
        <v>61</v>
      </c>
      <c r="C88" s="9">
        <v>45984</v>
      </c>
      <c r="D88" s="2" t="s">
        <v>255</v>
      </c>
      <c r="E88" s="2" t="s">
        <v>212</v>
      </c>
      <c r="F88" s="2">
        <v>2</v>
      </c>
      <c r="G88" s="2">
        <v>6</v>
      </c>
      <c r="H88" s="2">
        <v>138</v>
      </c>
      <c r="I88" s="2">
        <f>G88*H88</f>
        <v>828</v>
      </c>
      <c r="J88" s="2">
        <f>INDEX('Script List'!$H$2:$H$161,MATCH(B88,'Script List'!$A$2:$A$161,0))</f>
        <v>180</v>
      </c>
      <c r="K88" s="2" t="s">
        <v>22</v>
      </c>
      <c r="L88" s="2">
        <f>I88-J88</f>
        <v>648</v>
      </c>
      <c r="M88" s="2">
        <v>8.4</v>
      </c>
      <c r="N88" s="9">
        <f>DATE(YEAR(C88),MONTH(C88),1)</f>
        <v>45962.0</v>
      </c>
      <c r="O88" s="2" t="str">
        <f>TEXT(N88,"yyyy-mm")</f>
        <v>2025-11</v>
      </c>
    </row>
    <row r="89" spans="1:15">
      <c r="A89" s="2" t="s">
        <v>490</v>
      </c>
      <c r="B89" s="2" t="s">
        <v>62</v>
      </c>
      <c r="C89" s="9">
        <v>45985</v>
      </c>
      <c r="D89" s="2" t="s">
        <v>256</v>
      </c>
      <c r="E89" s="2" t="s">
        <v>223</v>
      </c>
      <c r="F89" s="2">
        <v>1</v>
      </c>
      <c r="G89" s="2">
        <v>6</v>
      </c>
      <c r="H89" s="2">
        <v>109</v>
      </c>
      <c r="I89" s="2">
        <f>G89*H89</f>
        <v>654</v>
      </c>
      <c r="J89" s="2">
        <f>INDEX('Script List'!$H$2:$H$161,MATCH(B89,'Script List'!$A$2:$A$161,0))</f>
        <v>172</v>
      </c>
      <c r="K89" s="2" t="s">
        <v>20</v>
      </c>
      <c r="L89" s="2">
        <f>I89-J89</f>
        <v>482</v>
      </c>
      <c r="M89" s="2">
        <v>7</v>
      </c>
      <c r="N89" s="9">
        <f>DATE(YEAR(C89),MONTH(C89),1)</f>
        <v>45962.0</v>
      </c>
      <c r="O89" s="2" t="str">
        <f>TEXT(N89,"yyyy-mm")</f>
        <v>2025-11</v>
      </c>
    </row>
    <row r="90" spans="1:15">
      <c r="A90" s="2" t="s">
        <v>491</v>
      </c>
      <c r="B90" s="2" t="s">
        <v>62</v>
      </c>
      <c r="C90" s="9">
        <v>45986</v>
      </c>
      <c r="D90" s="2" t="s">
        <v>256</v>
      </c>
      <c r="E90" s="2" t="s">
        <v>223</v>
      </c>
      <c r="F90" s="2">
        <v>1</v>
      </c>
      <c r="G90" s="2">
        <v>6</v>
      </c>
      <c r="H90" s="2">
        <v>109</v>
      </c>
      <c r="I90" s="2">
        <f>G90*H90</f>
        <v>654</v>
      </c>
      <c r="J90" s="2">
        <f>INDEX('Script List'!$H$2:$H$161,MATCH(B90,'Script List'!$A$2:$A$161,0))</f>
        <v>172</v>
      </c>
      <c r="K90" s="2" t="s">
        <v>20</v>
      </c>
      <c r="L90" s="2">
        <f>I90-J90</f>
        <v>482</v>
      </c>
      <c r="M90" s="2">
        <v>7</v>
      </c>
      <c r="N90" s="9">
        <f>DATE(YEAR(C90),MONTH(C90),1)</f>
        <v>45962.0</v>
      </c>
      <c r="O90" s="2" t="str">
        <f>TEXT(N90,"yyyy-mm")</f>
        <v>2025-11</v>
      </c>
    </row>
    <row r="91" spans="1:15">
      <c r="A91" s="2" t="s">
        <v>492</v>
      </c>
      <c r="B91" s="2" t="s">
        <v>62</v>
      </c>
      <c r="C91" s="9">
        <v>45987</v>
      </c>
      <c r="D91" s="2" t="s">
        <v>256</v>
      </c>
      <c r="E91" s="2" t="s">
        <v>223</v>
      </c>
      <c r="F91" s="2">
        <v>1</v>
      </c>
      <c r="G91" s="2">
        <v>6</v>
      </c>
      <c r="H91" s="2">
        <v>109</v>
      </c>
      <c r="I91" s="2">
        <f>G91*H91</f>
        <v>654</v>
      </c>
      <c r="J91" s="2">
        <f>INDEX('Script List'!$H$2:$H$161,MATCH(B91,'Script List'!$A$2:$A$161,0))</f>
        <v>172</v>
      </c>
      <c r="K91" s="2" t="s">
        <v>20</v>
      </c>
      <c r="L91" s="2">
        <f>I91-J91</f>
        <v>482</v>
      </c>
      <c r="M91" s="2">
        <v>7</v>
      </c>
      <c r="N91" s="9">
        <f>DATE(YEAR(C91),MONTH(C91),1)</f>
        <v>45962.0</v>
      </c>
      <c r="O91" s="2" t="str">
        <f>TEXT(N91,"yyyy-mm")</f>
        <v>2025-11</v>
      </c>
    </row>
    <row r="92" spans="1:15">
      <c r="A92" s="2" t="s">
        <v>493</v>
      </c>
      <c r="B92" s="2" t="s">
        <v>63</v>
      </c>
      <c r="C92" s="9">
        <v>45988</v>
      </c>
      <c r="D92" s="2" t="s">
        <v>257</v>
      </c>
      <c r="E92" s="2" t="s">
        <v>214</v>
      </c>
      <c r="F92" s="2">
        <v>1</v>
      </c>
      <c r="G92" s="2">
        <v>6</v>
      </c>
      <c r="H92" s="2">
        <v>75</v>
      </c>
      <c r="I92" s="2">
        <f>G92*H92</f>
        <v>450</v>
      </c>
      <c r="J92" s="2">
        <f>INDEX('Script List'!$H$2:$H$161,MATCH(B92,'Script List'!$A$2:$A$161,0))</f>
        <v>118</v>
      </c>
      <c r="K92" s="2" t="s">
        <v>22</v>
      </c>
      <c r="L92" s="2">
        <f>I92-J92</f>
        <v>332</v>
      </c>
      <c r="M92" s="2">
        <v>7.7</v>
      </c>
      <c r="N92" s="9">
        <f>DATE(YEAR(C92),MONTH(C92),1)</f>
        <v>45962.0</v>
      </c>
      <c r="O92" s="2" t="str">
        <f>TEXT(N92,"yyyy-mm")</f>
        <v>2025-11</v>
      </c>
    </row>
    <row r="93" spans="1:15">
      <c r="A93" s="2" t="s">
        <v>494</v>
      </c>
      <c r="B93" s="2" t="s">
        <v>63</v>
      </c>
      <c r="C93" s="9">
        <v>45989</v>
      </c>
      <c r="D93" s="2" t="s">
        <v>257</v>
      </c>
      <c r="E93" s="2" t="s">
        <v>214</v>
      </c>
      <c r="F93" s="2">
        <v>1</v>
      </c>
      <c r="G93" s="2">
        <v>6</v>
      </c>
      <c r="H93" s="2">
        <v>75</v>
      </c>
      <c r="I93" s="2">
        <f>G93*H93</f>
        <v>450</v>
      </c>
      <c r="J93" s="2">
        <f>INDEX('Script List'!$H$2:$H$161,MATCH(B93,'Script List'!$A$2:$A$161,0))</f>
        <v>118</v>
      </c>
      <c r="K93" s="2" t="s">
        <v>22</v>
      </c>
      <c r="L93" s="2">
        <f>I93-J93</f>
        <v>332</v>
      </c>
      <c r="M93" s="2">
        <v>7.7</v>
      </c>
      <c r="N93" s="9">
        <f>DATE(YEAR(C93),MONTH(C93),1)</f>
        <v>45962.0</v>
      </c>
      <c r="O93" s="2" t="str">
        <f>TEXT(N93,"yyyy-mm")</f>
        <v>2025-11</v>
      </c>
    </row>
    <row r="94" spans="1:15">
      <c r="A94" s="2" t="s">
        <v>495</v>
      </c>
      <c r="B94" s="2" t="s">
        <v>63</v>
      </c>
      <c r="C94" s="9">
        <v>45990</v>
      </c>
      <c r="D94" s="2" t="s">
        <v>257</v>
      </c>
      <c r="E94" s="2" t="s">
        <v>214</v>
      </c>
      <c r="F94" s="2">
        <v>1</v>
      </c>
      <c r="G94" s="2">
        <v>6</v>
      </c>
      <c r="H94" s="2">
        <v>75</v>
      </c>
      <c r="I94" s="2">
        <f>G94*H94</f>
        <v>450</v>
      </c>
      <c r="J94" s="2">
        <f>INDEX('Script List'!$H$2:$H$161,MATCH(B94,'Script List'!$A$2:$A$161,0))</f>
        <v>118</v>
      </c>
      <c r="K94" s="2" t="s">
        <v>22</v>
      </c>
      <c r="L94" s="2">
        <f>I94-J94</f>
        <v>332</v>
      </c>
      <c r="M94" s="2">
        <v>7.7</v>
      </c>
      <c r="N94" s="9">
        <f>DATE(YEAR(C94),MONTH(C94),1)</f>
        <v>45962.0</v>
      </c>
      <c r="O94" s="2" t="str">
        <f>TEXT(N94,"yyyy-mm")</f>
        <v>2025-11</v>
      </c>
    </row>
    <row r="95" spans="1:15">
      <c r="A95" s="2" t="s">
        <v>496</v>
      </c>
      <c r="B95" s="2" t="s">
        <v>63</v>
      </c>
      <c r="C95" s="9">
        <v>45991</v>
      </c>
      <c r="D95" s="2" t="s">
        <v>257</v>
      </c>
      <c r="E95" s="2" t="s">
        <v>214</v>
      </c>
      <c r="F95" s="2">
        <v>1</v>
      </c>
      <c r="G95" s="2">
        <v>6</v>
      </c>
      <c r="H95" s="2">
        <v>75</v>
      </c>
      <c r="I95" s="2">
        <f>G95*H95</f>
        <v>450</v>
      </c>
      <c r="J95" s="2">
        <f>INDEX('Script List'!$H$2:$H$161,MATCH(B95,'Script List'!$A$2:$A$161,0))</f>
        <v>118</v>
      </c>
      <c r="K95" s="2" t="s">
        <v>22</v>
      </c>
      <c r="L95" s="2">
        <f>I95-J95</f>
        <v>332</v>
      </c>
      <c r="M95" s="2">
        <v>7.7</v>
      </c>
      <c r="N95" s="9">
        <f>DATE(YEAR(C95),MONTH(C95),1)</f>
        <v>45962.0</v>
      </c>
      <c r="O95" s="2" t="str">
        <f>TEXT(N95,"yyyy-mm")</f>
        <v>2025-11</v>
      </c>
    </row>
    <row r="96" spans="1:15">
      <c r="A96" s="2" t="s">
        <v>497</v>
      </c>
      <c r="B96" s="2" t="s">
        <v>63</v>
      </c>
      <c r="C96" s="9">
        <v>45992</v>
      </c>
      <c r="D96" s="2" t="s">
        <v>257</v>
      </c>
      <c r="E96" s="2" t="s">
        <v>214</v>
      </c>
      <c r="F96" s="2">
        <v>1</v>
      </c>
      <c r="G96" s="2">
        <v>6</v>
      </c>
      <c r="H96" s="2">
        <v>75</v>
      </c>
      <c r="I96" s="2">
        <f>G96*H96</f>
        <v>450</v>
      </c>
      <c r="J96" s="2">
        <f>INDEX('Script List'!$H$2:$H$161,MATCH(B96,'Script List'!$A$2:$A$161,0))</f>
        <v>118</v>
      </c>
      <c r="K96" s="2" t="s">
        <v>22</v>
      </c>
      <c r="L96" s="2">
        <f>I96-J96</f>
        <v>332</v>
      </c>
      <c r="M96" s="2">
        <v>7.7</v>
      </c>
      <c r="N96" s="9">
        <f>DATE(YEAR(C96),MONTH(C96),1)</f>
        <v>45992.0</v>
      </c>
      <c r="O96" s="2" t="str">
        <f>TEXT(N96,"yyyy-mm")</f>
        <v>2025-12</v>
      </c>
    </row>
    <row r="97" spans="1:15">
      <c r="A97" s="2" t="s">
        <v>498</v>
      </c>
      <c r="B97" s="2" t="s">
        <v>63</v>
      </c>
      <c r="C97" s="9">
        <v>45993</v>
      </c>
      <c r="D97" s="2" t="s">
        <v>257</v>
      </c>
      <c r="E97" s="2" t="s">
        <v>214</v>
      </c>
      <c r="F97" s="2">
        <v>1</v>
      </c>
      <c r="G97" s="2">
        <v>6</v>
      </c>
      <c r="H97" s="2">
        <v>75</v>
      </c>
      <c r="I97" s="2">
        <f>G97*H97</f>
        <v>450</v>
      </c>
      <c r="J97" s="2">
        <f>INDEX('Script List'!$H$2:$H$161,MATCH(B97,'Script List'!$A$2:$A$161,0))</f>
        <v>118</v>
      </c>
      <c r="K97" s="2" t="s">
        <v>22</v>
      </c>
      <c r="L97" s="2">
        <f>I97-J97</f>
        <v>332</v>
      </c>
      <c r="M97" s="2">
        <v>7.7</v>
      </c>
      <c r="N97" s="9">
        <f>DATE(YEAR(C97),MONTH(C97),1)</f>
        <v>45992.0</v>
      </c>
      <c r="O97" s="2" t="str">
        <f>TEXT(N97,"yyyy-mm")</f>
        <v>2025-12</v>
      </c>
    </row>
    <row r="98" spans="1:15">
      <c r="A98" s="2" t="s">
        <v>499</v>
      </c>
      <c r="B98" s="2" t="s">
        <v>63</v>
      </c>
      <c r="C98" s="9">
        <v>45994</v>
      </c>
      <c r="D98" s="2" t="s">
        <v>257</v>
      </c>
      <c r="E98" s="2" t="s">
        <v>214</v>
      </c>
      <c r="F98" s="2">
        <v>1</v>
      </c>
      <c r="G98" s="2">
        <v>6</v>
      </c>
      <c r="H98" s="2">
        <v>75</v>
      </c>
      <c r="I98" s="2">
        <f>G98*H98</f>
        <v>450</v>
      </c>
      <c r="J98" s="2">
        <f>INDEX('Script List'!$H$2:$H$161,MATCH(B98,'Script List'!$A$2:$A$161,0))</f>
        <v>118</v>
      </c>
      <c r="K98" s="2" t="s">
        <v>22</v>
      </c>
      <c r="L98" s="2">
        <f>I98-J98</f>
        <v>332</v>
      </c>
      <c r="M98" s="2">
        <v>7.7</v>
      </c>
      <c r="N98" s="9">
        <f>DATE(YEAR(C98),MONTH(C98),1)</f>
        <v>45992.0</v>
      </c>
      <c r="O98" s="2" t="str">
        <f>TEXT(N98,"yyyy-mm")</f>
        <v>2025-12</v>
      </c>
    </row>
    <row r="99" spans="1:15">
      <c r="A99" s="2" t="s">
        <v>500</v>
      </c>
      <c r="B99" s="2" t="s">
        <v>63</v>
      </c>
      <c r="C99" s="9">
        <v>45995</v>
      </c>
      <c r="D99" s="2" t="s">
        <v>257</v>
      </c>
      <c r="E99" s="2" t="s">
        <v>214</v>
      </c>
      <c r="F99" s="2">
        <v>1</v>
      </c>
      <c r="G99" s="2">
        <v>6</v>
      </c>
      <c r="H99" s="2">
        <v>75</v>
      </c>
      <c r="I99" s="2">
        <f>G99*H99</f>
        <v>450</v>
      </c>
      <c r="J99" s="2">
        <f>INDEX('Script List'!$H$2:$H$161,MATCH(B99,'Script List'!$A$2:$A$161,0))</f>
        <v>118</v>
      </c>
      <c r="K99" s="2" t="s">
        <v>22</v>
      </c>
      <c r="L99" s="2">
        <f>I99-J99</f>
        <v>332</v>
      </c>
      <c r="M99" s="2">
        <v>7.7</v>
      </c>
      <c r="N99" s="9">
        <f>DATE(YEAR(C99),MONTH(C99),1)</f>
        <v>45992.0</v>
      </c>
      <c r="O99" s="2" t="str">
        <f>TEXT(N99,"yyyy-mm")</f>
        <v>2025-12</v>
      </c>
    </row>
    <row r="100" spans="1:15">
      <c r="A100" s="2" t="s">
        <v>501</v>
      </c>
      <c r="B100" s="2" t="s">
        <v>63</v>
      </c>
      <c r="C100" s="9">
        <v>45996</v>
      </c>
      <c r="D100" s="2" t="s">
        <v>257</v>
      </c>
      <c r="E100" s="2" t="s">
        <v>214</v>
      </c>
      <c r="F100" s="2">
        <v>1</v>
      </c>
      <c r="G100" s="2">
        <v>6</v>
      </c>
      <c r="H100" s="2">
        <v>75</v>
      </c>
      <c r="I100" s="2">
        <f>G100*H100</f>
        <v>450</v>
      </c>
      <c r="J100" s="2">
        <f>INDEX('Script List'!$H$2:$H$161,MATCH(B100,'Script List'!$A$2:$A$161,0))</f>
        <v>118</v>
      </c>
      <c r="K100" s="2" t="s">
        <v>22</v>
      </c>
      <c r="L100" s="2">
        <f>I100-J100</f>
        <v>332</v>
      </c>
      <c r="M100" s="2">
        <v>7.7</v>
      </c>
      <c r="N100" s="9">
        <f>DATE(YEAR(C100),MONTH(C100),1)</f>
        <v>45992.0</v>
      </c>
      <c r="O100" s="2" t="str">
        <f>TEXT(N100,"yyyy-mm")</f>
        <v>2025-12</v>
      </c>
    </row>
    <row r="101" spans="1:15">
      <c r="A101" s="2" t="s">
        <v>502</v>
      </c>
      <c r="B101" s="2" t="s">
        <v>63</v>
      </c>
      <c r="C101" s="9">
        <v>45997</v>
      </c>
      <c r="D101" s="2" t="s">
        <v>257</v>
      </c>
      <c r="E101" s="2" t="s">
        <v>214</v>
      </c>
      <c r="F101" s="2">
        <v>1</v>
      </c>
      <c r="G101" s="2">
        <v>6</v>
      </c>
      <c r="H101" s="2">
        <v>75</v>
      </c>
      <c r="I101" s="2">
        <f>G101*H101</f>
        <v>450</v>
      </c>
      <c r="J101" s="2">
        <f>INDEX('Script List'!$H$2:$H$161,MATCH(B101,'Script List'!$A$2:$A$161,0))</f>
        <v>118</v>
      </c>
      <c r="K101" s="2" t="s">
        <v>22</v>
      </c>
      <c r="L101" s="2">
        <f>I101-J101</f>
        <v>332</v>
      </c>
      <c r="M101" s="2">
        <v>7.7</v>
      </c>
      <c r="N101" s="9">
        <f>DATE(YEAR(C101),MONTH(C101),1)</f>
        <v>45992.0</v>
      </c>
      <c r="O101" s="2" t="str">
        <f>TEXT(N101,"yyyy-mm")</f>
        <v>2025-12</v>
      </c>
    </row>
    <row r="102" spans="1:15">
      <c r="A102" s="2" t="s">
        <v>503</v>
      </c>
      <c r="B102" s="2" t="s">
        <v>64</v>
      </c>
      <c r="C102" s="9">
        <v>45998</v>
      </c>
      <c r="D102" s="2" t="s">
        <v>258</v>
      </c>
      <c r="E102" s="2" t="s">
        <v>218</v>
      </c>
      <c r="F102" s="2">
        <v>3</v>
      </c>
      <c r="G102" s="2">
        <v>7</v>
      </c>
      <c r="H102" s="2">
        <v>118</v>
      </c>
      <c r="I102" s="2">
        <f>G102*H102</f>
        <v>826</v>
      </c>
      <c r="J102" s="2">
        <f>INDEX('Script List'!$H$2:$H$161,MATCH(B102,'Script List'!$A$2:$A$161,0))</f>
        <v>217</v>
      </c>
      <c r="K102" s="2" t="s">
        <v>21</v>
      </c>
      <c r="L102" s="2">
        <f>I102-J102</f>
        <v>609</v>
      </c>
      <c r="M102" s="2">
        <v>8.4</v>
      </c>
      <c r="N102" s="9">
        <f>DATE(YEAR(C102),MONTH(C102),1)</f>
        <v>45992.0</v>
      </c>
      <c r="O102" s="2" t="str">
        <f>TEXT(N102,"yyyy-mm")</f>
        <v>2025-12</v>
      </c>
    </row>
    <row r="103" spans="1:15">
      <c r="A103" s="2" t="s">
        <v>504</v>
      </c>
      <c r="B103" s="2" t="s">
        <v>65</v>
      </c>
      <c r="C103" s="9">
        <v>45999</v>
      </c>
      <c r="D103" s="2" t="s">
        <v>259</v>
      </c>
      <c r="E103" s="2" t="s">
        <v>212</v>
      </c>
      <c r="F103" s="2">
        <v>6</v>
      </c>
      <c r="G103" s="2">
        <v>8</v>
      </c>
      <c r="H103" s="2">
        <v>138</v>
      </c>
      <c r="I103" s="2">
        <f>G103*H103</f>
        <v>1104</v>
      </c>
      <c r="J103" s="2">
        <f>INDEX('Script List'!$H$2:$H$161,MATCH(B103,'Script List'!$A$2:$A$161,0))</f>
        <v>540</v>
      </c>
      <c r="K103" s="2" t="s">
        <v>22</v>
      </c>
      <c r="L103" s="2">
        <f>I103-J103</f>
        <v>564</v>
      </c>
      <c r="M103" s="2">
        <v>7</v>
      </c>
      <c r="N103" s="9">
        <f>DATE(YEAR(C103),MONTH(C103),1)</f>
        <v>45992.0</v>
      </c>
      <c r="O103" s="2" t="str">
        <f>TEXT(N103,"yyyy-mm")</f>
        <v>2025-12</v>
      </c>
    </row>
    <row r="104" spans="1:15">
      <c r="A104" s="2" t="s">
        <v>505</v>
      </c>
      <c r="B104" s="2" t="s">
        <v>65</v>
      </c>
      <c r="C104" s="9">
        <v>46000</v>
      </c>
      <c r="D104" s="2" t="s">
        <v>259</v>
      </c>
      <c r="E104" s="2" t="s">
        <v>212</v>
      </c>
      <c r="F104" s="2">
        <v>6</v>
      </c>
      <c r="G104" s="2">
        <v>8</v>
      </c>
      <c r="H104" s="2">
        <v>138</v>
      </c>
      <c r="I104" s="2">
        <f>G104*H104</f>
        <v>1104</v>
      </c>
      <c r="J104" s="2">
        <f>INDEX('Script List'!$H$2:$H$161,MATCH(B104,'Script List'!$A$2:$A$161,0))</f>
        <v>540</v>
      </c>
      <c r="K104" s="2" t="s">
        <v>22</v>
      </c>
      <c r="L104" s="2">
        <f>I104-J104</f>
        <v>564</v>
      </c>
      <c r="M104" s="2">
        <v>7</v>
      </c>
      <c r="N104" s="9">
        <f>DATE(YEAR(C104),MONTH(C104),1)</f>
        <v>45992.0</v>
      </c>
      <c r="O104" s="2" t="str">
        <f>TEXT(N104,"yyyy-mm")</f>
        <v>2025-12</v>
      </c>
    </row>
    <row r="105" spans="1:15">
      <c r="A105" s="2" t="s">
        <v>506</v>
      </c>
      <c r="B105" s="2" t="s">
        <v>65</v>
      </c>
      <c r="C105" s="9">
        <v>46001</v>
      </c>
      <c r="D105" s="2" t="s">
        <v>259</v>
      </c>
      <c r="E105" s="2" t="s">
        <v>212</v>
      </c>
      <c r="F105" s="2">
        <v>6</v>
      </c>
      <c r="G105" s="2">
        <v>8</v>
      </c>
      <c r="H105" s="2">
        <v>138</v>
      </c>
      <c r="I105" s="2">
        <f>G105*H105</f>
        <v>1104</v>
      </c>
      <c r="J105" s="2">
        <f>INDEX('Script List'!$H$2:$H$161,MATCH(B105,'Script List'!$A$2:$A$161,0))</f>
        <v>540</v>
      </c>
      <c r="K105" s="2" t="s">
        <v>22</v>
      </c>
      <c r="L105" s="2">
        <f>I105-J105</f>
        <v>564</v>
      </c>
      <c r="M105" s="2">
        <v>7</v>
      </c>
      <c r="N105" s="9">
        <f>DATE(YEAR(C105),MONTH(C105),1)</f>
        <v>45992.0</v>
      </c>
      <c r="O105" s="2" t="str">
        <f>TEXT(N105,"yyyy-mm")</f>
        <v>2025-12</v>
      </c>
    </row>
    <row r="106" spans="1:15">
      <c r="A106" s="2" t="s">
        <v>507</v>
      </c>
      <c r="B106" s="2" t="s">
        <v>66</v>
      </c>
      <c r="C106" s="9">
        <v>46002</v>
      </c>
      <c r="D106" s="2" t="s">
        <v>262</v>
      </c>
      <c r="E106" s="2" t="s">
        <v>214</v>
      </c>
      <c r="F106" s="2">
        <v>1</v>
      </c>
      <c r="G106" s="2">
        <v>6</v>
      </c>
      <c r="H106" s="2">
        <v>75</v>
      </c>
      <c r="I106" s="2">
        <f>G106*H106</f>
        <v>450</v>
      </c>
      <c r="J106" s="2">
        <f>INDEX('Script List'!$H$2:$H$161,MATCH(B106,'Script List'!$A$2:$A$161,0))</f>
        <v>118</v>
      </c>
      <c r="K106" s="2" t="s">
        <v>20</v>
      </c>
      <c r="L106" s="2">
        <f>I106-J106</f>
        <v>332</v>
      </c>
      <c r="M106" s="2">
        <v>8.4</v>
      </c>
      <c r="N106" s="9">
        <f>DATE(YEAR(C106),MONTH(C106),1)</f>
        <v>45992.0</v>
      </c>
      <c r="O106" s="2" t="str">
        <f>TEXT(N106,"yyyy-mm")</f>
        <v>2025-12</v>
      </c>
    </row>
    <row r="107" spans="1:15">
      <c r="A107" s="2" t="s">
        <v>508</v>
      </c>
      <c r="B107" s="2" t="s">
        <v>67</v>
      </c>
      <c r="C107" s="9">
        <v>46003</v>
      </c>
      <c r="D107" s="2" t="s">
        <v>263</v>
      </c>
      <c r="E107" s="2" t="s">
        <v>212</v>
      </c>
      <c r="F107" s="2">
        <v>3</v>
      </c>
      <c r="G107" s="2">
        <v>6</v>
      </c>
      <c r="H107" s="2">
        <v>118</v>
      </c>
      <c r="I107" s="2">
        <f>G107*H107</f>
        <v>708</v>
      </c>
      <c r="J107" s="2">
        <f>INDEX('Script List'!$H$2:$H$161,MATCH(B107,'Script List'!$A$2:$A$161,0))</f>
        <v>270</v>
      </c>
      <c r="K107" s="2" t="s">
        <v>22</v>
      </c>
      <c r="L107" s="2">
        <f>I107-J107</f>
        <v>438</v>
      </c>
      <c r="M107" s="2">
        <v>7</v>
      </c>
      <c r="N107" s="9">
        <f>DATE(YEAR(C107),MONTH(C107),1)</f>
        <v>45992.0</v>
      </c>
      <c r="O107" s="2" t="str">
        <f>TEXT(N107,"yyyy-mm")</f>
        <v>2025-12</v>
      </c>
    </row>
    <row r="108" spans="1:15">
      <c r="A108" s="2" t="s">
        <v>509</v>
      </c>
      <c r="B108" s="2" t="s">
        <v>67</v>
      </c>
      <c r="C108" s="9">
        <v>46004</v>
      </c>
      <c r="D108" s="2" t="s">
        <v>263</v>
      </c>
      <c r="E108" s="2" t="s">
        <v>212</v>
      </c>
      <c r="F108" s="2">
        <v>3</v>
      </c>
      <c r="G108" s="2">
        <v>6</v>
      </c>
      <c r="H108" s="2">
        <v>118</v>
      </c>
      <c r="I108" s="2">
        <f>G108*H108</f>
        <v>708</v>
      </c>
      <c r="J108" s="2">
        <f>INDEX('Script List'!$H$2:$H$161,MATCH(B108,'Script List'!$A$2:$A$161,0))</f>
        <v>270</v>
      </c>
      <c r="K108" s="2" t="s">
        <v>22</v>
      </c>
      <c r="L108" s="2">
        <f>I108-J108</f>
        <v>438</v>
      </c>
      <c r="M108" s="2">
        <v>7</v>
      </c>
      <c r="N108" s="9">
        <f>DATE(YEAR(C108),MONTH(C108),1)</f>
        <v>45992.0</v>
      </c>
      <c r="O108" s="2" t="str">
        <f>TEXT(N108,"yyyy-mm")</f>
        <v>2025-12</v>
      </c>
    </row>
    <row r="109" spans="1:15">
      <c r="A109" s="2" t="s">
        <v>510</v>
      </c>
      <c r="B109" s="2" t="s">
        <v>67</v>
      </c>
      <c r="C109" s="9">
        <v>46005</v>
      </c>
      <c r="D109" s="2" t="s">
        <v>263</v>
      </c>
      <c r="E109" s="2" t="s">
        <v>212</v>
      </c>
      <c r="F109" s="2">
        <v>3</v>
      </c>
      <c r="G109" s="2">
        <v>6</v>
      </c>
      <c r="H109" s="2">
        <v>118</v>
      </c>
      <c r="I109" s="2">
        <f>G109*H109</f>
        <v>708</v>
      </c>
      <c r="J109" s="2">
        <f>INDEX('Script List'!$H$2:$H$161,MATCH(B109,'Script List'!$A$2:$A$161,0))</f>
        <v>270</v>
      </c>
      <c r="K109" s="2" t="s">
        <v>22</v>
      </c>
      <c r="L109" s="2">
        <f>I109-J109</f>
        <v>438</v>
      </c>
      <c r="M109" s="2">
        <v>7</v>
      </c>
      <c r="N109" s="9">
        <f>DATE(YEAR(C109),MONTH(C109),1)</f>
        <v>45992.0</v>
      </c>
      <c r="O109" s="2" t="str">
        <f>TEXT(N109,"yyyy-mm")</f>
        <v>2025-12</v>
      </c>
    </row>
    <row r="110" spans="1:15">
      <c r="A110" s="2" t="s">
        <v>511</v>
      </c>
      <c r="B110" s="2" t="s">
        <v>68</v>
      </c>
      <c r="C110" s="9">
        <v>46006</v>
      </c>
      <c r="D110" s="2" t="s">
        <v>266</v>
      </c>
      <c r="E110" s="2" t="s">
        <v>214</v>
      </c>
      <c r="F110" s="2">
        <v>2</v>
      </c>
      <c r="G110" s="2">
        <v>8</v>
      </c>
      <c r="H110" s="2">
        <v>65</v>
      </c>
      <c r="I110" s="2">
        <f>G110*H110</f>
        <v>520</v>
      </c>
      <c r="J110" s="2">
        <f>INDEX('Script List'!$H$2:$H$161,MATCH(B110,'Script List'!$A$2:$A$161,0))</f>
        <v>137</v>
      </c>
      <c r="K110" s="2" t="s">
        <v>20</v>
      </c>
      <c r="L110" s="2">
        <f>I110-J110</f>
        <v>383</v>
      </c>
      <c r="M110" s="2">
        <v>8.4</v>
      </c>
      <c r="N110" s="9">
        <f>DATE(YEAR(C110),MONTH(C110),1)</f>
        <v>45992.0</v>
      </c>
      <c r="O110" s="2" t="str">
        <f>TEXT(N110,"yyyy-mm")</f>
        <v>2025-12</v>
      </c>
    </row>
    <row r="111" spans="1:15">
      <c r="A111" s="2" t="s">
        <v>512</v>
      </c>
      <c r="B111" s="2" t="s">
        <v>68</v>
      </c>
      <c r="C111" s="9">
        <v>46007</v>
      </c>
      <c r="D111" s="2" t="s">
        <v>266</v>
      </c>
      <c r="E111" s="2" t="s">
        <v>214</v>
      </c>
      <c r="F111" s="2">
        <v>2</v>
      </c>
      <c r="G111" s="2">
        <v>8</v>
      </c>
      <c r="H111" s="2">
        <v>65</v>
      </c>
      <c r="I111" s="2">
        <f>G111*H111</f>
        <v>520</v>
      </c>
      <c r="J111" s="2">
        <f>INDEX('Script List'!$H$2:$H$161,MATCH(B111,'Script List'!$A$2:$A$161,0))</f>
        <v>137</v>
      </c>
      <c r="K111" s="2" t="s">
        <v>20</v>
      </c>
      <c r="L111" s="2">
        <f>I111-J111</f>
        <v>383</v>
      </c>
      <c r="M111" s="2">
        <v>8.4</v>
      </c>
      <c r="N111" s="9">
        <f>DATE(YEAR(C111),MONTH(C111),1)</f>
        <v>45992.0</v>
      </c>
      <c r="O111" s="2" t="str">
        <f>TEXT(N111,"yyyy-mm")</f>
        <v>2025-12</v>
      </c>
    </row>
    <row r="112" spans="1:15">
      <c r="A112" s="2" t="s">
        <v>513</v>
      </c>
      <c r="B112" s="2" t="s">
        <v>69</v>
      </c>
      <c r="C112" s="9">
        <v>46008</v>
      </c>
      <c r="D112" s="2" t="s">
        <v>267</v>
      </c>
      <c r="E112" s="2" t="s">
        <v>212</v>
      </c>
      <c r="F112" s="2">
        <v>2</v>
      </c>
      <c r="G112" s="2">
        <v>6</v>
      </c>
      <c r="H112" s="2">
        <v>109</v>
      </c>
      <c r="I112" s="2">
        <f>G112*H112</f>
        <v>654</v>
      </c>
      <c r="J112" s="2">
        <f>INDEX('Script List'!$H$2:$H$161,MATCH(B112,'Script List'!$A$2:$A$161,0))</f>
        <v>180</v>
      </c>
      <c r="K112" s="2" t="s">
        <v>22</v>
      </c>
      <c r="L112" s="2">
        <f>I112-J112</f>
        <v>474</v>
      </c>
      <c r="M112" s="2">
        <v>7</v>
      </c>
      <c r="N112" s="9">
        <f>DATE(YEAR(C112),MONTH(C112),1)</f>
        <v>45992.0</v>
      </c>
      <c r="O112" s="2" t="str">
        <f>TEXT(N112,"yyyy-mm")</f>
        <v>2025-12</v>
      </c>
    </row>
    <row r="113" spans="1:15">
      <c r="A113" s="2" t="s">
        <v>514</v>
      </c>
      <c r="B113" s="2" t="s">
        <v>69</v>
      </c>
      <c r="C113" s="9">
        <v>46009</v>
      </c>
      <c r="D113" s="2" t="s">
        <v>267</v>
      </c>
      <c r="E113" s="2" t="s">
        <v>212</v>
      </c>
      <c r="F113" s="2">
        <v>2</v>
      </c>
      <c r="G113" s="2">
        <v>6</v>
      </c>
      <c r="H113" s="2">
        <v>109</v>
      </c>
      <c r="I113" s="2">
        <f>G113*H113</f>
        <v>654</v>
      </c>
      <c r="J113" s="2">
        <f>INDEX('Script List'!$H$2:$H$161,MATCH(B113,'Script List'!$A$2:$A$161,0))</f>
        <v>180</v>
      </c>
      <c r="K113" s="2" t="s">
        <v>22</v>
      </c>
      <c r="L113" s="2">
        <f>I113-J113</f>
        <v>474</v>
      </c>
      <c r="M113" s="2">
        <v>7</v>
      </c>
      <c r="N113" s="9">
        <f>DATE(YEAR(C113),MONTH(C113),1)</f>
        <v>45992.0</v>
      </c>
      <c r="O113" s="2" t="str">
        <f>TEXT(N113,"yyyy-mm")</f>
        <v>2025-12</v>
      </c>
    </row>
    <row r="114" spans="1:15">
      <c r="A114" s="2" t="s">
        <v>515</v>
      </c>
      <c r="B114" s="2" t="s">
        <v>69</v>
      </c>
      <c r="C114" s="9">
        <v>46009</v>
      </c>
      <c r="D114" s="2" t="s">
        <v>267</v>
      </c>
      <c r="E114" s="2" t="s">
        <v>212</v>
      </c>
      <c r="F114" s="2">
        <v>2</v>
      </c>
      <c r="G114" s="2">
        <v>6</v>
      </c>
      <c r="H114" s="2">
        <v>109</v>
      </c>
      <c r="I114" s="2">
        <f>G114*H114</f>
        <v>654</v>
      </c>
      <c r="J114" s="2">
        <f>INDEX('Script List'!$H$2:$H$161,MATCH(B114,'Script List'!$A$2:$A$161,0))</f>
        <v>180</v>
      </c>
      <c r="K114" s="2" t="s">
        <v>22</v>
      </c>
      <c r="L114" s="2">
        <f>I114-J114</f>
        <v>474</v>
      </c>
      <c r="M114" s="2">
        <v>7</v>
      </c>
      <c r="N114" s="9">
        <f>DATE(YEAR(C114),MONTH(C114),1)</f>
        <v>45992.0</v>
      </c>
      <c r="O114" s="2" t="str">
        <f>TEXT(N114,"yyyy-mm")</f>
        <v>2025-12</v>
      </c>
    </row>
    <row r="115" spans="1:15">
      <c r="A115" s="2" t="s">
        <v>516</v>
      </c>
      <c r="B115" s="2" t="s">
        <v>69</v>
      </c>
      <c r="C115" s="9">
        <v>46010</v>
      </c>
      <c r="D115" s="2" t="s">
        <v>267</v>
      </c>
      <c r="E115" s="2" t="s">
        <v>212</v>
      </c>
      <c r="F115" s="2">
        <v>2</v>
      </c>
      <c r="G115" s="2">
        <v>6</v>
      </c>
      <c r="H115" s="2">
        <v>109</v>
      </c>
      <c r="I115" s="2">
        <f>G115*H115</f>
        <v>654</v>
      </c>
      <c r="J115" s="2">
        <f>INDEX('Script List'!$H$2:$H$161,MATCH(B115,'Script List'!$A$2:$A$161,0))</f>
        <v>180</v>
      </c>
      <c r="K115" s="2" t="s">
        <v>22</v>
      </c>
      <c r="L115" s="2">
        <f>I115-J115</f>
        <v>474</v>
      </c>
      <c r="M115" s="2">
        <v>7</v>
      </c>
      <c r="N115" s="9">
        <f>DATE(YEAR(C115),MONTH(C115),1)</f>
        <v>45992.0</v>
      </c>
      <c r="O115" s="2" t="str">
        <f>TEXT(N115,"yyyy-mm")</f>
        <v>2025-12</v>
      </c>
    </row>
    <row r="116" spans="1:15">
      <c r="A116" s="2" t="s">
        <v>517</v>
      </c>
      <c r="B116" s="2" t="s">
        <v>70</v>
      </c>
      <c r="C116" s="9">
        <v>46011</v>
      </c>
      <c r="D116" s="2" t="s">
        <v>270</v>
      </c>
      <c r="E116" s="2" t="s">
        <v>214</v>
      </c>
      <c r="F116" s="2">
        <v>1</v>
      </c>
      <c r="G116" s="2">
        <v>6</v>
      </c>
      <c r="H116" s="2">
        <v>119</v>
      </c>
      <c r="I116" s="2">
        <f>G116*H116</f>
        <v>714</v>
      </c>
      <c r="J116" s="2">
        <f>INDEX('Script List'!$H$2:$H$161,MATCH(B116,'Script List'!$A$2:$A$161,0))</f>
        <v>187</v>
      </c>
      <c r="K116" s="2" t="s">
        <v>22</v>
      </c>
      <c r="L116" s="2">
        <f>I116-J116</f>
        <v>527</v>
      </c>
      <c r="M116" s="2">
        <v>8.4</v>
      </c>
      <c r="N116" s="9">
        <f>DATE(YEAR(C116),MONTH(C116),1)</f>
        <v>45992.0</v>
      </c>
      <c r="O116" s="2" t="str">
        <f>TEXT(N116,"yyyy-mm")</f>
        <v>2025-12</v>
      </c>
    </row>
    <row r="117" spans="1:15">
      <c r="A117" s="2" t="s">
        <v>518</v>
      </c>
      <c r="B117" s="2" t="s">
        <v>70</v>
      </c>
      <c r="C117" s="9">
        <v>46012</v>
      </c>
      <c r="D117" s="2" t="s">
        <v>270</v>
      </c>
      <c r="E117" s="2" t="s">
        <v>214</v>
      </c>
      <c r="F117" s="2">
        <v>1</v>
      </c>
      <c r="G117" s="2">
        <v>6</v>
      </c>
      <c r="H117" s="2">
        <v>119</v>
      </c>
      <c r="I117" s="2">
        <f>G117*H117</f>
        <v>714</v>
      </c>
      <c r="J117" s="2">
        <f>INDEX('Script List'!$H$2:$H$161,MATCH(B117,'Script List'!$A$2:$A$161,0))</f>
        <v>187</v>
      </c>
      <c r="K117" s="2" t="s">
        <v>22</v>
      </c>
      <c r="L117" s="2">
        <f>I117-J117</f>
        <v>527</v>
      </c>
      <c r="M117" s="2">
        <v>8.4</v>
      </c>
      <c r="N117" s="9">
        <f>DATE(YEAR(C117),MONTH(C117),1)</f>
        <v>45992.0</v>
      </c>
      <c r="O117" s="2" t="str">
        <f>TEXT(N117,"yyyy-mm")</f>
        <v>2025-12</v>
      </c>
    </row>
    <row r="118" spans="1:15">
      <c r="A118" s="2" t="s">
        <v>519</v>
      </c>
      <c r="B118" s="2" t="s">
        <v>71</v>
      </c>
      <c r="C118" s="9">
        <v>46013</v>
      </c>
      <c r="D118" s="2" t="s">
        <v>271</v>
      </c>
      <c r="E118" s="2" t="s">
        <v>218</v>
      </c>
      <c r="F118" s="2">
        <v>3</v>
      </c>
      <c r="G118" s="2">
        <v>7</v>
      </c>
      <c r="H118" s="2">
        <v>95</v>
      </c>
      <c r="I118" s="2">
        <f>G118*H118</f>
        <v>665</v>
      </c>
      <c r="J118" s="2">
        <f>INDEX('Script List'!$H$2:$H$161,MATCH(B118,'Script List'!$A$2:$A$161,0))</f>
        <v>175</v>
      </c>
      <c r="K118" s="2" t="s">
        <v>21</v>
      </c>
      <c r="L118" s="2">
        <f>I118-J118</f>
        <v>490</v>
      </c>
      <c r="M118" s="2">
        <v>7</v>
      </c>
      <c r="N118" s="9">
        <f>DATE(YEAR(C118),MONTH(C118),1)</f>
        <v>45992.0</v>
      </c>
      <c r="O118" s="2" t="str">
        <f>TEXT(N118,"yyyy-mm")</f>
        <v>2025-12</v>
      </c>
    </row>
    <row r="119" spans="1:15">
      <c r="A119" s="2" t="s">
        <v>520</v>
      </c>
      <c r="B119" s="2" t="s">
        <v>71</v>
      </c>
      <c r="C119" s="9">
        <v>46014</v>
      </c>
      <c r="D119" s="2" t="s">
        <v>271</v>
      </c>
      <c r="E119" s="2" t="s">
        <v>218</v>
      </c>
      <c r="F119" s="2">
        <v>3</v>
      </c>
      <c r="G119" s="2">
        <v>7</v>
      </c>
      <c r="H119" s="2">
        <v>95</v>
      </c>
      <c r="I119" s="2">
        <f>G119*H119</f>
        <v>665</v>
      </c>
      <c r="J119" s="2">
        <f>INDEX('Script List'!$H$2:$H$161,MATCH(B119,'Script List'!$A$2:$A$161,0))</f>
        <v>175</v>
      </c>
      <c r="K119" s="2" t="s">
        <v>21</v>
      </c>
      <c r="L119" s="2">
        <f>I119-J119</f>
        <v>490</v>
      </c>
      <c r="M119" s="2">
        <v>7</v>
      </c>
      <c r="N119" s="9">
        <f>DATE(YEAR(C119),MONTH(C119),1)</f>
        <v>45992.0</v>
      </c>
      <c r="O119" s="2" t="str">
        <f>TEXT(N119,"yyyy-mm")</f>
        <v>2025-12</v>
      </c>
    </row>
    <row r="120" spans="1:15">
      <c r="A120" s="2" t="s">
        <v>521</v>
      </c>
      <c r="B120" s="2" t="s">
        <v>71</v>
      </c>
      <c r="C120" s="9">
        <v>46015</v>
      </c>
      <c r="D120" s="2" t="s">
        <v>271</v>
      </c>
      <c r="E120" s="2" t="s">
        <v>218</v>
      </c>
      <c r="F120" s="2">
        <v>3</v>
      </c>
      <c r="G120" s="2">
        <v>7</v>
      </c>
      <c r="H120" s="2">
        <v>95</v>
      </c>
      <c r="I120" s="2">
        <f>G120*H120</f>
        <v>665</v>
      </c>
      <c r="J120" s="2">
        <f>INDEX('Script List'!$H$2:$H$161,MATCH(B120,'Script List'!$A$2:$A$161,0))</f>
        <v>175</v>
      </c>
      <c r="K120" s="2" t="s">
        <v>21</v>
      </c>
      <c r="L120" s="2">
        <f>I120-J120</f>
        <v>490</v>
      </c>
      <c r="M120" s="2">
        <v>7</v>
      </c>
      <c r="N120" s="9">
        <f>DATE(YEAR(C120),MONTH(C120),1)</f>
        <v>45992.0</v>
      </c>
      <c r="O120" s="2" t="str">
        <f>TEXT(N120,"yyyy-mm")</f>
        <v>2025-12</v>
      </c>
    </row>
    <row r="121" spans="1:15">
      <c r="A121" s="2" t="s">
        <v>522</v>
      </c>
      <c r="B121" s="2" t="s">
        <v>71</v>
      </c>
      <c r="C121" s="9">
        <v>46016</v>
      </c>
      <c r="D121" s="2" t="s">
        <v>271</v>
      </c>
      <c r="E121" s="2" t="s">
        <v>218</v>
      </c>
      <c r="F121" s="2">
        <v>3</v>
      </c>
      <c r="G121" s="2">
        <v>7</v>
      </c>
      <c r="H121" s="2">
        <v>95</v>
      </c>
      <c r="I121" s="2">
        <f>G121*H121</f>
        <v>665</v>
      </c>
      <c r="J121" s="2">
        <f>INDEX('Script List'!$H$2:$H$161,MATCH(B121,'Script List'!$A$2:$A$161,0))</f>
        <v>175</v>
      </c>
      <c r="K121" s="2" t="s">
        <v>21</v>
      </c>
      <c r="L121" s="2">
        <f>I121-J121</f>
        <v>490</v>
      </c>
      <c r="M121" s="2">
        <v>7</v>
      </c>
      <c r="N121" s="9">
        <f>DATE(YEAR(C121),MONTH(C121),1)</f>
        <v>45992.0</v>
      </c>
      <c r="O121" s="2" t="str">
        <f>TEXT(N121,"yyyy-mm")</f>
        <v>2025-12</v>
      </c>
    </row>
    <row r="122" spans="1:15">
      <c r="A122" s="2" t="s">
        <v>523</v>
      </c>
      <c r="B122" s="2" t="s">
        <v>72</v>
      </c>
      <c r="C122" s="9">
        <v>46017</v>
      </c>
      <c r="D122" s="2" t="s">
        <v>272</v>
      </c>
      <c r="E122" s="2" t="s">
        <v>212</v>
      </c>
      <c r="F122" s="2">
        <v>6</v>
      </c>
      <c r="G122" s="2">
        <v>8</v>
      </c>
      <c r="H122" s="2">
        <v>109</v>
      </c>
      <c r="I122" s="2">
        <f>G122*H122</f>
        <v>872</v>
      </c>
      <c r="J122" s="2">
        <f>INDEX('Script List'!$H$2:$H$161,MATCH(B122,'Script List'!$A$2:$A$161,0))</f>
        <v>540</v>
      </c>
      <c r="K122" s="2" t="s">
        <v>22</v>
      </c>
      <c r="L122" s="2">
        <f>I122-J122</f>
        <v>332</v>
      </c>
      <c r="M122" s="2">
        <v>7.7</v>
      </c>
      <c r="N122" s="9">
        <f>DATE(YEAR(C122),MONTH(C122),1)</f>
        <v>45992.0</v>
      </c>
      <c r="O122" s="2" t="str">
        <f>TEXT(N122,"yyyy-mm")</f>
        <v>2025-12</v>
      </c>
    </row>
    <row r="123" spans="1:15">
      <c r="A123" s="2" t="s">
        <v>524</v>
      </c>
      <c r="B123" s="2" t="s">
        <v>73</v>
      </c>
      <c r="C123" s="9">
        <v>46018</v>
      </c>
      <c r="D123" s="2" t="s">
        <v>273</v>
      </c>
      <c r="E123" s="2" t="s">
        <v>212</v>
      </c>
      <c r="F123" s="2">
        <v>2</v>
      </c>
      <c r="G123" s="2">
        <v>6</v>
      </c>
      <c r="H123" s="2">
        <v>118</v>
      </c>
      <c r="I123" s="2">
        <f>G123*H123</f>
        <v>708</v>
      </c>
      <c r="J123" s="2">
        <f>INDEX('Script List'!$H$2:$H$161,MATCH(B123,'Script List'!$A$2:$A$161,0))</f>
        <v>180</v>
      </c>
      <c r="K123" s="2" t="s">
        <v>22</v>
      </c>
      <c r="L123" s="2">
        <f>I123-J123</f>
        <v>528</v>
      </c>
      <c r="M123" s="2">
        <v>8.4</v>
      </c>
      <c r="N123" s="9">
        <f>DATE(YEAR(C123),MONTH(C123),1)</f>
        <v>45992.0</v>
      </c>
      <c r="O123" s="2" t="str">
        <f>TEXT(N123,"yyyy-mm")</f>
        <v>2025-12</v>
      </c>
    </row>
    <row r="124" spans="1:15">
      <c r="A124" s="2" t="s">
        <v>525</v>
      </c>
      <c r="B124" s="2" t="s">
        <v>73</v>
      </c>
      <c r="C124" s="9">
        <v>46019</v>
      </c>
      <c r="D124" s="2" t="s">
        <v>273</v>
      </c>
      <c r="E124" s="2" t="s">
        <v>212</v>
      </c>
      <c r="F124" s="2">
        <v>2</v>
      </c>
      <c r="G124" s="2">
        <v>6</v>
      </c>
      <c r="H124" s="2">
        <v>118</v>
      </c>
      <c r="I124" s="2">
        <f>G124*H124</f>
        <v>708</v>
      </c>
      <c r="J124" s="2">
        <f>INDEX('Script List'!$H$2:$H$161,MATCH(B124,'Script List'!$A$2:$A$161,0))</f>
        <v>180</v>
      </c>
      <c r="K124" s="2" t="s">
        <v>22</v>
      </c>
      <c r="L124" s="2">
        <f>I124-J124</f>
        <v>528</v>
      </c>
      <c r="M124" s="2">
        <v>8.4</v>
      </c>
      <c r="N124" s="9">
        <f>DATE(YEAR(C124),MONTH(C124),1)</f>
        <v>45992.0</v>
      </c>
      <c r="O124" s="2" t="str">
        <f>TEXT(N124,"yyyy-mm")</f>
        <v>2025-12</v>
      </c>
    </row>
    <row r="125" spans="1:15">
      <c r="A125" s="2" t="s">
        <v>526</v>
      </c>
      <c r="B125" s="2" t="s">
        <v>74</v>
      </c>
      <c r="C125" s="9">
        <v>46020</v>
      </c>
      <c r="D125" s="2" t="s">
        <v>274</v>
      </c>
      <c r="E125" s="2" t="s">
        <v>214</v>
      </c>
      <c r="F125" s="2">
        <v>1</v>
      </c>
      <c r="G125" s="2">
        <v>6</v>
      </c>
      <c r="H125" s="2">
        <v>119</v>
      </c>
      <c r="I125" s="2">
        <f>G125*H125</f>
        <v>714</v>
      </c>
      <c r="J125" s="2">
        <f>INDEX('Script List'!$H$2:$H$161,MATCH(B125,'Script List'!$A$2:$A$161,0))</f>
        <v>187</v>
      </c>
      <c r="K125" s="2" t="s">
        <v>20</v>
      </c>
      <c r="L125" s="2">
        <f>I125-J125</f>
        <v>527</v>
      </c>
      <c r="M125" s="2">
        <v>7</v>
      </c>
      <c r="N125" s="9">
        <f>DATE(YEAR(C125),MONTH(C125),1)</f>
        <v>45992.0</v>
      </c>
      <c r="O125" s="2" t="str">
        <f>TEXT(N125,"yyyy-mm")</f>
        <v>2025-12</v>
      </c>
    </row>
    <row r="126" spans="1:15">
      <c r="A126" s="2" t="s">
        <v>527</v>
      </c>
      <c r="B126" s="2" t="s">
        <v>74</v>
      </c>
      <c r="C126" s="9">
        <v>46021</v>
      </c>
      <c r="D126" s="2" t="s">
        <v>274</v>
      </c>
      <c r="E126" s="2" t="s">
        <v>214</v>
      </c>
      <c r="F126" s="2">
        <v>1</v>
      </c>
      <c r="G126" s="2">
        <v>6</v>
      </c>
      <c r="H126" s="2">
        <v>119</v>
      </c>
      <c r="I126" s="2">
        <f>G126*H126</f>
        <v>714</v>
      </c>
      <c r="J126" s="2">
        <f>INDEX('Script List'!$H$2:$H$161,MATCH(B126,'Script List'!$A$2:$A$161,0))</f>
        <v>187</v>
      </c>
      <c r="K126" s="2" t="s">
        <v>20</v>
      </c>
      <c r="L126" s="2">
        <f>I126-J126</f>
        <v>527</v>
      </c>
      <c r="M126" s="2">
        <v>7</v>
      </c>
      <c r="N126" s="9">
        <f>DATE(YEAR(C126),MONTH(C126),1)</f>
        <v>45992.0</v>
      </c>
      <c r="O126" s="2" t="str">
        <f>TEXT(N126,"yyyy-mm")</f>
        <v>2025-12</v>
      </c>
    </row>
    <row r="127" spans="1:15">
      <c r="A127" s="2" t="s">
        <v>528</v>
      </c>
      <c r="B127" s="2" t="s">
        <v>74</v>
      </c>
      <c r="C127" s="9">
        <v>46022</v>
      </c>
      <c r="D127" s="2" t="s">
        <v>274</v>
      </c>
      <c r="E127" s="2" t="s">
        <v>214</v>
      </c>
      <c r="F127" s="2">
        <v>1</v>
      </c>
      <c r="G127" s="2">
        <v>6</v>
      </c>
      <c r="H127" s="2">
        <v>119</v>
      </c>
      <c r="I127" s="2">
        <f>G127*H127</f>
        <v>714</v>
      </c>
      <c r="J127" s="2">
        <f>INDEX('Script List'!$H$2:$H$161,MATCH(B127,'Script List'!$A$2:$A$161,0))</f>
        <v>187</v>
      </c>
      <c r="K127" s="2" t="s">
        <v>20</v>
      </c>
      <c r="L127" s="2">
        <f>I127-J127</f>
        <v>527</v>
      </c>
      <c r="M127" s="2">
        <v>7</v>
      </c>
      <c r="N127" s="9">
        <f>DATE(YEAR(C127),MONTH(C127),1)</f>
        <v>45992.0</v>
      </c>
      <c r="O127" s="2" t="str">
        <f>TEXT(N127,"yyyy-mm")</f>
        <v>2025-12</v>
      </c>
    </row>
    <row r="128" spans="1:15">
      <c r="A128" s="2" t="s">
        <v>529</v>
      </c>
      <c r="B128" s="2" t="s">
        <v>74</v>
      </c>
      <c r="C128" s="9">
        <v>46023</v>
      </c>
      <c r="D128" s="2" t="s">
        <v>274</v>
      </c>
      <c r="E128" s="2" t="s">
        <v>214</v>
      </c>
      <c r="F128" s="2">
        <v>1</v>
      </c>
      <c r="G128" s="2">
        <v>6</v>
      </c>
      <c r="H128" s="2">
        <v>119</v>
      </c>
      <c r="I128" s="2">
        <f>G128*H128</f>
        <v>714</v>
      </c>
      <c r="J128" s="2">
        <f>INDEX('Script List'!$H$2:$H$161,MATCH(B128,'Script List'!$A$2:$A$161,0))</f>
        <v>187</v>
      </c>
      <c r="K128" s="2" t="s">
        <v>20</v>
      </c>
      <c r="L128" s="2">
        <f>I128-J128</f>
        <v>527</v>
      </c>
      <c r="M128" s="2">
        <v>7</v>
      </c>
      <c r="N128" s="9">
        <f>DATE(YEAR(C128),MONTH(C128),1)</f>
        <v>46023.0</v>
      </c>
      <c r="O128" s="2" t="str">
        <f>TEXT(N128,"yyyy-mm")</f>
        <v>2026-01</v>
      </c>
    </row>
    <row r="129" spans="1:15">
      <c r="A129" s="2" t="s">
        <v>530</v>
      </c>
      <c r="B129" s="2" t="s">
        <v>74</v>
      </c>
      <c r="C129" s="9">
        <v>46024</v>
      </c>
      <c r="D129" s="2" t="s">
        <v>274</v>
      </c>
      <c r="E129" s="2" t="s">
        <v>214</v>
      </c>
      <c r="F129" s="2">
        <v>1</v>
      </c>
      <c r="G129" s="2">
        <v>6</v>
      </c>
      <c r="H129" s="2">
        <v>119</v>
      </c>
      <c r="I129" s="2">
        <f>G129*H129</f>
        <v>714</v>
      </c>
      <c r="J129" s="2">
        <f>INDEX('Script List'!$H$2:$H$161,MATCH(B129,'Script List'!$A$2:$A$161,0))</f>
        <v>187</v>
      </c>
      <c r="K129" s="2" t="s">
        <v>20</v>
      </c>
      <c r="L129" s="2">
        <f>I129-J129</f>
        <v>527</v>
      </c>
      <c r="M129" s="2">
        <v>7</v>
      </c>
      <c r="N129" s="9">
        <f>DATE(YEAR(C129),MONTH(C129),1)</f>
        <v>46023.0</v>
      </c>
      <c r="O129" s="2" t="str">
        <f>TEXT(N129,"yyyy-mm")</f>
        <v>2026-01</v>
      </c>
    </row>
    <row r="130" spans="1:15">
      <c r="A130" s="2" t="s">
        <v>531</v>
      </c>
      <c r="B130" s="2" t="s">
        <v>75</v>
      </c>
      <c r="C130" s="9">
        <v>46025</v>
      </c>
      <c r="D130" s="2" t="s">
        <v>275</v>
      </c>
      <c r="E130" s="2" t="s">
        <v>212</v>
      </c>
      <c r="F130" s="2">
        <v>3</v>
      </c>
      <c r="G130" s="2">
        <v>6</v>
      </c>
      <c r="H130" s="2">
        <v>99</v>
      </c>
      <c r="I130" s="2">
        <f>G130*H130</f>
        <v>594</v>
      </c>
      <c r="J130" s="2">
        <f>INDEX('Script List'!$H$2:$H$161,MATCH(B130,'Script List'!$A$2:$A$161,0))</f>
        <v>270</v>
      </c>
      <c r="K130" s="2" t="s">
        <v>22</v>
      </c>
      <c r="L130" s="2">
        <f>I130-J130</f>
        <v>324</v>
      </c>
      <c r="M130" s="2">
        <v>7.7</v>
      </c>
      <c r="N130" s="9">
        <f>DATE(YEAR(C130),MONTH(C130),1)</f>
        <v>46023.0</v>
      </c>
      <c r="O130" s="2" t="str">
        <f>TEXT(N130,"yyyy-mm")</f>
        <v>2026-01</v>
      </c>
    </row>
    <row r="131" spans="1:15">
      <c r="A131" s="2" t="s">
        <v>532</v>
      </c>
      <c r="B131" s="2" t="s">
        <v>76</v>
      </c>
      <c r="C131" s="9">
        <v>46026</v>
      </c>
      <c r="D131" s="2" t="s">
        <v>276</v>
      </c>
      <c r="E131" s="2" t="s">
        <v>218</v>
      </c>
      <c r="F131" s="2">
        <v>3</v>
      </c>
      <c r="G131" s="2">
        <v>7</v>
      </c>
      <c r="H131" s="2">
        <v>109</v>
      </c>
      <c r="I131" s="2">
        <f>G131*H131</f>
        <v>763</v>
      </c>
      <c r="J131" s="2">
        <f>INDEX('Script List'!$H$2:$H$161,MATCH(B131,'Script List'!$A$2:$A$161,0))</f>
        <v>200</v>
      </c>
      <c r="K131" s="2" t="s">
        <v>21</v>
      </c>
      <c r="L131" s="2">
        <f>I131-J131</f>
        <v>563</v>
      </c>
      <c r="M131" s="2">
        <v>8.4</v>
      </c>
      <c r="N131" s="9">
        <f>DATE(YEAR(C131),MONTH(C131),1)</f>
        <v>46023.0</v>
      </c>
      <c r="O131" s="2" t="str">
        <f>TEXT(N131,"yyyy-mm")</f>
        <v>2026-01</v>
      </c>
    </row>
    <row r="132" spans="1:15">
      <c r="A132" s="2" t="s">
        <v>533</v>
      </c>
      <c r="B132" s="2" t="s">
        <v>76</v>
      </c>
      <c r="C132" s="9">
        <v>46027</v>
      </c>
      <c r="D132" s="2" t="s">
        <v>276</v>
      </c>
      <c r="E132" s="2" t="s">
        <v>218</v>
      </c>
      <c r="F132" s="2">
        <v>3</v>
      </c>
      <c r="G132" s="2">
        <v>7</v>
      </c>
      <c r="H132" s="2">
        <v>109</v>
      </c>
      <c r="I132" s="2">
        <f>G132*H132</f>
        <v>763</v>
      </c>
      <c r="J132" s="2">
        <f>INDEX('Script List'!$H$2:$H$161,MATCH(B132,'Script List'!$A$2:$A$161,0))</f>
        <v>200</v>
      </c>
      <c r="K132" s="2" t="s">
        <v>21</v>
      </c>
      <c r="L132" s="2">
        <f>I132-J132</f>
        <v>563</v>
      </c>
      <c r="M132" s="2">
        <v>8.4</v>
      </c>
      <c r="N132" s="9">
        <f>DATE(YEAR(C132),MONTH(C132),1)</f>
        <v>46023.0</v>
      </c>
      <c r="O132" s="2" t="str">
        <f>TEXT(N132,"yyyy-mm")</f>
        <v>2026-01</v>
      </c>
    </row>
    <row r="133" spans="1:15">
      <c r="A133" s="2" t="s">
        <v>534</v>
      </c>
      <c r="B133" s="2" t="s">
        <v>77</v>
      </c>
      <c r="C133" s="9">
        <v>46028</v>
      </c>
      <c r="D133" s="2" t="s">
        <v>277</v>
      </c>
      <c r="E133" s="2" t="s">
        <v>214</v>
      </c>
      <c r="F133" s="2">
        <v>2</v>
      </c>
      <c r="G133" s="2">
        <v>8</v>
      </c>
      <c r="H133" s="2">
        <v>95</v>
      </c>
      <c r="I133" s="2">
        <f>G133*H133</f>
        <v>760</v>
      </c>
      <c r="J133" s="2">
        <f>INDEX('Script List'!$H$2:$H$161,MATCH(B133,'Script List'!$A$2:$A$161,0))</f>
        <v>200</v>
      </c>
      <c r="K133" s="2" t="s">
        <v>20</v>
      </c>
      <c r="L133" s="2">
        <f>I133-J133</f>
        <v>560</v>
      </c>
      <c r="M133" s="2">
        <v>7</v>
      </c>
      <c r="N133" s="9">
        <f>DATE(YEAR(C133),MONTH(C133),1)</f>
        <v>46023.0</v>
      </c>
      <c r="O133" s="2" t="str">
        <f>TEXT(N133,"yyyy-mm")</f>
        <v>2026-01</v>
      </c>
    </row>
    <row r="134" spans="1:15">
      <c r="A134" s="2" t="s">
        <v>535</v>
      </c>
      <c r="B134" s="2" t="s">
        <v>77</v>
      </c>
      <c r="C134" s="9">
        <v>46029</v>
      </c>
      <c r="D134" s="2" t="s">
        <v>277</v>
      </c>
      <c r="E134" s="2" t="s">
        <v>214</v>
      </c>
      <c r="F134" s="2">
        <v>2</v>
      </c>
      <c r="G134" s="2">
        <v>8</v>
      </c>
      <c r="H134" s="2">
        <v>95</v>
      </c>
      <c r="I134" s="2">
        <f>G134*H134</f>
        <v>760</v>
      </c>
      <c r="J134" s="2">
        <f>INDEX('Script List'!$H$2:$H$161,MATCH(B134,'Script List'!$A$2:$A$161,0))</f>
        <v>200</v>
      </c>
      <c r="K134" s="2" t="s">
        <v>20</v>
      </c>
      <c r="L134" s="2">
        <f>I134-J134</f>
        <v>560</v>
      </c>
      <c r="M134" s="2">
        <v>7</v>
      </c>
      <c r="N134" s="9">
        <f>DATE(YEAR(C134),MONTH(C134),1)</f>
        <v>46023.0</v>
      </c>
      <c r="O134" s="2" t="str">
        <f>TEXT(N134,"yyyy-mm")</f>
        <v>2026-01</v>
      </c>
    </row>
    <row r="135" spans="1:15">
      <c r="A135" s="2" t="s">
        <v>536</v>
      </c>
      <c r="B135" s="2" t="s">
        <v>77</v>
      </c>
      <c r="C135" s="9">
        <v>46030</v>
      </c>
      <c r="D135" s="2" t="s">
        <v>277</v>
      </c>
      <c r="E135" s="2" t="s">
        <v>214</v>
      </c>
      <c r="F135" s="2">
        <v>2</v>
      </c>
      <c r="G135" s="2">
        <v>8</v>
      </c>
      <c r="H135" s="2">
        <v>95</v>
      </c>
      <c r="I135" s="2">
        <f>G135*H135</f>
        <v>760</v>
      </c>
      <c r="J135" s="2">
        <f>INDEX('Script List'!$H$2:$H$161,MATCH(B135,'Script List'!$A$2:$A$161,0))</f>
        <v>200</v>
      </c>
      <c r="K135" s="2" t="s">
        <v>20</v>
      </c>
      <c r="L135" s="2">
        <f>I135-J135</f>
        <v>560</v>
      </c>
      <c r="M135" s="2">
        <v>7</v>
      </c>
      <c r="N135" s="9">
        <f>DATE(YEAR(C135),MONTH(C135),1)</f>
        <v>46023.0</v>
      </c>
      <c r="O135" s="2" t="str">
        <f>TEXT(N135,"yyyy-mm")</f>
        <v>2026-01</v>
      </c>
    </row>
    <row r="136" spans="1:15">
      <c r="A136" s="2" t="s">
        <v>537</v>
      </c>
      <c r="B136" s="2" t="s">
        <v>77</v>
      </c>
      <c r="C136" s="9">
        <v>46031</v>
      </c>
      <c r="D136" s="2" t="s">
        <v>277</v>
      </c>
      <c r="E136" s="2" t="s">
        <v>214</v>
      </c>
      <c r="F136" s="2">
        <v>2</v>
      </c>
      <c r="G136" s="2">
        <v>8</v>
      </c>
      <c r="H136" s="2">
        <v>95</v>
      </c>
      <c r="I136" s="2">
        <f>G136*H136</f>
        <v>760</v>
      </c>
      <c r="J136" s="2">
        <f>INDEX('Script List'!$H$2:$H$161,MATCH(B136,'Script List'!$A$2:$A$161,0))</f>
        <v>200</v>
      </c>
      <c r="K136" s="2" t="s">
        <v>20</v>
      </c>
      <c r="L136" s="2">
        <f>I136-J136</f>
        <v>560</v>
      </c>
      <c r="M136" s="2">
        <v>7</v>
      </c>
      <c r="N136" s="9">
        <f>DATE(YEAR(C136),MONTH(C136),1)</f>
        <v>46023.0</v>
      </c>
      <c r="O136" s="2" t="str">
        <f>TEXT(N136,"yyyy-mm")</f>
        <v>2026-01</v>
      </c>
    </row>
    <row r="137" spans="1:15">
      <c r="A137" s="2" t="s">
        <v>538</v>
      </c>
      <c r="B137" s="2" t="s">
        <v>77</v>
      </c>
      <c r="C137" s="9">
        <v>46032</v>
      </c>
      <c r="D137" s="2" t="s">
        <v>277</v>
      </c>
      <c r="E137" s="2" t="s">
        <v>214</v>
      </c>
      <c r="F137" s="2">
        <v>2</v>
      </c>
      <c r="G137" s="2">
        <v>8</v>
      </c>
      <c r="H137" s="2">
        <v>95</v>
      </c>
      <c r="I137" s="2">
        <f>G137*H137</f>
        <v>760</v>
      </c>
      <c r="J137" s="2">
        <f>INDEX('Script List'!$H$2:$H$161,MATCH(B137,'Script List'!$A$2:$A$161,0))</f>
        <v>200</v>
      </c>
      <c r="K137" s="2" t="s">
        <v>20</v>
      </c>
      <c r="L137" s="2">
        <f>I137-J137</f>
        <v>560</v>
      </c>
      <c r="M137" s="2">
        <v>7</v>
      </c>
      <c r="N137" s="9">
        <f>DATE(YEAR(C137),MONTH(C137),1)</f>
        <v>46023.0</v>
      </c>
      <c r="O137" s="2" t="str">
        <f>TEXT(N137,"yyyy-mm")</f>
        <v>2026-01</v>
      </c>
    </row>
    <row r="138" spans="1:15">
      <c r="A138" s="2" t="s">
        <v>539</v>
      </c>
      <c r="B138" s="2" t="s">
        <v>77</v>
      </c>
      <c r="C138" s="9">
        <v>46033</v>
      </c>
      <c r="D138" s="2" t="s">
        <v>277</v>
      </c>
      <c r="E138" s="2" t="s">
        <v>214</v>
      </c>
      <c r="F138" s="2">
        <v>2</v>
      </c>
      <c r="G138" s="2">
        <v>8</v>
      </c>
      <c r="H138" s="2">
        <v>95</v>
      </c>
      <c r="I138" s="2">
        <f>G138*H138</f>
        <v>760</v>
      </c>
      <c r="J138" s="2">
        <f>INDEX('Script List'!$H$2:$H$161,MATCH(B138,'Script List'!$A$2:$A$161,0))</f>
        <v>200</v>
      </c>
      <c r="K138" s="2" t="s">
        <v>20</v>
      </c>
      <c r="L138" s="2">
        <f>I138-J138</f>
        <v>560</v>
      </c>
      <c r="M138" s="2">
        <v>7</v>
      </c>
      <c r="N138" s="9">
        <f>DATE(YEAR(C138),MONTH(C138),1)</f>
        <v>46023.0</v>
      </c>
      <c r="O138" s="2" t="str">
        <f>TEXT(N138,"yyyy-mm")</f>
        <v>2026-01</v>
      </c>
    </row>
    <row r="139" spans="1:15">
      <c r="A139" s="2" t="s">
        <v>540</v>
      </c>
      <c r="B139" s="2" t="s">
        <v>77</v>
      </c>
      <c r="C139" s="9">
        <v>46034</v>
      </c>
      <c r="D139" s="2" t="s">
        <v>277</v>
      </c>
      <c r="E139" s="2" t="s">
        <v>214</v>
      </c>
      <c r="F139" s="2">
        <v>2</v>
      </c>
      <c r="G139" s="2">
        <v>8</v>
      </c>
      <c r="H139" s="2">
        <v>95</v>
      </c>
      <c r="I139" s="2">
        <f>G139*H139</f>
        <v>760</v>
      </c>
      <c r="J139" s="2">
        <f>INDEX('Script List'!$H$2:$H$161,MATCH(B139,'Script List'!$A$2:$A$161,0))</f>
        <v>200</v>
      </c>
      <c r="K139" s="2" t="s">
        <v>20</v>
      </c>
      <c r="L139" s="2">
        <f>I139-J139</f>
        <v>560</v>
      </c>
      <c r="M139" s="2">
        <v>7</v>
      </c>
      <c r="N139" s="9">
        <f>DATE(YEAR(C139),MONTH(C139),1)</f>
        <v>46023.0</v>
      </c>
      <c r="O139" s="2" t="str">
        <f>TEXT(N139,"yyyy-mm")</f>
        <v>2026-01</v>
      </c>
    </row>
    <row r="140" spans="1:15">
      <c r="A140" s="2" t="s">
        <v>541</v>
      </c>
      <c r="B140" s="2" t="s">
        <v>78</v>
      </c>
      <c r="C140" s="9">
        <v>46035</v>
      </c>
      <c r="D140" s="2" t="s">
        <v>278</v>
      </c>
      <c r="E140" s="2" t="s">
        <v>212</v>
      </c>
      <c r="F140" s="2">
        <v>2</v>
      </c>
      <c r="G140" s="2">
        <v>6</v>
      </c>
      <c r="H140" s="2">
        <v>138</v>
      </c>
      <c r="I140" s="2">
        <f>G140*H140</f>
        <v>828</v>
      </c>
      <c r="J140" s="2">
        <f>INDEX('Script List'!$H$2:$H$161,MATCH(B140,'Script List'!$A$2:$A$161,0))</f>
        <v>180</v>
      </c>
      <c r="K140" s="2" t="s">
        <v>22</v>
      </c>
      <c r="L140" s="2">
        <f>I140-J140</f>
        <v>648</v>
      </c>
      <c r="M140" s="2">
        <v>7.7</v>
      </c>
      <c r="N140" s="9">
        <f>DATE(YEAR(C140),MONTH(C140),1)</f>
        <v>46023.0</v>
      </c>
      <c r="O140" s="2" t="str">
        <f>TEXT(N140,"yyyy-mm")</f>
        <v>2026-01</v>
      </c>
    </row>
    <row r="141" spans="1:15">
      <c r="A141" s="2" t="s">
        <v>542</v>
      </c>
      <c r="B141" s="2" t="s">
        <v>79</v>
      </c>
      <c r="C141" s="9">
        <v>46036</v>
      </c>
      <c r="D141" s="2" t="s">
        <v>279</v>
      </c>
      <c r="E141" s="2" t="s">
        <v>223</v>
      </c>
      <c r="F141" s="2">
        <v>1</v>
      </c>
      <c r="G141" s="2">
        <v>6</v>
      </c>
      <c r="H141" s="2">
        <v>109</v>
      </c>
      <c r="I141" s="2">
        <f>G141*H141</f>
        <v>654</v>
      </c>
      <c r="J141" s="2">
        <f>INDEX('Script List'!$H$2:$H$161,MATCH(B141,'Script List'!$A$2:$A$161,0))</f>
        <v>172</v>
      </c>
      <c r="K141" s="2" t="s">
        <v>20</v>
      </c>
      <c r="L141" s="2">
        <f>I141-J141</f>
        <v>482</v>
      </c>
      <c r="M141" s="2">
        <v>8.4</v>
      </c>
      <c r="N141" s="9">
        <f>DATE(YEAR(C141),MONTH(C141),1)</f>
        <v>46023.0</v>
      </c>
      <c r="O141" s="2" t="str">
        <f>TEXT(N141,"yyyy-mm")</f>
        <v>2026-01</v>
      </c>
    </row>
    <row r="142" spans="1:15">
      <c r="A142" s="2" t="s">
        <v>543</v>
      </c>
      <c r="B142" s="2" t="s">
        <v>79</v>
      </c>
      <c r="C142" s="9">
        <v>46037</v>
      </c>
      <c r="D142" s="2" t="s">
        <v>279</v>
      </c>
      <c r="E142" s="2" t="s">
        <v>223</v>
      </c>
      <c r="F142" s="2">
        <v>1</v>
      </c>
      <c r="G142" s="2">
        <v>6</v>
      </c>
      <c r="H142" s="2">
        <v>109</v>
      </c>
      <c r="I142" s="2">
        <f>G142*H142</f>
        <v>654</v>
      </c>
      <c r="J142" s="2">
        <f>INDEX('Script List'!$H$2:$H$161,MATCH(B142,'Script List'!$A$2:$A$161,0))</f>
        <v>172</v>
      </c>
      <c r="K142" s="2" t="s">
        <v>20</v>
      </c>
      <c r="L142" s="2">
        <f>I142-J142</f>
        <v>482</v>
      </c>
      <c r="M142" s="2">
        <v>8.4</v>
      </c>
      <c r="N142" s="9">
        <f>DATE(YEAR(C142),MONTH(C142),1)</f>
        <v>46023.0</v>
      </c>
      <c r="O142" s="2" t="str">
        <f>TEXT(N142,"yyyy-mm")</f>
        <v>2026-01</v>
      </c>
    </row>
    <row r="143" spans="1:15">
      <c r="A143" s="2" t="s">
        <v>544</v>
      </c>
      <c r="B143" s="2" t="s">
        <v>79</v>
      </c>
      <c r="C143" s="9">
        <v>46038</v>
      </c>
      <c r="D143" s="2" t="s">
        <v>279</v>
      </c>
      <c r="E143" s="2" t="s">
        <v>223</v>
      </c>
      <c r="F143" s="2">
        <v>1</v>
      </c>
      <c r="G143" s="2">
        <v>6</v>
      </c>
      <c r="H143" s="2">
        <v>109</v>
      </c>
      <c r="I143" s="2">
        <f>G143*H143</f>
        <v>654</v>
      </c>
      <c r="J143" s="2">
        <f>INDEX('Script List'!$H$2:$H$161,MATCH(B143,'Script List'!$A$2:$A$161,0))</f>
        <v>172</v>
      </c>
      <c r="K143" s="2" t="s">
        <v>20</v>
      </c>
      <c r="L143" s="2">
        <f>I143-J143</f>
        <v>482</v>
      </c>
      <c r="M143" s="2">
        <v>8.4</v>
      </c>
      <c r="N143" s="9">
        <f>DATE(YEAR(C143),MONTH(C143),1)</f>
        <v>46023.0</v>
      </c>
      <c r="O143" s="2" t="str">
        <f>TEXT(N143,"yyyy-mm")</f>
        <v>2026-01</v>
      </c>
    </row>
    <row r="144" spans="1:15">
      <c r="A144" s="2" t="s">
        <v>545</v>
      </c>
      <c r="B144" s="2" t="s">
        <v>80</v>
      </c>
      <c r="C144" s="9">
        <v>46039</v>
      </c>
      <c r="D144" s="2" t="s">
        <v>280</v>
      </c>
      <c r="E144" s="2" t="s">
        <v>214</v>
      </c>
      <c r="F144" s="2">
        <v>1</v>
      </c>
      <c r="G144" s="2">
        <v>6</v>
      </c>
      <c r="H144" s="2">
        <v>75</v>
      </c>
      <c r="I144" s="2">
        <f>G144*H144</f>
        <v>450</v>
      </c>
      <c r="J144" s="2">
        <f>INDEX('Script List'!$H$2:$H$161,MATCH(B144,'Script List'!$A$2:$A$161,0))</f>
        <v>118</v>
      </c>
      <c r="K144" s="2" t="s">
        <v>22</v>
      </c>
      <c r="L144" s="2">
        <f>I144-J144</f>
        <v>332</v>
      </c>
      <c r="M144" s="2">
        <v>7</v>
      </c>
      <c r="N144" s="9">
        <f>DATE(YEAR(C144),MONTH(C144),1)</f>
        <v>46023.0</v>
      </c>
      <c r="O144" s="2" t="str">
        <f>TEXT(N144,"yyyy-mm")</f>
        <v>2026-01</v>
      </c>
    </row>
    <row r="145" spans="1:15">
      <c r="A145" s="2" t="s">
        <v>546</v>
      </c>
      <c r="B145" s="2" t="s">
        <v>80</v>
      </c>
      <c r="C145" s="9">
        <v>46040</v>
      </c>
      <c r="D145" s="2" t="s">
        <v>280</v>
      </c>
      <c r="E145" s="2" t="s">
        <v>214</v>
      </c>
      <c r="F145" s="2">
        <v>1</v>
      </c>
      <c r="G145" s="2">
        <v>6</v>
      </c>
      <c r="H145" s="2">
        <v>75</v>
      </c>
      <c r="I145" s="2">
        <f>G145*H145</f>
        <v>450</v>
      </c>
      <c r="J145" s="2">
        <f>INDEX('Script List'!$H$2:$H$161,MATCH(B145,'Script List'!$A$2:$A$161,0))</f>
        <v>118</v>
      </c>
      <c r="K145" s="2" t="s">
        <v>22</v>
      </c>
      <c r="L145" s="2">
        <f>I145-J145</f>
        <v>332</v>
      </c>
      <c r="M145" s="2">
        <v>7</v>
      </c>
      <c r="N145" s="9">
        <f>DATE(YEAR(C145),MONTH(C145),1)</f>
        <v>46023.0</v>
      </c>
      <c r="O145" s="2" t="str">
        <f>TEXT(N145,"yyyy-mm")</f>
        <v>2026-01</v>
      </c>
    </row>
    <row r="146" spans="1:15">
      <c r="A146" s="2" t="s">
        <v>547</v>
      </c>
      <c r="B146" s="2" t="s">
        <v>80</v>
      </c>
      <c r="C146" s="9">
        <v>46040</v>
      </c>
      <c r="D146" s="2" t="s">
        <v>280</v>
      </c>
      <c r="E146" s="2" t="s">
        <v>214</v>
      </c>
      <c r="F146" s="2">
        <v>1</v>
      </c>
      <c r="G146" s="2">
        <v>6</v>
      </c>
      <c r="H146" s="2">
        <v>75</v>
      </c>
      <c r="I146" s="2">
        <f>G146*H146</f>
        <v>450</v>
      </c>
      <c r="J146" s="2">
        <f>INDEX('Script List'!$H$2:$H$161,MATCH(B146,'Script List'!$A$2:$A$161,0))</f>
        <v>118</v>
      </c>
      <c r="K146" s="2" t="s">
        <v>22</v>
      </c>
      <c r="L146" s="2">
        <f>I146-J146</f>
        <v>332</v>
      </c>
      <c r="M146" s="2">
        <v>7</v>
      </c>
      <c r="N146" s="9">
        <f>DATE(YEAR(C146),MONTH(C146),1)</f>
        <v>46023.0</v>
      </c>
      <c r="O146" s="2" t="str">
        <f>TEXT(N146,"yyyy-mm")</f>
        <v>2026-01</v>
      </c>
    </row>
    <row r="147" spans="1:15">
      <c r="A147" s="2" t="s">
        <v>548</v>
      </c>
      <c r="B147" s="2" t="s">
        <v>80</v>
      </c>
      <c r="C147" s="9">
        <v>46041</v>
      </c>
      <c r="D147" s="2" t="s">
        <v>280</v>
      </c>
      <c r="E147" s="2" t="s">
        <v>214</v>
      </c>
      <c r="F147" s="2">
        <v>1</v>
      </c>
      <c r="G147" s="2">
        <v>6</v>
      </c>
      <c r="H147" s="2">
        <v>75</v>
      </c>
      <c r="I147" s="2">
        <f>G147*H147</f>
        <v>450</v>
      </c>
      <c r="J147" s="2">
        <f>INDEX('Script List'!$H$2:$H$161,MATCH(B147,'Script List'!$A$2:$A$161,0))</f>
        <v>118</v>
      </c>
      <c r="K147" s="2" t="s">
        <v>22</v>
      </c>
      <c r="L147" s="2">
        <f>I147-J147</f>
        <v>332</v>
      </c>
      <c r="M147" s="2">
        <v>7</v>
      </c>
      <c r="N147" s="9">
        <f>DATE(YEAR(C147),MONTH(C147),1)</f>
        <v>46023.0</v>
      </c>
      <c r="O147" s="2" t="str">
        <f>TEXT(N147,"yyyy-mm")</f>
        <v>2026-01</v>
      </c>
    </row>
    <row r="148" spans="1:15">
      <c r="A148" s="2" t="s">
        <v>549</v>
      </c>
      <c r="B148" s="2" t="s">
        <v>80</v>
      </c>
      <c r="C148" s="9">
        <v>46042</v>
      </c>
      <c r="D148" s="2" t="s">
        <v>280</v>
      </c>
      <c r="E148" s="2" t="s">
        <v>214</v>
      </c>
      <c r="F148" s="2">
        <v>1</v>
      </c>
      <c r="G148" s="2">
        <v>6</v>
      </c>
      <c r="H148" s="2">
        <v>75</v>
      </c>
      <c r="I148" s="2">
        <f>G148*H148</f>
        <v>450</v>
      </c>
      <c r="J148" s="2">
        <f>INDEX('Script List'!$H$2:$H$161,MATCH(B148,'Script List'!$A$2:$A$161,0))</f>
        <v>118</v>
      </c>
      <c r="K148" s="2" t="s">
        <v>22</v>
      </c>
      <c r="L148" s="2">
        <f>I148-J148</f>
        <v>332</v>
      </c>
      <c r="M148" s="2">
        <v>7</v>
      </c>
      <c r="N148" s="9">
        <f>DATE(YEAR(C148),MONTH(C148),1)</f>
        <v>46023.0</v>
      </c>
      <c r="O148" s="2" t="str">
        <f>TEXT(N148,"yyyy-mm")</f>
        <v>2026-01</v>
      </c>
    </row>
    <row r="149" spans="1:15">
      <c r="A149" s="2" t="s">
        <v>550</v>
      </c>
      <c r="B149" s="2" t="s">
        <v>80</v>
      </c>
      <c r="C149" s="9">
        <v>46043</v>
      </c>
      <c r="D149" s="2" t="s">
        <v>280</v>
      </c>
      <c r="E149" s="2" t="s">
        <v>214</v>
      </c>
      <c r="F149" s="2">
        <v>1</v>
      </c>
      <c r="G149" s="2">
        <v>6</v>
      </c>
      <c r="H149" s="2">
        <v>75</v>
      </c>
      <c r="I149" s="2">
        <f>G149*H149</f>
        <v>450</v>
      </c>
      <c r="J149" s="2">
        <f>INDEX('Script List'!$H$2:$H$161,MATCH(B149,'Script List'!$A$2:$A$161,0))</f>
        <v>118</v>
      </c>
      <c r="K149" s="2" t="s">
        <v>22</v>
      </c>
      <c r="L149" s="2">
        <f>I149-J149</f>
        <v>332</v>
      </c>
      <c r="M149" s="2">
        <v>7</v>
      </c>
      <c r="N149" s="9">
        <f>DATE(YEAR(C149),MONTH(C149),1)</f>
        <v>46023.0</v>
      </c>
      <c r="O149" s="2" t="str">
        <f>TEXT(N149,"yyyy-mm")</f>
        <v>2026-01</v>
      </c>
    </row>
    <row r="150" spans="1:15">
      <c r="A150" s="2" t="s">
        <v>551</v>
      </c>
      <c r="B150" s="2" t="s">
        <v>80</v>
      </c>
      <c r="C150" s="9">
        <v>46044</v>
      </c>
      <c r="D150" s="2" t="s">
        <v>280</v>
      </c>
      <c r="E150" s="2" t="s">
        <v>214</v>
      </c>
      <c r="F150" s="2">
        <v>1</v>
      </c>
      <c r="G150" s="2">
        <v>6</v>
      </c>
      <c r="H150" s="2">
        <v>75</v>
      </c>
      <c r="I150" s="2">
        <f>G150*H150</f>
        <v>450</v>
      </c>
      <c r="J150" s="2">
        <f>INDEX('Script List'!$H$2:$H$161,MATCH(B150,'Script List'!$A$2:$A$161,0))</f>
        <v>118</v>
      </c>
      <c r="K150" s="2" t="s">
        <v>22</v>
      </c>
      <c r="L150" s="2">
        <f>I150-J150</f>
        <v>332</v>
      </c>
      <c r="M150" s="2">
        <v>7</v>
      </c>
      <c r="N150" s="9">
        <f>DATE(YEAR(C150),MONTH(C150),1)</f>
        <v>46023.0</v>
      </c>
      <c r="O150" s="2" t="str">
        <f>TEXT(N150,"yyyy-mm")</f>
        <v>2026-01</v>
      </c>
    </row>
    <row r="151" spans="1:15">
      <c r="A151" s="2" t="s">
        <v>552</v>
      </c>
      <c r="B151" s="2" t="s">
        <v>80</v>
      </c>
      <c r="C151" s="9">
        <v>46045</v>
      </c>
      <c r="D151" s="2" t="s">
        <v>280</v>
      </c>
      <c r="E151" s="2" t="s">
        <v>214</v>
      </c>
      <c r="F151" s="2">
        <v>1</v>
      </c>
      <c r="G151" s="2">
        <v>6</v>
      </c>
      <c r="H151" s="2">
        <v>75</v>
      </c>
      <c r="I151" s="2">
        <f>G151*H151</f>
        <v>450</v>
      </c>
      <c r="J151" s="2">
        <f>INDEX('Script List'!$H$2:$H$161,MATCH(B151,'Script List'!$A$2:$A$161,0))</f>
        <v>118</v>
      </c>
      <c r="K151" s="2" t="s">
        <v>22</v>
      </c>
      <c r="L151" s="2">
        <f>I151-J151</f>
        <v>332</v>
      </c>
      <c r="M151" s="2">
        <v>7</v>
      </c>
      <c r="N151" s="9">
        <f>DATE(YEAR(C151),MONTH(C151),1)</f>
        <v>46023.0</v>
      </c>
      <c r="O151" s="2" t="str">
        <f>TEXT(N151,"yyyy-mm")</f>
        <v>2026-01</v>
      </c>
    </row>
    <row r="152" spans="1:15">
      <c r="A152" s="2" t="s">
        <v>553</v>
      </c>
      <c r="B152" s="2" t="s">
        <v>80</v>
      </c>
      <c r="C152" s="9">
        <v>46046</v>
      </c>
      <c r="D152" s="2" t="s">
        <v>280</v>
      </c>
      <c r="E152" s="2" t="s">
        <v>214</v>
      </c>
      <c r="F152" s="2">
        <v>1</v>
      </c>
      <c r="G152" s="2">
        <v>6</v>
      </c>
      <c r="H152" s="2">
        <v>75</v>
      </c>
      <c r="I152" s="2">
        <f>G152*H152</f>
        <v>450</v>
      </c>
      <c r="J152" s="2">
        <f>INDEX('Script List'!$H$2:$H$161,MATCH(B152,'Script List'!$A$2:$A$161,0))</f>
        <v>118</v>
      </c>
      <c r="K152" s="2" t="s">
        <v>22</v>
      </c>
      <c r="L152" s="2">
        <f>I152-J152</f>
        <v>332</v>
      </c>
      <c r="M152" s="2">
        <v>7</v>
      </c>
      <c r="N152" s="9">
        <f>DATE(YEAR(C152),MONTH(C152),1)</f>
        <v>46023.0</v>
      </c>
      <c r="O152" s="2" t="str">
        <f>TEXT(N152,"yyyy-mm")</f>
        <v>2026-01</v>
      </c>
    </row>
    <row r="153" spans="1:15">
      <c r="A153" s="2" t="s">
        <v>554</v>
      </c>
      <c r="B153" s="2" t="s">
        <v>80</v>
      </c>
      <c r="C153" s="9">
        <v>46047</v>
      </c>
      <c r="D153" s="2" t="s">
        <v>280</v>
      </c>
      <c r="E153" s="2" t="s">
        <v>214</v>
      </c>
      <c r="F153" s="2">
        <v>1</v>
      </c>
      <c r="G153" s="2">
        <v>6</v>
      </c>
      <c r="H153" s="2">
        <v>75</v>
      </c>
      <c r="I153" s="2">
        <f>G153*H153</f>
        <v>450</v>
      </c>
      <c r="J153" s="2">
        <f>INDEX('Script List'!$H$2:$H$161,MATCH(B153,'Script List'!$A$2:$A$161,0))</f>
        <v>118</v>
      </c>
      <c r="K153" s="2" t="s">
        <v>22</v>
      </c>
      <c r="L153" s="2">
        <f>I153-J153</f>
        <v>332</v>
      </c>
      <c r="M153" s="2">
        <v>7</v>
      </c>
      <c r="N153" s="9">
        <f>DATE(YEAR(C153),MONTH(C153),1)</f>
        <v>46023.0</v>
      </c>
      <c r="O153" s="2" t="str">
        <f>TEXT(N153,"yyyy-mm")</f>
        <v>2026-01</v>
      </c>
    </row>
    <row r="154" spans="1:15">
      <c r="A154" s="2" t="s">
        <v>555</v>
      </c>
      <c r="B154" s="2" t="s">
        <v>81</v>
      </c>
      <c r="C154" s="9">
        <v>46048</v>
      </c>
      <c r="D154" s="2" t="s">
        <v>281</v>
      </c>
      <c r="E154" s="2" t="s">
        <v>218</v>
      </c>
      <c r="F154" s="2">
        <v>3</v>
      </c>
      <c r="G154" s="2">
        <v>7</v>
      </c>
      <c r="H154" s="2">
        <v>118</v>
      </c>
      <c r="I154" s="2">
        <f>G154*H154</f>
        <v>826</v>
      </c>
      <c r="J154" s="2">
        <f>INDEX('Script List'!$H$2:$H$161,MATCH(B154,'Script List'!$A$2:$A$161,0))</f>
        <v>217</v>
      </c>
      <c r="K154" s="2" t="s">
        <v>21</v>
      </c>
      <c r="L154" s="2">
        <f>I154-J154</f>
        <v>609</v>
      </c>
      <c r="M154" s="2">
        <v>7.7</v>
      </c>
      <c r="N154" s="9">
        <f>DATE(YEAR(C154),MONTH(C154),1)</f>
        <v>46023.0</v>
      </c>
      <c r="O154" s="2" t="str">
        <f>TEXT(N154,"yyyy-mm")</f>
        <v>2026-01</v>
      </c>
    </row>
    <row r="155" spans="1:15">
      <c r="A155" s="2" t="s">
        <v>556</v>
      </c>
      <c r="B155" s="2" t="s">
        <v>82</v>
      </c>
      <c r="C155" s="9">
        <v>46049</v>
      </c>
      <c r="D155" s="2" t="s">
        <v>282</v>
      </c>
      <c r="E155" s="2" t="s">
        <v>212</v>
      </c>
      <c r="F155" s="2">
        <v>6</v>
      </c>
      <c r="G155" s="2">
        <v>8</v>
      </c>
      <c r="H155" s="2">
        <v>138</v>
      </c>
      <c r="I155" s="2">
        <f>G155*H155</f>
        <v>1104</v>
      </c>
      <c r="J155" s="2">
        <f>INDEX('Script List'!$H$2:$H$161,MATCH(B155,'Script List'!$A$2:$A$161,0))</f>
        <v>540</v>
      </c>
      <c r="K155" s="2" t="s">
        <v>22</v>
      </c>
      <c r="L155" s="2">
        <f>I155-J155</f>
        <v>564</v>
      </c>
      <c r="M155" s="2">
        <v>8.4</v>
      </c>
      <c r="N155" s="9">
        <f>DATE(YEAR(C155),MONTH(C155),1)</f>
        <v>46023.0</v>
      </c>
      <c r="O155" s="2" t="str">
        <f>TEXT(N155,"yyyy-mm")</f>
        <v>2026-01</v>
      </c>
    </row>
    <row r="156" spans="1:15">
      <c r="A156" s="2" t="s">
        <v>557</v>
      </c>
      <c r="B156" s="2" t="s">
        <v>82</v>
      </c>
      <c r="C156" s="9">
        <v>46050</v>
      </c>
      <c r="D156" s="2" t="s">
        <v>282</v>
      </c>
      <c r="E156" s="2" t="s">
        <v>212</v>
      </c>
      <c r="F156" s="2">
        <v>6</v>
      </c>
      <c r="G156" s="2">
        <v>8</v>
      </c>
      <c r="H156" s="2">
        <v>138</v>
      </c>
      <c r="I156" s="2">
        <f>G156*H156</f>
        <v>1104</v>
      </c>
      <c r="J156" s="2">
        <f>INDEX('Script List'!$H$2:$H$161,MATCH(B156,'Script List'!$A$2:$A$161,0))</f>
        <v>540</v>
      </c>
      <c r="K156" s="2" t="s">
        <v>22</v>
      </c>
      <c r="L156" s="2">
        <f>I156-J156</f>
        <v>564</v>
      </c>
      <c r="M156" s="2">
        <v>8.4</v>
      </c>
      <c r="N156" s="9">
        <f>DATE(YEAR(C156),MONTH(C156),1)</f>
        <v>46023.0</v>
      </c>
      <c r="O156" s="2" t="str">
        <f>TEXT(N156,"yyyy-mm")</f>
        <v>2026-01</v>
      </c>
    </row>
    <row r="157" spans="1:15">
      <c r="A157" s="2" t="s">
        <v>558</v>
      </c>
      <c r="B157" s="2" t="s">
        <v>82</v>
      </c>
      <c r="C157" s="9">
        <v>46051</v>
      </c>
      <c r="D157" s="2" t="s">
        <v>282</v>
      </c>
      <c r="E157" s="2" t="s">
        <v>212</v>
      </c>
      <c r="F157" s="2">
        <v>6</v>
      </c>
      <c r="G157" s="2">
        <v>8</v>
      </c>
      <c r="H157" s="2">
        <v>138</v>
      </c>
      <c r="I157" s="2">
        <f>G157*H157</f>
        <v>1104</v>
      </c>
      <c r="J157" s="2">
        <f>INDEX('Script List'!$H$2:$H$161,MATCH(B157,'Script List'!$A$2:$A$161,0))</f>
        <v>540</v>
      </c>
      <c r="K157" s="2" t="s">
        <v>22</v>
      </c>
      <c r="L157" s="2">
        <f>I157-J157</f>
        <v>564</v>
      </c>
      <c r="M157" s="2">
        <v>8.4</v>
      </c>
      <c r="N157" s="9">
        <f>DATE(YEAR(C157),MONTH(C157),1)</f>
        <v>46023.0</v>
      </c>
      <c r="O157" s="2" t="str">
        <f>TEXT(N157,"yyyy-mm")</f>
        <v>2026-01</v>
      </c>
    </row>
    <row r="158" spans="1:15">
      <c r="A158" s="2" t="s">
        <v>559</v>
      </c>
      <c r="B158" s="2" t="s">
        <v>83</v>
      </c>
      <c r="C158" s="9">
        <v>46052</v>
      </c>
      <c r="D158" s="2" t="s">
        <v>285</v>
      </c>
      <c r="E158" s="2" t="s">
        <v>214</v>
      </c>
      <c r="F158" s="2">
        <v>1</v>
      </c>
      <c r="G158" s="2">
        <v>6</v>
      </c>
      <c r="H158" s="2">
        <v>75</v>
      </c>
      <c r="I158" s="2">
        <f>G158*H158</f>
        <v>450</v>
      </c>
      <c r="J158" s="2">
        <f>INDEX('Script List'!$H$2:$H$161,MATCH(B158,'Script List'!$A$2:$A$161,0))</f>
        <v>118</v>
      </c>
      <c r="K158" s="2" t="s">
        <v>20</v>
      </c>
      <c r="L158" s="2">
        <f>I158-J158</f>
        <v>332</v>
      </c>
      <c r="M158" s="2">
        <v>7.7</v>
      </c>
      <c r="N158" s="9">
        <f>DATE(YEAR(C158),MONTH(C158),1)</f>
        <v>46023.0</v>
      </c>
      <c r="O158" s="2" t="str">
        <f>TEXT(N158,"yyyy-mm")</f>
        <v>2026-01</v>
      </c>
    </row>
    <row r="159" spans="1:15">
      <c r="A159" s="2" t="s">
        <v>560</v>
      </c>
      <c r="B159" s="2" t="s">
        <v>84</v>
      </c>
      <c r="C159" s="9">
        <v>46053</v>
      </c>
      <c r="D159" s="2" t="s">
        <v>286</v>
      </c>
      <c r="E159" s="2" t="s">
        <v>212</v>
      </c>
      <c r="F159" s="2">
        <v>3</v>
      </c>
      <c r="G159" s="2">
        <v>6</v>
      </c>
      <c r="H159" s="2">
        <v>118</v>
      </c>
      <c r="I159" s="2">
        <f>G159*H159</f>
        <v>708</v>
      </c>
      <c r="J159" s="2">
        <f>INDEX('Script List'!$H$2:$H$161,MATCH(B159,'Script List'!$A$2:$A$161,0))</f>
        <v>270</v>
      </c>
      <c r="K159" s="2" t="s">
        <v>22</v>
      </c>
      <c r="L159" s="2">
        <f>I159-J159</f>
        <v>438</v>
      </c>
      <c r="M159" s="2">
        <v>8.4</v>
      </c>
      <c r="N159" s="9">
        <f>DATE(YEAR(C159),MONTH(C159),1)</f>
        <v>46023.0</v>
      </c>
      <c r="O159" s="2" t="str">
        <f>TEXT(N159,"yyyy-mm")</f>
        <v>2026-01</v>
      </c>
    </row>
    <row r="160" spans="1:15">
      <c r="A160" s="2" t="s">
        <v>561</v>
      </c>
      <c r="B160" s="2" t="s">
        <v>84</v>
      </c>
      <c r="C160" s="9">
        <v>46054</v>
      </c>
      <c r="D160" s="2" t="s">
        <v>286</v>
      </c>
      <c r="E160" s="2" t="s">
        <v>212</v>
      </c>
      <c r="F160" s="2">
        <v>3</v>
      </c>
      <c r="G160" s="2">
        <v>6</v>
      </c>
      <c r="H160" s="2">
        <v>118</v>
      </c>
      <c r="I160" s="2">
        <f>G160*H160</f>
        <v>708</v>
      </c>
      <c r="J160" s="2">
        <f>INDEX('Script List'!$H$2:$H$161,MATCH(B160,'Script List'!$A$2:$A$161,0))</f>
        <v>270</v>
      </c>
      <c r="K160" s="2" t="s">
        <v>22</v>
      </c>
      <c r="L160" s="2">
        <f>I160-J160</f>
        <v>438</v>
      </c>
      <c r="M160" s="2">
        <v>8.4</v>
      </c>
      <c r="N160" s="9">
        <f>DATE(YEAR(C160),MONTH(C160),1)</f>
        <v>46054.0</v>
      </c>
      <c r="O160" s="2" t="str">
        <f>TEXT(N160,"yyyy-mm")</f>
        <v>2026-02</v>
      </c>
    </row>
    <row r="161" spans="1:15">
      <c r="A161" s="2" t="s">
        <v>562</v>
      </c>
      <c r="B161" s="2" t="s">
        <v>84</v>
      </c>
      <c r="C161" s="9">
        <v>46055</v>
      </c>
      <c r="D161" s="2" t="s">
        <v>286</v>
      </c>
      <c r="E161" s="2" t="s">
        <v>212</v>
      </c>
      <c r="F161" s="2">
        <v>3</v>
      </c>
      <c r="G161" s="2">
        <v>6</v>
      </c>
      <c r="H161" s="2">
        <v>118</v>
      </c>
      <c r="I161" s="2">
        <f>G161*H161</f>
        <v>708</v>
      </c>
      <c r="J161" s="2">
        <f>INDEX('Script List'!$H$2:$H$161,MATCH(B161,'Script List'!$A$2:$A$161,0))</f>
        <v>270</v>
      </c>
      <c r="K161" s="2" t="s">
        <v>22</v>
      </c>
      <c r="L161" s="2">
        <f>I161-J161</f>
        <v>438</v>
      </c>
      <c r="M161" s="2">
        <v>8.4</v>
      </c>
      <c r="N161" s="9">
        <f>DATE(YEAR(C161),MONTH(C161),1)</f>
        <v>46054.0</v>
      </c>
      <c r="O161" s="2" t="str">
        <f>TEXT(N161,"yyyy-mm")</f>
        <v>2026-02</v>
      </c>
    </row>
    <row r="162" spans="1:15">
      <c r="A162" s="2" t="s">
        <v>563</v>
      </c>
      <c r="B162" s="2" t="s">
        <v>85</v>
      </c>
      <c r="C162" s="9">
        <v>46056</v>
      </c>
      <c r="D162" s="2" t="s">
        <v>289</v>
      </c>
      <c r="E162" s="2" t="s">
        <v>214</v>
      </c>
      <c r="F162" s="2">
        <v>2</v>
      </c>
      <c r="G162" s="2">
        <v>8</v>
      </c>
      <c r="H162" s="2">
        <v>65</v>
      </c>
      <c r="I162" s="2">
        <f>G162*H162</f>
        <v>520</v>
      </c>
      <c r="J162" s="2">
        <f>INDEX('Script List'!$H$2:$H$161,MATCH(B162,'Script List'!$A$2:$A$161,0))</f>
        <v>137</v>
      </c>
      <c r="K162" s="2" t="s">
        <v>20</v>
      </c>
      <c r="L162" s="2">
        <f>I162-J162</f>
        <v>383</v>
      </c>
      <c r="M162" s="2">
        <v>7.7</v>
      </c>
      <c r="N162" s="9">
        <f>DATE(YEAR(C162),MONTH(C162),1)</f>
        <v>46054.0</v>
      </c>
      <c r="O162" s="2" t="str">
        <f>TEXT(N162,"yyyy-mm")</f>
        <v>2026-02</v>
      </c>
    </row>
    <row r="163" spans="1:15">
      <c r="A163" s="2" t="s">
        <v>564</v>
      </c>
      <c r="B163" s="2" t="s">
        <v>85</v>
      </c>
      <c r="C163" s="9">
        <v>46057</v>
      </c>
      <c r="D163" s="2" t="s">
        <v>289</v>
      </c>
      <c r="E163" s="2" t="s">
        <v>214</v>
      </c>
      <c r="F163" s="2">
        <v>2</v>
      </c>
      <c r="G163" s="2">
        <v>8</v>
      </c>
      <c r="H163" s="2">
        <v>65</v>
      </c>
      <c r="I163" s="2">
        <f>G163*H163</f>
        <v>520</v>
      </c>
      <c r="J163" s="2">
        <f>INDEX('Script List'!$H$2:$H$161,MATCH(B163,'Script List'!$A$2:$A$161,0))</f>
        <v>137</v>
      </c>
      <c r="K163" s="2" t="s">
        <v>20</v>
      </c>
      <c r="L163" s="2">
        <f>I163-J163</f>
        <v>383</v>
      </c>
      <c r="M163" s="2">
        <v>7.7</v>
      </c>
      <c r="N163" s="9">
        <f>DATE(YEAR(C163),MONTH(C163),1)</f>
        <v>46054.0</v>
      </c>
      <c r="O163" s="2" t="str">
        <f>TEXT(N163,"yyyy-mm")</f>
        <v>2026-02</v>
      </c>
    </row>
    <row r="164" spans="1:15">
      <c r="A164" s="2" t="s">
        <v>565</v>
      </c>
      <c r="B164" s="2" t="s">
        <v>86</v>
      </c>
      <c r="C164" s="9">
        <v>46058</v>
      </c>
      <c r="D164" s="2" t="s">
        <v>290</v>
      </c>
      <c r="E164" s="2" t="s">
        <v>212</v>
      </c>
      <c r="F164" s="2">
        <v>2</v>
      </c>
      <c r="G164" s="2">
        <v>6</v>
      </c>
      <c r="H164" s="2">
        <v>109</v>
      </c>
      <c r="I164" s="2">
        <f>G164*H164</f>
        <v>654</v>
      </c>
      <c r="J164" s="2">
        <f>INDEX('Script List'!$H$2:$H$161,MATCH(B164,'Script List'!$A$2:$A$161,0))</f>
        <v>180</v>
      </c>
      <c r="K164" s="2" t="s">
        <v>22</v>
      </c>
      <c r="L164" s="2">
        <f>I164-J164</f>
        <v>474</v>
      </c>
      <c r="M164" s="2">
        <v>8.4</v>
      </c>
      <c r="N164" s="9">
        <f>DATE(YEAR(C164),MONTH(C164),1)</f>
        <v>46054.0</v>
      </c>
      <c r="O164" s="2" t="str">
        <f>TEXT(N164,"yyyy-mm")</f>
        <v>2026-02</v>
      </c>
    </row>
    <row r="165" spans="1:15">
      <c r="A165" s="2" t="s">
        <v>566</v>
      </c>
      <c r="B165" s="2" t="s">
        <v>86</v>
      </c>
      <c r="C165" s="9">
        <v>46059</v>
      </c>
      <c r="D165" s="2" t="s">
        <v>290</v>
      </c>
      <c r="E165" s="2" t="s">
        <v>212</v>
      </c>
      <c r="F165" s="2">
        <v>2</v>
      </c>
      <c r="G165" s="2">
        <v>6</v>
      </c>
      <c r="H165" s="2">
        <v>109</v>
      </c>
      <c r="I165" s="2">
        <f>G165*H165</f>
        <v>654</v>
      </c>
      <c r="J165" s="2">
        <f>INDEX('Script List'!$H$2:$H$161,MATCH(B165,'Script List'!$A$2:$A$161,0))</f>
        <v>180</v>
      </c>
      <c r="K165" s="2" t="s">
        <v>22</v>
      </c>
      <c r="L165" s="2">
        <f>I165-J165</f>
        <v>474</v>
      </c>
      <c r="M165" s="2">
        <v>8.4</v>
      </c>
      <c r="N165" s="9">
        <f>DATE(YEAR(C165),MONTH(C165),1)</f>
        <v>46054.0</v>
      </c>
      <c r="O165" s="2" t="str">
        <f>TEXT(N165,"yyyy-mm")</f>
        <v>2026-02</v>
      </c>
    </row>
    <row r="166" spans="1:15">
      <c r="A166" s="2" t="s">
        <v>567</v>
      </c>
      <c r="B166" s="2" t="s">
        <v>86</v>
      </c>
      <c r="C166" s="9">
        <v>46060</v>
      </c>
      <c r="D166" s="2" t="s">
        <v>290</v>
      </c>
      <c r="E166" s="2" t="s">
        <v>212</v>
      </c>
      <c r="F166" s="2">
        <v>2</v>
      </c>
      <c r="G166" s="2">
        <v>6</v>
      </c>
      <c r="H166" s="2">
        <v>109</v>
      </c>
      <c r="I166" s="2">
        <f>G166*H166</f>
        <v>654</v>
      </c>
      <c r="J166" s="2">
        <f>INDEX('Script List'!$H$2:$H$161,MATCH(B166,'Script List'!$A$2:$A$161,0))</f>
        <v>180</v>
      </c>
      <c r="K166" s="2" t="s">
        <v>22</v>
      </c>
      <c r="L166" s="2">
        <f>I166-J166</f>
        <v>474</v>
      </c>
      <c r="M166" s="2">
        <v>8.4</v>
      </c>
      <c r="N166" s="9">
        <f>DATE(YEAR(C166),MONTH(C166),1)</f>
        <v>46054.0</v>
      </c>
      <c r="O166" s="2" t="str">
        <f>TEXT(N166,"yyyy-mm")</f>
        <v>2026-02</v>
      </c>
    </row>
    <row r="167" spans="1:15">
      <c r="A167" s="2" t="s">
        <v>568</v>
      </c>
      <c r="B167" s="2" t="s">
        <v>86</v>
      </c>
      <c r="C167" s="9">
        <v>46061</v>
      </c>
      <c r="D167" s="2" t="s">
        <v>290</v>
      </c>
      <c r="E167" s="2" t="s">
        <v>212</v>
      </c>
      <c r="F167" s="2">
        <v>2</v>
      </c>
      <c r="G167" s="2">
        <v>6</v>
      </c>
      <c r="H167" s="2">
        <v>109</v>
      </c>
      <c r="I167" s="2">
        <f>G167*H167</f>
        <v>654</v>
      </c>
      <c r="J167" s="2">
        <f>INDEX('Script List'!$H$2:$H$161,MATCH(B167,'Script List'!$A$2:$A$161,0))</f>
        <v>180</v>
      </c>
      <c r="K167" s="2" t="s">
        <v>22</v>
      </c>
      <c r="L167" s="2">
        <f>I167-J167</f>
        <v>474</v>
      </c>
      <c r="M167" s="2">
        <v>8.4</v>
      </c>
      <c r="N167" s="9">
        <f>DATE(YEAR(C167),MONTH(C167),1)</f>
        <v>46054.0</v>
      </c>
      <c r="O167" s="2" t="str">
        <f>TEXT(N167,"yyyy-mm")</f>
        <v>2026-02</v>
      </c>
    </row>
    <row r="168" spans="1:15">
      <c r="A168" s="2" t="s">
        <v>569</v>
      </c>
      <c r="B168" s="2" t="s">
        <v>87</v>
      </c>
      <c r="C168" s="9">
        <v>46062</v>
      </c>
      <c r="D168" s="2" t="s">
        <v>293</v>
      </c>
      <c r="E168" s="2" t="s">
        <v>214</v>
      </c>
      <c r="F168" s="2">
        <v>1</v>
      </c>
      <c r="G168" s="2">
        <v>6</v>
      </c>
      <c r="H168" s="2">
        <v>119</v>
      </c>
      <c r="I168" s="2">
        <f>G168*H168</f>
        <v>714</v>
      </c>
      <c r="J168" s="2">
        <f>INDEX('Script List'!$H$2:$H$161,MATCH(B168,'Script List'!$A$2:$A$161,0))</f>
        <v>187</v>
      </c>
      <c r="K168" s="2" t="s">
        <v>22</v>
      </c>
      <c r="L168" s="2">
        <f>I168-J168</f>
        <v>527</v>
      </c>
      <c r="M168" s="2">
        <v>7.7</v>
      </c>
      <c r="N168" s="9">
        <f>DATE(YEAR(C168),MONTH(C168),1)</f>
        <v>46054.0</v>
      </c>
      <c r="O168" s="2" t="str">
        <f>TEXT(N168,"yyyy-mm")</f>
        <v>2026-02</v>
      </c>
    </row>
    <row r="169" spans="1:15">
      <c r="A169" s="2" t="s">
        <v>570</v>
      </c>
      <c r="B169" s="2" t="s">
        <v>87</v>
      </c>
      <c r="C169" s="9">
        <v>46063</v>
      </c>
      <c r="D169" s="2" t="s">
        <v>293</v>
      </c>
      <c r="E169" s="2" t="s">
        <v>214</v>
      </c>
      <c r="F169" s="2">
        <v>1</v>
      </c>
      <c r="G169" s="2">
        <v>6</v>
      </c>
      <c r="H169" s="2">
        <v>119</v>
      </c>
      <c r="I169" s="2">
        <f>G169*H169</f>
        <v>714</v>
      </c>
      <c r="J169" s="2">
        <f>INDEX('Script List'!$H$2:$H$161,MATCH(B169,'Script List'!$A$2:$A$161,0))</f>
        <v>187</v>
      </c>
      <c r="K169" s="2" t="s">
        <v>22</v>
      </c>
      <c r="L169" s="2">
        <f>I169-J169</f>
        <v>527</v>
      </c>
      <c r="M169" s="2">
        <v>7.7</v>
      </c>
      <c r="N169" s="9">
        <f>DATE(YEAR(C169),MONTH(C169),1)</f>
        <v>46054.0</v>
      </c>
      <c r="O169" s="2" t="str">
        <f>TEXT(N169,"yyyy-mm")</f>
        <v>2026-02</v>
      </c>
    </row>
    <row r="170" spans="1:15">
      <c r="A170" s="2" t="s">
        <v>571</v>
      </c>
      <c r="B170" s="2" t="s">
        <v>88</v>
      </c>
      <c r="C170" s="9">
        <v>46064</v>
      </c>
      <c r="D170" s="2" t="s">
        <v>294</v>
      </c>
      <c r="E170" s="2" t="s">
        <v>218</v>
      </c>
      <c r="F170" s="2">
        <v>3</v>
      </c>
      <c r="G170" s="2">
        <v>7</v>
      </c>
      <c r="H170" s="2">
        <v>95</v>
      </c>
      <c r="I170" s="2">
        <f>G170*H170</f>
        <v>665</v>
      </c>
      <c r="J170" s="2">
        <f>INDEX('Script List'!$H$2:$H$161,MATCH(B170,'Script List'!$A$2:$A$161,0))</f>
        <v>175</v>
      </c>
      <c r="K170" s="2" t="s">
        <v>21</v>
      </c>
      <c r="L170" s="2">
        <f>I170-J170</f>
        <v>490</v>
      </c>
      <c r="M170" s="2">
        <v>8.4</v>
      </c>
      <c r="N170" s="9">
        <f>DATE(YEAR(C170),MONTH(C170),1)</f>
        <v>46054.0</v>
      </c>
      <c r="O170" s="2" t="str">
        <f>TEXT(N170,"yyyy-mm")</f>
        <v>2026-02</v>
      </c>
    </row>
    <row r="171" spans="1:15">
      <c r="A171" s="2" t="s">
        <v>572</v>
      </c>
      <c r="B171" s="2" t="s">
        <v>88</v>
      </c>
      <c r="C171" s="9">
        <v>46065</v>
      </c>
      <c r="D171" s="2" t="s">
        <v>294</v>
      </c>
      <c r="E171" s="2" t="s">
        <v>218</v>
      </c>
      <c r="F171" s="2">
        <v>3</v>
      </c>
      <c r="G171" s="2">
        <v>7</v>
      </c>
      <c r="H171" s="2">
        <v>95</v>
      </c>
      <c r="I171" s="2">
        <f>G171*H171</f>
        <v>665</v>
      </c>
      <c r="J171" s="2">
        <f>INDEX('Script List'!$H$2:$H$161,MATCH(B171,'Script List'!$A$2:$A$161,0))</f>
        <v>175</v>
      </c>
      <c r="K171" s="2" t="s">
        <v>21</v>
      </c>
      <c r="L171" s="2">
        <f>I171-J171</f>
        <v>490</v>
      </c>
      <c r="M171" s="2">
        <v>8.4</v>
      </c>
      <c r="N171" s="9">
        <f>DATE(YEAR(C171),MONTH(C171),1)</f>
        <v>46054.0</v>
      </c>
      <c r="O171" s="2" t="str">
        <f>TEXT(N171,"yyyy-mm")</f>
        <v>2026-02</v>
      </c>
    </row>
    <row r="172" spans="1:15">
      <c r="A172" s="2" t="s">
        <v>573</v>
      </c>
      <c r="B172" s="2" t="s">
        <v>88</v>
      </c>
      <c r="C172" s="9">
        <v>46066</v>
      </c>
      <c r="D172" s="2" t="s">
        <v>294</v>
      </c>
      <c r="E172" s="2" t="s">
        <v>218</v>
      </c>
      <c r="F172" s="2">
        <v>3</v>
      </c>
      <c r="G172" s="2">
        <v>7</v>
      </c>
      <c r="H172" s="2">
        <v>95</v>
      </c>
      <c r="I172" s="2">
        <f>G172*H172</f>
        <v>665</v>
      </c>
      <c r="J172" s="2">
        <f>INDEX('Script List'!$H$2:$H$161,MATCH(B172,'Script List'!$A$2:$A$161,0))</f>
        <v>175</v>
      </c>
      <c r="K172" s="2" t="s">
        <v>21</v>
      </c>
      <c r="L172" s="2">
        <f>I172-J172</f>
        <v>490</v>
      </c>
      <c r="M172" s="2">
        <v>8.4</v>
      </c>
      <c r="N172" s="9">
        <f>DATE(YEAR(C172),MONTH(C172),1)</f>
        <v>46054.0</v>
      </c>
      <c r="O172" s="2" t="str">
        <f>TEXT(N172,"yyyy-mm")</f>
        <v>2026-02</v>
      </c>
    </row>
    <row r="173" spans="1:15">
      <c r="A173" s="2" t="s">
        <v>574</v>
      </c>
      <c r="B173" s="2" t="s">
        <v>88</v>
      </c>
      <c r="C173" s="9">
        <v>46067</v>
      </c>
      <c r="D173" s="2" t="s">
        <v>294</v>
      </c>
      <c r="E173" s="2" t="s">
        <v>218</v>
      </c>
      <c r="F173" s="2">
        <v>3</v>
      </c>
      <c r="G173" s="2">
        <v>7</v>
      </c>
      <c r="H173" s="2">
        <v>95</v>
      </c>
      <c r="I173" s="2">
        <f>G173*H173</f>
        <v>665</v>
      </c>
      <c r="J173" s="2">
        <f>INDEX('Script List'!$H$2:$H$161,MATCH(B173,'Script List'!$A$2:$A$161,0))</f>
        <v>175</v>
      </c>
      <c r="K173" s="2" t="s">
        <v>21</v>
      </c>
      <c r="L173" s="2">
        <f>I173-J173</f>
        <v>490</v>
      </c>
      <c r="M173" s="2">
        <v>8.4</v>
      </c>
      <c r="N173" s="9">
        <f>DATE(YEAR(C173),MONTH(C173),1)</f>
        <v>46054.0</v>
      </c>
      <c r="O173" s="2" t="str">
        <f>TEXT(N173,"yyyy-mm")</f>
        <v>2026-02</v>
      </c>
    </row>
    <row r="174" spans="1:15">
      <c r="A174" s="2" t="s">
        <v>575</v>
      </c>
      <c r="B174" s="2" t="s">
        <v>89</v>
      </c>
      <c r="C174" s="9">
        <v>46068</v>
      </c>
      <c r="D174" s="2" t="s">
        <v>295</v>
      </c>
      <c r="E174" s="2" t="s">
        <v>212</v>
      </c>
      <c r="F174" s="2">
        <v>6</v>
      </c>
      <c r="G174" s="2">
        <v>8</v>
      </c>
      <c r="H174" s="2">
        <v>109</v>
      </c>
      <c r="I174" s="2">
        <f>G174*H174</f>
        <v>872</v>
      </c>
      <c r="J174" s="2">
        <f>INDEX('Script List'!$H$2:$H$161,MATCH(B174,'Script List'!$A$2:$A$161,0))</f>
        <v>540</v>
      </c>
      <c r="K174" s="2" t="s">
        <v>22</v>
      </c>
      <c r="L174" s="2">
        <f>I174-J174</f>
        <v>332</v>
      </c>
      <c r="M174" s="2">
        <v>7</v>
      </c>
      <c r="N174" s="9">
        <f>DATE(YEAR(C174),MONTH(C174),1)</f>
        <v>46054.0</v>
      </c>
      <c r="O174" s="2" t="str">
        <f>TEXT(N174,"yyyy-mm")</f>
        <v>2026-02</v>
      </c>
    </row>
    <row r="175" spans="1:15">
      <c r="A175" s="2" t="s">
        <v>576</v>
      </c>
      <c r="B175" s="2" t="s">
        <v>90</v>
      </c>
      <c r="C175" s="9">
        <v>46069</v>
      </c>
      <c r="D175" s="2" t="s">
        <v>296</v>
      </c>
      <c r="E175" s="2" t="s">
        <v>212</v>
      </c>
      <c r="F175" s="2">
        <v>2</v>
      </c>
      <c r="G175" s="2">
        <v>6</v>
      </c>
      <c r="H175" s="2">
        <v>118</v>
      </c>
      <c r="I175" s="2">
        <f>G175*H175</f>
        <v>708</v>
      </c>
      <c r="J175" s="2">
        <f>INDEX('Script List'!$H$2:$H$161,MATCH(B175,'Script List'!$A$2:$A$161,0))</f>
        <v>180</v>
      </c>
      <c r="K175" s="2" t="s">
        <v>22</v>
      </c>
      <c r="L175" s="2">
        <f>I175-J175</f>
        <v>528</v>
      </c>
      <c r="M175" s="2">
        <v>7.7</v>
      </c>
      <c r="N175" s="9">
        <f>DATE(YEAR(C175),MONTH(C175),1)</f>
        <v>46054.0</v>
      </c>
      <c r="O175" s="2" t="str">
        <f>TEXT(N175,"yyyy-mm")</f>
        <v>2026-02</v>
      </c>
    </row>
    <row r="176" spans="1:15">
      <c r="A176" s="2" t="s">
        <v>577</v>
      </c>
      <c r="B176" s="2" t="s">
        <v>90</v>
      </c>
      <c r="C176" s="9">
        <v>46070</v>
      </c>
      <c r="D176" s="2" t="s">
        <v>296</v>
      </c>
      <c r="E176" s="2" t="s">
        <v>212</v>
      </c>
      <c r="F176" s="2">
        <v>2</v>
      </c>
      <c r="G176" s="2">
        <v>6</v>
      </c>
      <c r="H176" s="2">
        <v>118</v>
      </c>
      <c r="I176" s="2">
        <f>G176*H176</f>
        <v>708</v>
      </c>
      <c r="J176" s="2">
        <f>INDEX('Script List'!$H$2:$H$161,MATCH(B176,'Script List'!$A$2:$A$161,0))</f>
        <v>180</v>
      </c>
      <c r="K176" s="2" t="s">
        <v>22</v>
      </c>
      <c r="L176" s="2">
        <f>I176-J176</f>
        <v>528</v>
      </c>
      <c r="M176" s="2">
        <v>7.7</v>
      </c>
      <c r="N176" s="9">
        <f>DATE(YEAR(C176),MONTH(C176),1)</f>
        <v>46054.0</v>
      </c>
      <c r="O176" s="2" t="str">
        <f>TEXT(N176,"yyyy-mm")</f>
        <v>2026-02</v>
      </c>
    </row>
    <row r="177" spans="1:15">
      <c r="A177" s="2" t="s">
        <v>578</v>
      </c>
      <c r="B177" s="2" t="s">
        <v>91</v>
      </c>
      <c r="C177" s="9">
        <v>46071</v>
      </c>
      <c r="D177" s="2" t="s">
        <v>297</v>
      </c>
      <c r="E177" s="2" t="s">
        <v>214</v>
      </c>
      <c r="F177" s="2">
        <v>1</v>
      </c>
      <c r="G177" s="2">
        <v>6</v>
      </c>
      <c r="H177" s="2">
        <v>119</v>
      </c>
      <c r="I177" s="2">
        <f>G177*H177</f>
        <v>714</v>
      </c>
      <c r="J177" s="2">
        <f>INDEX('Script List'!$H$2:$H$161,MATCH(B177,'Script List'!$A$2:$A$161,0))</f>
        <v>187</v>
      </c>
      <c r="K177" s="2" t="s">
        <v>20</v>
      </c>
      <c r="L177" s="2">
        <f>I177-J177</f>
        <v>527</v>
      </c>
      <c r="M177" s="2">
        <v>8.4</v>
      </c>
      <c r="N177" s="9">
        <f>DATE(YEAR(C177),MONTH(C177),1)</f>
        <v>46054.0</v>
      </c>
      <c r="O177" s="2" t="str">
        <f>TEXT(N177,"yyyy-mm")</f>
        <v>2026-02</v>
      </c>
    </row>
    <row r="178" spans="1:15">
      <c r="A178" s="2" t="s">
        <v>579</v>
      </c>
      <c r="B178" s="2" t="s">
        <v>91</v>
      </c>
      <c r="C178" s="9">
        <v>46071</v>
      </c>
      <c r="D178" s="2" t="s">
        <v>297</v>
      </c>
      <c r="E178" s="2" t="s">
        <v>214</v>
      </c>
      <c r="F178" s="2">
        <v>1</v>
      </c>
      <c r="G178" s="2">
        <v>6</v>
      </c>
      <c r="H178" s="2">
        <v>119</v>
      </c>
      <c r="I178" s="2">
        <f>G178*H178</f>
        <v>714</v>
      </c>
      <c r="J178" s="2">
        <f>INDEX('Script List'!$H$2:$H$161,MATCH(B178,'Script List'!$A$2:$A$161,0))</f>
        <v>187</v>
      </c>
      <c r="K178" s="2" t="s">
        <v>20</v>
      </c>
      <c r="L178" s="2">
        <f>I178-J178</f>
        <v>527</v>
      </c>
      <c r="M178" s="2">
        <v>8.4</v>
      </c>
      <c r="N178" s="9">
        <f>DATE(YEAR(C178),MONTH(C178),1)</f>
        <v>46054.0</v>
      </c>
      <c r="O178" s="2" t="str">
        <f>TEXT(N178,"yyyy-mm")</f>
        <v>2026-02</v>
      </c>
    </row>
    <row r="179" spans="1:15">
      <c r="A179" s="2" t="s">
        <v>580</v>
      </c>
      <c r="B179" s="2" t="s">
        <v>91</v>
      </c>
      <c r="C179" s="9">
        <v>46072</v>
      </c>
      <c r="D179" s="2" t="s">
        <v>297</v>
      </c>
      <c r="E179" s="2" t="s">
        <v>214</v>
      </c>
      <c r="F179" s="2">
        <v>1</v>
      </c>
      <c r="G179" s="2">
        <v>6</v>
      </c>
      <c r="H179" s="2">
        <v>119</v>
      </c>
      <c r="I179" s="2">
        <f>G179*H179</f>
        <v>714</v>
      </c>
      <c r="J179" s="2">
        <f>INDEX('Script List'!$H$2:$H$161,MATCH(B179,'Script List'!$A$2:$A$161,0))</f>
        <v>187</v>
      </c>
      <c r="K179" s="2" t="s">
        <v>20</v>
      </c>
      <c r="L179" s="2">
        <f>I179-J179</f>
        <v>527</v>
      </c>
      <c r="M179" s="2">
        <v>8.4</v>
      </c>
      <c r="N179" s="9">
        <f>DATE(YEAR(C179),MONTH(C179),1)</f>
        <v>46054.0</v>
      </c>
      <c r="O179" s="2" t="str">
        <f>TEXT(N179,"yyyy-mm")</f>
        <v>2026-02</v>
      </c>
    </row>
    <row r="180" spans="1:15">
      <c r="A180" s="2" t="s">
        <v>581</v>
      </c>
      <c r="B180" s="2" t="s">
        <v>91</v>
      </c>
      <c r="C180" s="9">
        <v>46073</v>
      </c>
      <c r="D180" s="2" t="s">
        <v>297</v>
      </c>
      <c r="E180" s="2" t="s">
        <v>214</v>
      </c>
      <c r="F180" s="2">
        <v>1</v>
      </c>
      <c r="G180" s="2">
        <v>6</v>
      </c>
      <c r="H180" s="2">
        <v>119</v>
      </c>
      <c r="I180" s="2">
        <f>G180*H180</f>
        <v>714</v>
      </c>
      <c r="J180" s="2">
        <f>INDEX('Script List'!$H$2:$H$161,MATCH(B180,'Script List'!$A$2:$A$161,0))</f>
        <v>187</v>
      </c>
      <c r="K180" s="2" t="s">
        <v>20</v>
      </c>
      <c r="L180" s="2">
        <f>I180-J180</f>
        <v>527</v>
      </c>
      <c r="M180" s="2">
        <v>8.4</v>
      </c>
      <c r="N180" s="9">
        <f>DATE(YEAR(C180),MONTH(C180),1)</f>
        <v>46054.0</v>
      </c>
      <c r="O180" s="2" t="str">
        <f>TEXT(N180,"yyyy-mm")</f>
        <v>2026-02</v>
      </c>
    </row>
    <row r="181" spans="1:15">
      <c r="A181" s="2" t="s">
        <v>582</v>
      </c>
      <c r="B181" s="2" t="s">
        <v>91</v>
      </c>
      <c r="C181" s="9">
        <v>46074</v>
      </c>
      <c r="D181" s="2" t="s">
        <v>297</v>
      </c>
      <c r="E181" s="2" t="s">
        <v>214</v>
      </c>
      <c r="F181" s="2">
        <v>1</v>
      </c>
      <c r="G181" s="2">
        <v>6</v>
      </c>
      <c r="H181" s="2">
        <v>119</v>
      </c>
      <c r="I181" s="2">
        <f>G181*H181</f>
        <v>714</v>
      </c>
      <c r="J181" s="2">
        <f>INDEX('Script List'!$H$2:$H$161,MATCH(B181,'Script List'!$A$2:$A$161,0))</f>
        <v>187</v>
      </c>
      <c r="K181" s="2" t="s">
        <v>20</v>
      </c>
      <c r="L181" s="2">
        <f>I181-J181</f>
        <v>527</v>
      </c>
      <c r="M181" s="2">
        <v>8.4</v>
      </c>
      <c r="N181" s="9">
        <f>DATE(YEAR(C181),MONTH(C181),1)</f>
        <v>46054.0</v>
      </c>
      <c r="O181" s="2" t="str">
        <f>TEXT(N181,"yyyy-mm")</f>
        <v>2026-02</v>
      </c>
    </row>
    <row r="182" spans="1:15">
      <c r="A182" s="2" t="s">
        <v>583</v>
      </c>
      <c r="B182" s="2" t="s">
        <v>92</v>
      </c>
      <c r="C182" s="9">
        <v>46075</v>
      </c>
      <c r="D182" s="2" t="s">
        <v>298</v>
      </c>
      <c r="E182" s="2" t="s">
        <v>212</v>
      </c>
      <c r="F182" s="2">
        <v>3</v>
      </c>
      <c r="G182" s="2">
        <v>6</v>
      </c>
      <c r="H182" s="2">
        <v>99</v>
      </c>
      <c r="I182" s="2">
        <f>G182*H182</f>
        <v>594</v>
      </c>
      <c r="J182" s="2">
        <f>INDEX('Script List'!$H$2:$H$161,MATCH(B182,'Script List'!$A$2:$A$161,0))</f>
        <v>270</v>
      </c>
      <c r="K182" s="2" t="s">
        <v>22</v>
      </c>
      <c r="L182" s="2">
        <f>I182-J182</f>
        <v>324</v>
      </c>
      <c r="M182" s="2">
        <v>7</v>
      </c>
      <c r="N182" s="9">
        <f>DATE(YEAR(C182),MONTH(C182),1)</f>
        <v>46054.0</v>
      </c>
      <c r="O182" s="2" t="str">
        <f>TEXT(N182,"yyyy-mm")</f>
        <v>2026-02</v>
      </c>
    </row>
    <row r="183" spans="1:15">
      <c r="A183" s="2" t="s">
        <v>584</v>
      </c>
      <c r="B183" s="2" t="s">
        <v>93</v>
      </c>
      <c r="C183" s="9">
        <v>46076</v>
      </c>
      <c r="D183" s="2" t="s">
        <v>299</v>
      </c>
      <c r="E183" s="2" t="s">
        <v>218</v>
      </c>
      <c r="F183" s="2">
        <v>3</v>
      </c>
      <c r="G183" s="2">
        <v>7</v>
      </c>
      <c r="H183" s="2">
        <v>109</v>
      </c>
      <c r="I183" s="2">
        <f>G183*H183</f>
        <v>763</v>
      </c>
      <c r="J183" s="2">
        <f>INDEX('Script List'!$H$2:$H$161,MATCH(B183,'Script List'!$A$2:$A$161,0))</f>
        <v>200</v>
      </c>
      <c r="K183" s="2" t="s">
        <v>21</v>
      </c>
      <c r="L183" s="2">
        <f>I183-J183</f>
        <v>563</v>
      </c>
      <c r="M183" s="2">
        <v>7.7</v>
      </c>
      <c r="N183" s="9">
        <f>DATE(YEAR(C183),MONTH(C183),1)</f>
        <v>46054.0</v>
      </c>
      <c r="O183" s="2" t="str">
        <f>TEXT(N183,"yyyy-mm")</f>
        <v>2026-02</v>
      </c>
    </row>
    <row r="184" spans="1:15">
      <c r="A184" s="2" t="s">
        <v>585</v>
      </c>
      <c r="B184" s="2" t="s">
        <v>93</v>
      </c>
      <c r="C184" s="9">
        <v>46077</v>
      </c>
      <c r="D184" s="2" t="s">
        <v>299</v>
      </c>
      <c r="E184" s="2" t="s">
        <v>218</v>
      </c>
      <c r="F184" s="2">
        <v>3</v>
      </c>
      <c r="G184" s="2">
        <v>7</v>
      </c>
      <c r="H184" s="2">
        <v>109</v>
      </c>
      <c r="I184" s="2">
        <f>G184*H184</f>
        <v>763</v>
      </c>
      <c r="J184" s="2">
        <f>INDEX('Script List'!$H$2:$H$161,MATCH(B184,'Script List'!$A$2:$A$161,0))</f>
        <v>200</v>
      </c>
      <c r="K184" s="2" t="s">
        <v>21</v>
      </c>
      <c r="L184" s="2">
        <f>I184-J184</f>
        <v>563</v>
      </c>
      <c r="M184" s="2">
        <v>7.7</v>
      </c>
      <c r="N184" s="9">
        <f>DATE(YEAR(C184),MONTH(C184),1)</f>
        <v>46054.0</v>
      </c>
      <c r="O184" s="2" t="str">
        <f>TEXT(N184,"yyyy-mm")</f>
        <v>2026-02</v>
      </c>
    </row>
    <row r="185" spans="1:15">
      <c r="A185" s="2" t="s">
        <v>586</v>
      </c>
      <c r="B185" s="2" t="s">
        <v>94</v>
      </c>
      <c r="C185" s="9">
        <v>46078</v>
      </c>
      <c r="D185" s="2" t="s">
        <v>300</v>
      </c>
      <c r="E185" s="2" t="s">
        <v>214</v>
      </c>
      <c r="F185" s="2">
        <v>2</v>
      </c>
      <c r="G185" s="2">
        <v>8</v>
      </c>
      <c r="H185" s="2">
        <v>95</v>
      </c>
      <c r="I185" s="2">
        <f>G185*H185</f>
        <v>760</v>
      </c>
      <c r="J185" s="2">
        <f>INDEX('Script List'!$H$2:$H$161,MATCH(B185,'Script List'!$A$2:$A$161,0))</f>
        <v>200</v>
      </c>
      <c r="K185" s="2" t="s">
        <v>20</v>
      </c>
      <c r="L185" s="2">
        <f>I185-J185</f>
        <v>560</v>
      </c>
      <c r="M185" s="2">
        <v>8.4</v>
      </c>
      <c r="N185" s="9">
        <f>DATE(YEAR(C185),MONTH(C185),1)</f>
        <v>46054.0</v>
      </c>
      <c r="O185" s="2" t="str">
        <f>TEXT(N185,"yyyy-mm")</f>
        <v>2026-02</v>
      </c>
    </row>
    <row r="186" spans="1:15">
      <c r="A186" s="2" t="s">
        <v>587</v>
      </c>
      <c r="B186" s="2" t="s">
        <v>94</v>
      </c>
      <c r="C186" s="9">
        <v>46079</v>
      </c>
      <c r="D186" s="2" t="s">
        <v>300</v>
      </c>
      <c r="E186" s="2" t="s">
        <v>214</v>
      </c>
      <c r="F186" s="2">
        <v>2</v>
      </c>
      <c r="G186" s="2">
        <v>8</v>
      </c>
      <c r="H186" s="2">
        <v>95</v>
      </c>
      <c r="I186" s="2">
        <f>G186*H186</f>
        <v>760</v>
      </c>
      <c r="J186" s="2">
        <f>INDEX('Script List'!$H$2:$H$161,MATCH(B186,'Script List'!$A$2:$A$161,0))</f>
        <v>200</v>
      </c>
      <c r="K186" s="2" t="s">
        <v>20</v>
      </c>
      <c r="L186" s="2">
        <f>I186-J186</f>
        <v>560</v>
      </c>
      <c r="M186" s="2">
        <v>8.4</v>
      </c>
      <c r="N186" s="9">
        <f>DATE(YEAR(C186),MONTH(C186),1)</f>
        <v>46054.0</v>
      </c>
      <c r="O186" s="2" t="str">
        <f>TEXT(N186,"yyyy-mm")</f>
        <v>2026-02</v>
      </c>
    </row>
    <row r="187" spans="1:15">
      <c r="A187" s="2" t="s">
        <v>588</v>
      </c>
      <c r="B187" s="2" t="s">
        <v>94</v>
      </c>
      <c r="C187" s="9">
        <v>46080</v>
      </c>
      <c r="D187" s="2" t="s">
        <v>300</v>
      </c>
      <c r="E187" s="2" t="s">
        <v>214</v>
      </c>
      <c r="F187" s="2">
        <v>2</v>
      </c>
      <c r="G187" s="2">
        <v>8</v>
      </c>
      <c r="H187" s="2">
        <v>95</v>
      </c>
      <c r="I187" s="2">
        <f>G187*H187</f>
        <v>760</v>
      </c>
      <c r="J187" s="2">
        <f>INDEX('Script List'!$H$2:$H$161,MATCH(B187,'Script List'!$A$2:$A$161,0))</f>
        <v>200</v>
      </c>
      <c r="K187" s="2" t="s">
        <v>20</v>
      </c>
      <c r="L187" s="2">
        <f>I187-J187</f>
        <v>560</v>
      </c>
      <c r="M187" s="2">
        <v>8.4</v>
      </c>
      <c r="N187" s="9">
        <f>DATE(YEAR(C187),MONTH(C187),1)</f>
        <v>46054.0</v>
      </c>
      <c r="O187" s="2" t="str">
        <f>TEXT(N187,"yyyy-mm")</f>
        <v>2026-02</v>
      </c>
    </row>
    <row r="188" spans="1:15">
      <c r="A188" s="2" t="s">
        <v>589</v>
      </c>
      <c r="B188" s="2" t="s">
        <v>94</v>
      </c>
      <c r="C188" s="9">
        <v>46081</v>
      </c>
      <c r="D188" s="2" t="s">
        <v>300</v>
      </c>
      <c r="E188" s="2" t="s">
        <v>214</v>
      </c>
      <c r="F188" s="2">
        <v>2</v>
      </c>
      <c r="G188" s="2">
        <v>8</v>
      </c>
      <c r="H188" s="2">
        <v>95</v>
      </c>
      <c r="I188" s="2">
        <f>G188*H188</f>
        <v>760</v>
      </c>
      <c r="J188" s="2">
        <f>INDEX('Script List'!$H$2:$H$161,MATCH(B188,'Script List'!$A$2:$A$161,0))</f>
        <v>200</v>
      </c>
      <c r="K188" s="2" t="s">
        <v>20</v>
      </c>
      <c r="L188" s="2">
        <f>I188-J188</f>
        <v>560</v>
      </c>
      <c r="M188" s="2">
        <v>8.4</v>
      </c>
      <c r="N188" s="9">
        <f>DATE(YEAR(C188),MONTH(C188),1)</f>
        <v>46054.0</v>
      </c>
      <c r="O188" s="2" t="str">
        <f>TEXT(N188,"yyyy-mm")</f>
        <v>2026-02</v>
      </c>
    </row>
    <row r="189" spans="1:15">
      <c r="A189" s="2" t="s">
        <v>590</v>
      </c>
      <c r="B189" s="2" t="s">
        <v>94</v>
      </c>
      <c r="C189" s="9">
        <v>46082</v>
      </c>
      <c r="D189" s="2" t="s">
        <v>300</v>
      </c>
      <c r="E189" s="2" t="s">
        <v>214</v>
      </c>
      <c r="F189" s="2">
        <v>2</v>
      </c>
      <c r="G189" s="2">
        <v>8</v>
      </c>
      <c r="H189" s="2">
        <v>95</v>
      </c>
      <c r="I189" s="2">
        <f>G189*H189</f>
        <v>760</v>
      </c>
      <c r="J189" s="2">
        <f>INDEX('Script List'!$H$2:$H$161,MATCH(B189,'Script List'!$A$2:$A$161,0))</f>
        <v>200</v>
      </c>
      <c r="K189" s="2" t="s">
        <v>20</v>
      </c>
      <c r="L189" s="2">
        <f>I189-J189</f>
        <v>560</v>
      </c>
      <c r="M189" s="2">
        <v>8.4</v>
      </c>
      <c r="N189" s="9">
        <f>DATE(YEAR(C189),MONTH(C189),1)</f>
        <v>46082.0</v>
      </c>
      <c r="O189" s="2" t="str">
        <f>TEXT(N189,"yyyy-mm")</f>
        <v>2026-03</v>
      </c>
    </row>
    <row r="190" spans="1:15">
      <c r="A190" s="2" t="s">
        <v>591</v>
      </c>
      <c r="B190" s="2" t="s">
        <v>94</v>
      </c>
      <c r="C190" s="9">
        <v>46083</v>
      </c>
      <c r="D190" s="2" t="s">
        <v>300</v>
      </c>
      <c r="E190" s="2" t="s">
        <v>214</v>
      </c>
      <c r="F190" s="2">
        <v>2</v>
      </c>
      <c r="G190" s="2">
        <v>8</v>
      </c>
      <c r="H190" s="2">
        <v>95</v>
      </c>
      <c r="I190" s="2">
        <f>G190*H190</f>
        <v>760</v>
      </c>
      <c r="J190" s="2">
        <f>INDEX('Script List'!$H$2:$H$161,MATCH(B190,'Script List'!$A$2:$A$161,0))</f>
        <v>200</v>
      </c>
      <c r="K190" s="2" t="s">
        <v>20</v>
      </c>
      <c r="L190" s="2">
        <f>I190-J190</f>
        <v>560</v>
      </c>
      <c r="M190" s="2">
        <v>8.4</v>
      </c>
      <c r="N190" s="9">
        <f>DATE(YEAR(C190),MONTH(C190),1)</f>
        <v>46082.0</v>
      </c>
      <c r="O190" s="2" t="str">
        <f>TEXT(N190,"yyyy-mm")</f>
        <v>2026-03</v>
      </c>
    </row>
    <row r="191" spans="1:15">
      <c r="A191" s="2" t="s">
        <v>592</v>
      </c>
      <c r="B191" s="2" t="s">
        <v>94</v>
      </c>
      <c r="C191" s="9">
        <v>46084</v>
      </c>
      <c r="D191" s="2" t="s">
        <v>300</v>
      </c>
      <c r="E191" s="2" t="s">
        <v>214</v>
      </c>
      <c r="F191" s="2">
        <v>2</v>
      </c>
      <c r="G191" s="2">
        <v>8</v>
      </c>
      <c r="H191" s="2">
        <v>95</v>
      </c>
      <c r="I191" s="2">
        <f>G191*H191</f>
        <v>760</v>
      </c>
      <c r="J191" s="2">
        <f>INDEX('Script List'!$H$2:$H$161,MATCH(B191,'Script List'!$A$2:$A$161,0))</f>
        <v>200</v>
      </c>
      <c r="K191" s="2" t="s">
        <v>20</v>
      </c>
      <c r="L191" s="2">
        <f>I191-J191</f>
        <v>560</v>
      </c>
      <c r="M191" s="2">
        <v>8.4</v>
      </c>
      <c r="N191" s="9">
        <f>DATE(YEAR(C191),MONTH(C191),1)</f>
        <v>46082.0</v>
      </c>
      <c r="O191" s="2" t="str">
        <f>TEXT(N191,"yyyy-mm")</f>
        <v>2026-03</v>
      </c>
    </row>
    <row r="192" spans="1:15">
      <c r="A192" s="2" t="s">
        <v>593</v>
      </c>
      <c r="B192" s="2" t="s">
        <v>95</v>
      </c>
      <c r="C192" s="9">
        <v>46085</v>
      </c>
      <c r="D192" s="2" t="s">
        <v>301</v>
      </c>
      <c r="E192" s="2" t="s">
        <v>212</v>
      </c>
      <c r="F192" s="2">
        <v>2</v>
      </c>
      <c r="G192" s="2">
        <v>6</v>
      </c>
      <c r="H192" s="2">
        <v>138</v>
      </c>
      <c r="I192" s="2">
        <f>G192*H192</f>
        <v>828</v>
      </c>
      <c r="J192" s="2">
        <f>INDEX('Script List'!$H$2:$H$161,MATCH(B192,'Script List'!$A$2:$A$161,0))</f>
        <v>180</v>
      </c>
      <c r="K192" s="2" t="s">
        <v>22</v>
      </c>
      <c r="L192" s="2">
        <f>I192-J192</f>
        <v>648</v>
      </c>
      <c r="M192" s="2">
        <v>7</v>
      </c>
      <c r="N192" s="9">
        <f>DATE(YEAR(C192),MONTH(C192),1)</f>
        <v>46082.0</v>
      </c>
      <c r="O192" s="2" t="str">
        <f>TEXT(N192,"yyyy-mm")</f>
        <v>2026-03</v>
      </c>
    </row>
    <row r="193" spans="1:15">
      <c r="A193" s="2" t="s">
        <v>594</v>
      </c>
      <c r="B193" s="2" t="s">
        <v>96</v>
      </c>
      <c r="C193" s="9">
        <v>46086</v>
      </c>
      <c r="D193" s="2" t="s">
        <v>302</v>
      </c>
      <c r="E193" s="2" t="s">
        <v>223</v>
      </c>
      <c r="F193" s="2">
        <v>1</v>
      </c>
      <c r="G193" s="2">
        <v>6</v>
      </c>
      <c r="H193" s="2">
        <v>109</v>
      </c>
      <c r="I193" s="2">
        <f>G193*H193</f>
        <v>654</v>
      </c>
      <c r="J193" s="2">
        <f>INDEX('Script List'!$H$2:$H$161,MATCH(B193,'Script List'!$A$2:$A$161,0))</f>
        <v>172</v>
      </c>
      <c r="K193" s="2" t="s">
        <v>20</v>
      </c>
      <c r="L193" s="2">
        <f>I193-J193</f>
        <v>482</v>
      </c>
      <c r="M193" s="2">
        <v>7.7</v>
      </c>
      <c r="N193" s="9">
        <f>DATE(YEAR(C193),MONTH(C193),1)</f>
        <v>46082.0</v>
      </c>
      <c r="O193" s="2" t="str">
        <f>TEXT(N193,"yyyy-mm")</f>
        <v>2026-03</v>
      </c>
    </row>
    <row r="194" spans="1:15">
      <c r="A194" s="2" t="s">
        <v>595</v>
      </c>
      <c r="B194" s="2" t="s">
        <v>96</v>
      </c>
      <c r="C194" s="9">
        <v>46087</v>
      </c>
      <c r="D194" s="2" t="s">
        <v>302</v>
      </c>
      <c r="E194" s="2" t="s">
        <v>223</v>
      </c>
      <c r="F194" s="2">
        <v>1</v>
      </c>
      <c r="G194" s="2">
        <v>6</v>
      </c>
      <c r="H194" s="2">
        <v>109</v>
      </c>
      <c r="I194" s="2">
        <f>G194*H194</f>
        <v>654</v>
      </c>
      <c r="J194" s="2">
        <f>INDEX('Script List'!$H$2:$H$161,MATCH(B194,'Script List'!$A$2:$A$161,0))</f>
        <v>172</v>
      </c>
      <c r="K194" s="2" t="s">
        <v>20</v>
      </c>
      <c r="L194" s="2">
        <f>I194-J194</f>
        <v>482</v>
      </c>
      <c r="M194" s="2">
        <v>7.7</v>
      </c>
      <c r="N194" s="9">
        <f>DATE(YEAR(C194),MONTH(C194),1)</f>
        <v>46082.0</v>
      </c>
      <c r="O194" s="2" t="str">
        <f>TEXT(N194,"yyyy-mm")</f>
        <v>2026-03</v>
      </c>
    </row>
    <row r="195" spans="1:15">
      <c r="A195" s="2" t="s">
        <v>596</v>
      </c>
      <c r="B195" s="2" t="s">
        <v>96</v>
      </c>
      <c r="C195" s="9">
        <v>46088</v>
      </c>
      <c r="D195" s="2" t="s">
        <v>302</v>
      </c>
      <c r="E195" s="2" t="s">
        <v>223</v>
      </c>
      <c r="F195" s="2">
        <v>1</v>
      </c>
      <c r="G195" s="2">
        <v>6</v>
      </c>
      <c r="H195" s="2">
        <v>109</v>
      </c>
      <c r="I195" s="2">
        <f>G195*H195</f>
        <v>654</v>
      </c>
      <c r="J195" s="2">
        <f>INDEX('Script List'!$H$2:$H$161,MATCH(B195,'Script List'!$A$2:$A$161,0))</f>
        <v>172</v>
      </c>
      <c r="K195" s="2" t="s">
        <v>20</v>
      </c>
      <c r="L195" s="2">
        <f>I195-J195</f>
        <v>482</v>
      </c>
      <c r="M195" s="2">
        <v>7.7</v>
      </c>
      <c r="N195" s="9">
        <f>DATE(YEAR(C195),MONTH(C195),1)</f>
        <v>46082.0</v>
      </c>
      <c r="O195" s="2" t="str">
        <f>TEXT(N195,"yyyy-mm")</f>
        <v>2026-03</v>
      </c>
    </row>
    <row r="196" spans="1:15">
      <c r="A196" s="2" t="s">
        <v>597</v>
      </c>
      <c r="B196" s="2" t="s">
        <v>97</v>
      </c>
      <c r="C196" s="9">
        <v>46089</v>
      </c>
      <c r="D196" s="2" t="s">
        <v>303</v>
      </c>
      <c r="E196" s="2" t="s">
        <v>214</v>
      </c>
      <c r="F196" s="2">
        <v>1</v>
      </c>
      <c r="G196" s="2">
        <v>6</v>
      </c>
      <c r="H196" s="2">
        <v>75</v>
      </c>
      <c r="I196" s="2">
        <f>G196*H196</f>
        <v>450</v>
      </c>
      <c r="J196" s="2">
        <f>INDEX('Script List'!$H$2:$H$161,MATCH(B196,'Script List'!$A$2:$A$161,0))</f>
        <v>118</v>
      </c>
      <c r="K196" s="2" t="s">
        <v>22</v>
      </c>
      <c r="L196" s="2">
        <f>I196-J196</f>
        <v>332</v>
      </c>
      <c r="M196" s="2">
        <v>8.4</v>
      </c>
      <c r="N196" s="9">
        <f>DATE(YEAR(C196),MONTH(C196),1)</f>
        <v>46082.0</v>
      </c>
      <c r="O196" s="2" t="str">
        <f>TEXT(N196,"yyyy-mm")</f>
        <v>2026-03</v>
      </c>
    </row>
    <row r="197" spans="1:15">
      <c r="A197" s="2" t="s">
        <v>598</v>
      </c>
      <c r="B197" s="2" t="s">
        <v>97</v>
      </c>
      <c r="C197" s="9">
        <v>46090</v>
      </c>
      <c r="D197" s="2" t="s">
        <v>303</v>
      </c>
      <c r="E197" s="2" t="s">
        <v>214</v>
      </c>
      <c r="F197" s="2">
        <v>1</v>
      </c>
      <c r="G197" s="2">
        <v>6</v>
      </c>
      <c r="H197" s="2">
        <v>75</v>
      </c>
      <c r="I197" s="2">
        <f>G197*H197</f>
        <v>450</v>
      </c>
      <c r="J197" s="2">
        <f>INDEX('Script List'!$H$2:$H$161,MATCH(B197,'Script List'!$A$2:$A$161,0))</f>
        <v>118</v>
      </c>
      <c r="K197" s="2" t="s">
        <v>22</v>
      </c>
      <c r="L197" s="2">
        <f>I197-J197</f>
        <v>332</v>
      </c>
      <c r="M197" s="2">
        <v>8.4</v>
      </c>
      <c r="N197" s="9">
        <f>DATE(YEAR(C197),MONTH(C197),1)</f>
        <v>46082.0</v>
      </c>
      <c r="O197" s="2" t="str">
        <f>TEXT(N197,"yyyy-mm")</f>
        <v>2026-03</v>
      </c>
    </row>
    <row r="198" spans="1:15">
      <c r="A198" s="2" t="s">
        <v>599</v>
      </c>
      <c r="B198" s="2" t="s">
        <v>97</v>
      </c>
      <c r="C198" s="9">
        <v>46091</v>
      </c>
      <c r="D198" s="2" t="s">
        <v>303</v>
      </c>
      <c r="E198" s="2" t="s">
        <v>214</v>
      </c>
      <c r="F198" s="2">
        <v>1</v>
      </c>
      <c r="G198" s="2">
        <v>6</v>
      </c>
      <c r="H198" s="2">
        <v>75</v>
      </c>
      <c r="I198" s="2">
        <f>G198*H198</f>
        <v>450</v>
      </c>
      <c r="J198" s="2">
        <f>INDEX('Script List'!$H$2:$H$161,MATCH(B198,'Script List'!$A$2:$A$161,0))</f>
        <v>118</v>
      </c>
      <c r="K198" s="2" t="s">
        <v>22</v>
      </c>
      <c r="L198" s="2">
        <f>I198-J198</f>
        <v>332</v>
      </c>
      <c r="M198" s="2">
        <v>8.4</v>
      </c>
      <c r="N198" s="9">
        <f>DATE(YEAR(C198),MONTH(C198),1)</f>
        <v>46082.0</v>
      </c>
      <c r="O198" s="2" t="str">
        <f>TEXT(N198,"yyyy-mm")</f>
        <v>2026-03</v>
      </c>
    </row>
    <row r="199" spans="1:15">
      <c r="A199" s="2" t="s">
        <v>600</v>
      </c>
      <c r="B199" s="2" t="s">
        <v>97</v>
      </c>
      <c r="C199" s="9">
        <v>46092</v>
      </c>
      <c r="D199" s="2" t="s">
        <v>303</v>
      </c>
      <c r="E199" s="2" t="s">
        <v>214</v>
      </c>
      <c r="F199" s="2">
        <v>1</v>
      </c>
      <c r="G199" s="2">
        <v>6</v>
      </c>
      <c r="H199" s="2">
        <v>75</v>
      </c>
      <c r="I199" s="2">
        <f>G199*H199</f>
        <v>450</v>
      </c>
      <c r="J199" s="2">
        <f>INDEX('Script List'!$H$2:$H$161,MATCH(B199,'Script List'!$A$2:$A$161,0))</f>
        <v>118</v>
      </c>
      <c r="K199" s="2" t="s">
        <v>22</v>
      </c>
      <c r="L199" s="2">
        <f>I199-J199</f>
        <v>332</v>
      </c>
      <c r="M199" s="2">
        <v>8.4</v>
      </c>
      <c r="N199" s="9">
        <f>DATE(YEAR(C199),MONTH(C199),1)</f>
        <v>46082.0</v>
      </c>
      <c r="O199" s="2" t="str">
        <f>TEXT(N199,"yyyy-mm")</f>
        <v>2026-03</v>
      </c>
    </row>
    <row r="200" spans="1:15">
      <c r="A200" s="2" t="s">
        <v>601</v>
      </c>
      <c r="B200" s="2" t="s">
        <v>97</v>
      </c>
      <c r="C200" s="9">
        <v>46093</v>
      </c>
      <c r="D200" s="2" t="s">
        <v>303</v>
      </c>
      <c r="E200" s="2" t="s">
        <v>214</v>
      </c>
      <c r="F200" s="2">
        <v>1</v>
      </c>
      <c r="G200" s="2">
        <v>6</v>
      </c>
      <c r="H200" s="2">
        <v>75</v>
      </c>
      <c r="I200" s="2">
        <f>G200*H200</f>
        <v>450</v>
      </c>
      <c r="J200" s="2">
        <f>INDEX('Script List'!$H$2:$H$161,MATCH(B200,'Script List'!$A$2:$A$161,0))</f>
        <v>118</v>
      </c>
      <c r="K200" s="2" t="s">
        <v>22</v>
      </c>
      <c r="L200" s="2">
        <f>I200-J200</f>
        <v>332</v>
      </c>
      <c r="M200" s="2">
        <v>8.4</v>
      </c>
      <c r="N200" s="9">
        <f>DATE(YEAR(C200),MONTH(C200),1)</f>
        <v>46082.0</v>
      </c>
      <c r="O200" s="2" t="str">
        <f>TEXT(N200,"yyyy-mm")</f>
        <v>2026-03</v>
      </c>
    </row>
    <row r="201" spans="1:15">
      <c r="A201" s="2" t="s">
        <v>602</v>
      </c>
      <c r="B201" s="2" t="s">
        <v>97</v>
      </c>
      <c r="C201" s="9">
        <v>46094</v>
      </c>
      <c r="D201" s="2" t="s">
        <v>303</v>
      </c>
      <c r="E201" s="2" t="s">
        <v>214</v>
      </c>
      <c r="F201" s="2">
        <v>1</v>
      </c>
      <c r="G201" s="2">
        <v>6</v>
      </c>
      <c r="H201" s="2">
        <v>75</v>
      </c>
      <c r="I201" s="2">
        <f>G201*H201</f>
        <v>450</v>
      </c>
      <c r="J201" s="2">
        <f>INDEX('Script List'!$H$2:$H$161,MATCH(B201,'Script List'!$A$2:$A$161,0))</f>
        <v>118</v>
      </c>
      <c r="K201" s="2" t="s">
        <v>22</v>
      </c>
      <c r="L201" s="2">
        <f>I201-J201</f>
        <v>332</v>
      </c>
      <c r="M201" s="2">
        <v>8.4</v>
      </c>
      <c r="N201" s="9">
        <f>DATE(YEAR(C201),MONTH(C201),1)</f>
        <v>46082.0</v>
      </c>
      <c r="O201" s="2" t="str">
        <f>TEXT(N201,"yyyy-mm")</f>
        <v>2026-03</v>
      </c>
    </row>
    <row r="202" spans="1:15">
      <c r="A202" s="2" t="s">
        <v>603</v>
      </c>
      <c r="B202" s="2" t="s">
        <v>97</v>
      </c>
      <c r="C202" s="9">
        <v>46095</v>
      </c>
      <c r="D202" s="2" t="s">
        <v>303</v>
      </c>
      <c r="E202" s="2" t="s">
        <v>214</v>
      </c>
      <c r="F202" s="2">
        <v>1</v>
      </c>
      <c r="G202" s="2">
        <v>6</v>
      </c>
      <c r="H202" s="2">
        <v>75</v>
      </c>
      <c r="I202" s="2">
        <f>G202*H202</f>
        <v>450</v>
      </c>
      <c r="J202" s="2">
        <f>INDEX('Script List'!$H$2:$H$161,MATCH(B202,'Script List'!$A$2:$A$161,0))</f>
        <v>118</v>
      </c>
      <c r="K202" s="2" t="s">
        <v>22</v>
      </c>
      <c r="L202" s="2">
        <f>I202-J202</f>
        <v>332</v>
      </c>
      <c r="M202" s="2">
        <v>8.4</v>
      </c>
      <c r="N202" s="9">
        <f>DATE(YEAR(C202),MONTH(C202),1)</f>
        <v>46082.0</v>
      </c>
      <c r="O202" s="2" t="str">
        <f>TEXT(N202,"yyyy-mm")</f>
        <v>2026-03</v>
      </c>
    </row>
    <row r="203" spans="1:15">
      <c r="A203" s="2" t="s">
        <v>604</v>
      </c>
      <c r="B203" s="2" t="s">
        <v>97</v>
      </c>
      <c r="C203" s="9">
        <v>46096</v>
      </c>
      <c r="D203" s="2" t="s">
        <v>303</v>
      </c>
      <c r="E203" s="2" t="s">
        <v>214</v>
      </c>
      <c r="F203" s="2">
        <v>1</v>
      </c>
      <c r="G203" s="2">
        <v>6</v>
      </c>
      <c r="H203" s="2">
        <v>75</v>
      </c>
      <c r="I203" s="2">
        <f>G203*H203</f>
        <v>450</v>
      </c>
      <c r="J203" s="2">
        <f>INDEX('Script List'!$H$2:$H$161,MATCH(B203,'Script List'!$A$2:$A$161,0))</f>
        <v>118</v>
      </c>
      <c r="K203" s="2" t="s">
        <v>22</v>
      </c>
      <c r="L203" s="2">
        <f>I203-J203</f>
        <v>332</v>
      </c>
      <c r="M203" s="2">
        <v>8.4</v>
      </c>
      <c r="N203" s="9">
        <f>DATE(YEAR(C203),MONTH(C203),1)</f>
        <v>46082.0</v>
      </c>
      <c r="O203" s="2" t="str">
        <f>TEXT(N203,"yyyy-mm")</f>
        <v>2026-03</v>
      </c>
    </row>
    <row r="204" spans="1:15">
      <c r="A204" s="2" t="s">
        <v>605</v>
      </c>
      <c r="B204" s="2" t="s">
        <v>97</v>
      </c>
      <c r="C204" s="9">
        <v>46097</v>
      </c>
      <c r="D204" s="2" t="s">
        <v>303</v>
      </c>
      <c r="E204" s="2" t="s">
        <v>214</v>
      </c>
      <c r="F204" s="2">
        <v>1</v>
      </c>
      <c r="G204" s="2">
        <v>6</v>
      </c>
      <c r="H204" s="2">
        <v>75</v>
      </c>
      <c r="I204" s="2">
        <f>G204*H204</f>
        <v>450</v>
      </c>
      <c r="J204" s="2">
        <f>INDEX('Script List'!$H$2:$H$161,MATCH(B204,'Script List'!$A$2:$A$161,0))</f>
        <v>118</v>
      </c>
      <c r="K204" s="2" t="s">
        <v>22</v>
      </c>
      <c r="L204" s="2">
        <f>I204-J204</f>
        <v>332</v>
      </c>
      <c r="M204" s="2">
        <v>8.4</v>
      </c>
      <c r="N204" s="9">
        <f>DATE(YEAR(C204),MONTH(C204),1)</f>
        <v>46082.0</v>
      </c>
      <c r="O204" s="2" t="str">
        <f>TEXT(N204,"yyyy-mm")</f>
        <v>2026-03</v>
      </c>
    </row>
    <row r="205" spans="1:15">
      <c r="A205" s="2" t="s">
        <v>606</v>
      </c>
      <c r="B205" s="2" t="s">
        <v>97</v>
      </c>
      <c r="C205" s="9">
        <v>46098</v>
      </c>
      <c r="D205" s="2" t="s">
        <v>303</v>
      </c>
      <c r="E205" s="2" t="s">
        <v>214</v>
      </c>
      <c r="F205" s="2">
        <v>1</v>
      </c>
      <c r="G205" s="2">
        <v>6</v>
      </c>
      <c r="H205" s="2">
        <v>75</v>
      </c>
      <c r="I205" s="2">
        <f>G205*H205</f>
        <v>450</v>
      </c>
      <c r="J205" s="2">
        <f>INDEX('Script List'!$H$2:$H$161,MATCH(B205,'Script List'!$A$2:$A$161,0))</f>
        <v>118</v>
      </c>
      <c r="K205" s="2" t="s">
        <v>22</v>
      </c>
      <c r="L205" s="2">
        <f>I205-J205</f>
        <v>332</v>
      </c>
      <c r="M205" s="2">
        <v>8.4</v>
      </c>
      <c r="N205" s="9">
        <f>DATE(YEAR(C205),MONTH(C205),1)</f>
        <v>46082.0</v>
      </c>
      <c r="O205" s="2" t="str">
        <f>TEXT(N205,"yyyy-mm")</f>
        <v>2026-03</v>
      </c>
    </row>
    <row r="206" spans="1:15">
      <c r="A206" s="2" t="s">
        <v>607</v>
      </c>
      <c r="B206" s="2" t="s">
        <v>98</v>
      </c>
      <c r="C206" s="9">
        <v>46099</v>
      </c>
      <c r="D206" s="2" t="s">
        <v>304</v>
      </c>
      <c r="E206" s="2" t="s">
        <v>218</v>
      </c>
      <c r="F206" s="2">
        <v>3</v>
      </c>
      <c r="G206" s="2">
        <v>7</v>
      </c>
      <c r="H206" s="2">
        <v>118</v>
      </c>
      <c r="I206" s="2">
        <f>G206*H206</f>
        <v>826</v>
      </c>
      <c r="J206" s="2">
        <f>INDEX('Script List'!$H$2:$H$161,MATCH(B206,'Script List'!$A$2:$A$161,0))</f>
        <v>217</v>
      </c>
      <c r="K206" s="2" t="s">
        <v>21</v>
      </c>
      <c r="L206" s="2">
        <f>I206-J206</f>
        <v>609</v>
      </c>
      <c r="M206" s="2">
        <v>7</v>
      </c>
      <c r="N206" s="9">
        <f>DATE(YEAR(C206),MONTH(C206),1)</f>
        <v>46082.0</v>
      </c>
      <c r="O206" s="2" t="str">
        <f>TEXT(N206,"yyyy-mm")</f>
        <v>2026-03</v>
      </c>
    </row>
    <row r="207" spans="1:15">
      <c r="A207" s="2" t="s">
        <v>608</v>
      </c>
      <c r="B207" s="2" t="s">
        <v>99</v>
      </c>
      <c r="C207" s="9">
        <v>46100</v>
      </c>
      <c r="D207" s="2" t="s">
        <v>305</v>
      </c>
      <c r="E207" s="2" t="s">
        <v>212</v>
      </c>
      <c r="F207" s="2">
        <v>6</v>
      </c>
      <c r="G207" s="2">
        <v>8</v>
      </c>
      <c r="H207" s="2">
        <v>138</v>
      </c>
      <c r="I207" s="2">
        <f>G207*H207</f>
        <v>1104</v>
      </c>
      <c r="J207" s="2">
        <f>INDEX('Script List'!$H$2:$H$161,MATCH(B207,'Script List'!$A$2:$A$161,0))</f>
        <v>540</v>
      </c>
      <c r="K207" s="2" t="s">
        <v>22</v>
      </c>
      <c r="L207" s="2">
        <f>I207-J207</f>
        <v>564</v>
      </c>
      <c r="M207" s="2">
        <v>7.7</v>
      </c>
      <c r="N207" s="9">
        <f>DATE(YEAR(C207),MONTH(C207),1)</f>
        <v>46082.0</v>
      </c>
      <c r="O207" s="2" t="str">
        <f>TEXT(N207,"yyyy-mm")</f>
        <v>2026-03</v>
      </c>
    </row>
    <row r="208" spans="1:15">
      <c r="A208" s="2" t="s">
        <v>609</v>
      </c>
      <c r="B208" s="2" t="s">
        <v>99</v>
      </c>
      <c r="C208" s="9">
        <v>46101</v>
      </c>
      <c r="D208" s="2" t="s">
        <v>305</v>
      </c>
      <c r="E208" s="2" t="s">
        <v>212</v>
      </c>
      <c r="F208" s="2">
        <v>6</v>
      </c>
      <c r="G208" s="2">
        <v>8</v>
      </c>
      <c r="H208" s="2">
        <v>138</v>
      </c>
      <c r="I208" s="2">
        <f>G208*H208</f>
        <v>1104</v>
      </c>
      <c r="J208" s="2">
        <f>INDEX('Script List'!$H$2:$H$161,MATCH(B208,'Script List'!$A$2:$A$161,0))</f>
        <v>540</v>
      </c>
      <c r="K208" s="2" t="s">
        <v>22</v>
      </c>
      <c r="L208" s="2">
        <f>I208-J208</f>
        <v>564</v>
      </c>
      <c r="M208" s="2">
        <v>7.7</v>
      </c>
      <c r="N208" s="9">
        <f>DATE(YEAR(C208),MONTH(C208),1)</f>
        <v>46082.0</v>
      </c>
      <c r="O208" s="2" t="str">
        <f>TEXT(N208,"yyyy-mm")</f>
        <v>2026-03</v>
      </c>
    </row>
    <row r="209" spans="1:15">
      <c r="A209" s="2" t="s">
        <v>610</v>
      </c>
      <c r="B209" s="2" t="s">
        <v>99</v>
      </c>
      <c r="C209" s="9">
        <v>46102</v>
      </c>
      <c r="D209" s="2" t="s">
        <v>305</v>
      </c>
      <c r="E209" s="2" t="s">
        <v>212</v>
      </c>
      <c r="F209" s="2">
        <v>6</v>
      </c>
      <c r="G209" s="2">
        <v>8</v>
      </c>
      <c r="H209" s="2">
        <v>138</v>
      </c>
      <c r="I209" s="2">
        <f>G209*H209</f>
        <v>1104</v>
      </c>
      <c r="J209" s="2">
        <f>INDEX('Script List'!$H$2:$H$161,MATCH(B209,'Script List'!$A$2:$A$161,0))</f>
        <v>540</v>
      </c>
      <c r="K209" s="2" t="s">
        <v>22</v>
      </c>
      <c r="L209" s="2">
        <f>I209-J209</f>
        <v>564</v>
      </c>
      <c r="M209" s="2">
        <v>7.7</v>
      </c>
      <c r="N209" s="9">
        <f>DATE(YEAR(C209),MONTH(C209),1)</f>
        <v>46082.0</v>
      </c>
      <c r="O209" s="2" t="str">
        <f>TEXT(N209,"yyyy-mm")</f>
        <v>2026-03</v>
      </c>
    </row>
    <row r="210" spans="1:15">
      <c r="A210" s="2" t="s">
        <v>611</v>
      </c>
      <c r="B210" s="2" t="s">
        <v>100</v>
      </c>
      <c r="C210" s="9">
        <v>46102</v>
      </c>
      <c r="D210" s="2" t="s">
        <v>308</v>
      </c>
      <c r="E210" s="2" t="s">
        <v>214</v>
      </c>
      <c r="F210" s="2">
        <v>1</v>
      </c>
      <c r="G210" s="2">
        <v>6</v>
      </c>
      <c r="H210" s="2">
        <v>75</v>
      </c>
      <c r="I210" s="2">
        <f>G210*H210</f>
        <v>450</v>
      </c>
      <c r="J210" s="2">
        <f>INDEX('Script List'!$H$2:$H$161,MATCH(B210,'Script List'!$A$2:$A$161,0))</f>
        <v>118</v>
      </c>
      <c r="K210" s="2" t="s">
        <v>20</v>
      </c>
      <c r="L210" s="2">
        <f>I210-J210</f>
        <v>332</v>
      </c>
      <c r="M210" s="2">
        <v>7</v>
      </c>
      <c r="N210" s="9">
        <f>DATE(YEAR(C210),MONTH(C210),1)</f>
        <v>46082.0</v>
      </c>
      <c r="O210" s="2" t="str">
        <f>TEXT(N210,"yyyy-mm")</f>
        <v>2026-03</v>
      </c>
    </row>
    <row r="211" spans="1:15">
      <c r="A211" s="2" t="s">
        <v>612</v>
      </c>
      <c r="B211" s="2" t="s">
        <v>101</v>
      </c>
      <c r="C211" s="9">
        <v>46103</v>
      </c>
      <c r="D211" s="2" t="s">
        <v>309</v>
      </c>
      <c r="E211" s="2" t="s">
        <v>212</v>
      </c>
      <c r="F211" s="2">
        <v>3</v>
      </c>
      <c r="G211" s="2">
        <v>6</v>
      </c>
      <c r="H211" s="2">
        <v>118</v>
      </c>
      <c r="I211" s="2">
        <f>G211*H211</f>
        <v>708</v>
      </c>
      <c r="J211" s="2">
        <f>INDEX('Script List'!$H$2:$H$161,MATCH(B211,'Script List'!$A$2:$A$161,0))</f>
        <v>270</v>
      </c>
      <c r="K211" s="2" t="s">
        <v>22</v>
      </c>
      <c r="L211" s="2">
        <f>I211-J211</f>
        <v>438</v>
      </c>
      <c r="M211" s="2">
        <v>7.7</v>
      </c>
      <c r="N211" s="9">
        <f>DATE(YEAR(C211),MONTH(C211),1)</f>
        <v>46082.0</v>
      </c>
      <c r="O211" s="2" t="str">
        <f>TEXT(N211,"yyyy-mm")</f>
        <v>2026-03</v>
      </c>
    </row>
    <row r="212" spans="1:15">
      <c r="A212" s="2" t="s">
        <v>613</v>
      </c>
      <c r="B212" s="2" t="s">
        <v>101</v>
      </c>
      <c r="C212" s="9">
        <v>46104</v>
      </c>
      <c r="D212" s="2" t="s">
        <v>309</v>
      </c>
      <c r="E212" s="2" t="s">
        <v>212</v>
      </c>
      <c r="F212" s="2">
        <v>3</v>
      </c>
      <c r="G212" s="2">
        <v>6</v>
      </c>
      <c r="H212" s="2">
        <v>118</v>
      </c>
      <c r="I212" s="2">
        <f>G212*H212</f>
        <v>708</v>
      </c>
      <c r="J212" s="2">
        <f>INDEX('Script List'!$H$2:$H$161,MATCH(B212,'Script List'!$A$2:$A$161,0))</f>
        <v>270</v>
      </c>
      <c r="K212" s="2" t="s">
        <v>22</v>
      </c>
      <c r="L212" s="2">
        <f>I212-J212</f>
        <v>438</v>
      </c>
      <c r="M212" s="2">
        <v>7.7</v>
      </c>
      <c r="N212" s="9">
        <f>DATE(YEAR(C212),MONTH(C212),1)</f>
        <v>46082.0</v>
      </c>
      <c r="O212" s="2" t="str">
        <f>TEXT(N212,"yyyy-mm")</f>
        <v>2026-03</v>
      </c>
    </row>
    <row r="213" spans="1:15">
      <c r="A213" s="2" t="s">
        <v>614</v>
      </c>
      <c r="B213" s="2" t="s">
        <v>101</v>
      </c>
      <c r="C213" s="9">
        <v>46105</v>
      </c>
      <c r="D213" s="2" t="s">
        <v>309</v>
      </c>
      <c r="E213" s="2" t="s">
        <v>212</v>
      </c>
      <c r="F213" s="2">
        <v>3</v>
      </c>
      <c r="G213" s="2">
        <v>6</v>
      </c>
      <c r="H213" s="2">
        <v>118</v>
      </c>
      <c r="I213" s="2">
        <f>G213*H213</f>
        <v>708</v>
      </c>
      <c r="J213" s="2">
        <f>INDEX('Script List'!$H$2:$H$161,MATCH(B213,'Script List'!$A$2:$A$161,0))</f>
        <v>270</v>
      </c>
      <c r="K213" s="2" t="s">
        <v>22</v>
      </c>
      <c r="L213" s="2">
        <f>I213-J213</f>
        <v>438</v>
      </c>
      <c r="M213" s="2">
        <v>7.7</v>
      </c>
      <c r="N213" s="9">
        <f>DATE(YEAR(C213),MONTH(C213),1)</f>
        <v>46082.0</v>
      </c>
      <c r="O213" s="2" t="str">
        <f>TEXT(N213,"yyyy-mm")</f>
        <v>2026-03</v>
      </c>
    </row>
    <row r="214" spans="1:15">
      <c r="A214" s="2" t="s">
        <v>615</v>
      </c>
      <c r="B214" s="2" t="s">
        <v>102</v>
      </c>
      <c r="C214" s="9">
        <v>46106</v>
      </c>
      <c r="D214" s="2" t="s">
        <v>312</v>
      </c>
      <c r="E214" s="2" t="s">
        <v>214</v>
      </c>
      <c r="F214" s="2">
        <v>2</v>
      </c>
      <c r="G214" s="2">
        <v>8</v>
      </c>
      <c r="H214" s="2">
        <v>65</v>
      </c>
      <c r="I214" s="2">
        <f>G214*H214</f>
        <v>520</v>
      </c>
      <c r="J214" s="2">
        <f>INDEX('Script List'!$H$2:$H$161,MATCH(B214,'Script List'!$A$2:$A$161,0))</f>
        <v>137</v>
      </c>
      <c r="K214" s="2" t="s">
        <v>20</v>
      </c>
      <c r="L214" s="2">
        <f>I214-J214</f>
        <v>383</v>
      </c>
      <c r="M214" s="2">
        <v>7</v>
      </c>
      <c r="N214" s="9">
        <f>DATE(YEAR(C214),MONTH(C214),1)</f>
        <v>46082.0</v>
      </c>
      <c r="O214" s="2" t="str">
        <f>TEXT(N214,"yyyy-mm")</f>
        <v>2026-03</v>
      </c>
    </row>
    <row r="215" spans="1:15">
      <c r="A215" s="2" t="s">
        <v>616</v>
      </c>
      <c r="B215" s="2" t="s">
        <v>102</v>
      </c>
      <c r="C215" s="9">
        <v>46107</v>
      </c>
      <c r="D215" s="2" t="s">
        <v>312</v>
      </c>
      <c r="E215" s="2" t="s">
        <v>214</v>
      </c>
      <c r="F215" s="2">
        <v>2</v>
      </c>
      <c r="G215" s="2">
        <v>8</v>
      </c>
      <c r="H215" s="2">
        <v>65</v>
      </c>
      <c r="I215" s="2">
        <f>G215*H215</f>
        <v>520</v>
      </c>
      <c r="J215" s="2">
        <f>INDEX('Script List'!$H$2:$H$161,MATCH(B215,'Script List'!$A$2:$A$161,0))</f>
        <v>137</v>
      </c>
      <c r="K215" s="2" t="s">
        <v>20</v>
      </c>
      <c r="L215" s="2">
        <f>I215-J215</f>
        <v>383</v>
      </c>
      <c r="M215" s="2">
        <v>7</v>
      </c>
      <c r="N215" s="9">
        <f>DATE(YEAR(C215),MONTH(C215),1)</f>
        <v>46082.0</v>
      </c>
      <c r="O215" s="2" t="str">
        <f>TEXT(N215,"yyyy-mm")</f>
        <v>2026-03</v>
      </c>
    </row>
    <row r="216" spans="1:15">
      <c r="A216" s="2" t="s">
        <v>617</v>
      </c>
      <c r="B216" s="2" t="s">
        <v>103</v>
      </c>
      <c r="C216" s="9">
        <v>46108</v>
      </c>
      <c r="D216" s="2" t="s">
        <v>313</v>
      </c>
      <c r="E216" s="2" t="s">
        <v>212</v>
      </c>
      <c r="F216" s="2">
        <v>2</v>
      </c>
      <c r="G216" s="2">
        <v>6</v>
      </c>
      <c r="H216" s="2">
        <v>109</v>
      </c>
      <c r="I216" s="2">
        <f>G216*H216</f>
        <v>654</v>
      </c>
      <c r="J216" s="2">
        <f>INDEX('Script List'!$H$2:$H$161,MATCH(B216,'Script List'!$A$2:$A$161,0))</f>
        <v>180</v>
      </c>
      <c r="K216" s="2" t="s">
        <v>22</v>
      </c>
      <c r="L216" s="2">
        <f>I216-J216</f>
        <v>474</v>
      </c>
      <c r="M216" s="2">
        <v>7.7</v>
      </c>
      <c r="N216" s="9">
        <f>DATE(YEAR(C216),MONTH(C216),1)</f>
        <v>46082.0</v>
      </c>
      <c r="O216" s="2" t="str">
        <f>TEXT(N216,"yyyy-mm")</f>
        <v>2026-03</v>
      </c>
    </row>
    <row r="217" spans="1:15">
      <c r="A217" s="2" t="s">
        <v>618</v>
      </c>
      <c r="B217" s="2" t="s">
        <v>103</v>
      </c>
      <c r="C217" s="9">
        <v>46109</v>
      </c>
      <c r="D217" s="2" t="s">
        <v>313</v>
      </c>
      <c r="E217" s="2" t="s">
        <v>212</v>
      </c>
      <c r="F217" s="2">
        <v>2</v>
      </c>
      <c r="G217" s="2">
        <v>6</v>
      </c>
      <c r="H217" s="2">
        <v>109</v>
      </c>
      <c r="I217" s="2">
        <f>G217*H217</f>
        <v>654</v>
      </c>
      <c r="J217" s="2">
        <f>INDEX('Script List'!$H$2:$H$161,MATCH(B217,'Script List'!$A$2:$A$161,0))</f>
        <v>180</v>
      </c>
      <c r="K217" s="2" t="s">
        <v>22</v>
      </c>
      <c r="L217" s="2">
        <f>I217-J217</f>
        <v>474</v>
      </c>
      <c r="M217" s="2">
        <v>7.7</v>
      </c>
      <c r="N217" s="9">
        <f>DATE(YEAR(C217),MONTH(C217),1)</f>
        <v>46082.0</v>
      </c>
      <c r="O217" s="2" t="str">
        <f>TEXT(N217,"yyyy-mm")</f>
        <v>2026-03</v>
      </c>
    </row>
    <row r="218" spans="1:15">
      <c r="A218" s="2" t="s">
        <v>619</v>
      </c>
      <c r="B218" s="2" t="s">
        <v>103</v>
      </c>
      <c r="C218" s="9">
        <v>46110</v>
      </c>
      <c r="D218" s="2" t="s">
        <v>313</v>
      </c>
      <c r="E218" s="2" t="s">
        <v>212</v>
      </c>
      <c r="F218" s="2">
        <v>2</v>
      </c>
      <c r="G218" s="2">
        <v>6</v>
      </c>
      <c r="H218" s="2">
        <v>109</v>
      </c>
      <c r="I218" s="2">
        <f>G218*H218</f>
        <v>654</v>
      </c>
      <c r="J218" s="2">
        <f>INDEX('Script List'!$H$2:$H$161,MATCH(B218,'Script List'!$A$2:$A$161,0))</f>
        <v>180</v>
      </c>
      <c r="K218" s="2" t="s">
        <v>22</v>
      </c>
      <c r="L218" s="2">
        <f>I218-J218</f>
        <v>474</v>
      </c>
      <c r="M218" s="2">
        <v>7.7</v>
      </c>
      <c r="N218" s="9">
        <f>DATE(YEAR(C218),MONTH(C218),1)</f>
        <v>46082.0</v>
      </c>
      <c r="O218" s="2" t="str">
        <f>TEXT(N218,"yyyy-mm")</f>
        <v>2026-03</v>
      </c>
    </row>
    <row r="219" spans="1:15">
      <c r="A219" s="2" t="s">
        <v>620</v>
      </c>
      <c r="B219" s="2" t="s">
        <v>103</v>
      </c>
      <c r="C219" s="9">
        <v>46111</v>
      </c>
      <c r="D219" s="2" t="s">
        <v>313</v>
      </c>
      <c r="E219" s="2" t="s">
        <v>212</v>
      </c>
      <c r="F219" s="2">
        <v>2</v>
      </c>
      <c r="G219" s="2">
        <v>6</v>
      </c>
      <c r="H219" s="2">
        <v>109</v>
      </c>
      <c r="I219" s="2">
        <f>G219*H219</f>
        <v>654</v>
      </c>
      <c r="J219" s="2">
        <f>INDEX('Script List'!$H$2:$H$161,MATCH(B219,'Script List'!$A$2:$A$161,0))</f>
        <v>180</v>
      </c>
      <c r="K219" s="2" t="s">
        <v>22</v>
      </c>
      <c r="L219" s="2">
        <f>I219-J219</f>
        <v>474</v>
      </c>
      <c r="M219" s="2">
        <v>7.7</v>
      </c>
      <c r="N219" s="9">
        <f>DATE(YEAR(C219),MONTH(C219),1)</f>
        <v>46082.0</v>
      </c>
      <c r="O219" s="2" t="str">
        <f>TEXT(N219,"yyyy-mm")</f>
        <v>2026-03</v>
      </c>
    </row>
    <row r="220" spans="1:15">
      <c r="A220" s="2" t="s">
        <v>621</v>
      </c>
      <c r="B220" s="2" t="s">
        <v>104</v>
      </c>
      <c r="C220" s="9">
        <v>46112</v>
      </c>
      <c r="D220" s="2" t="s">
        <v>316</v>
      </c>
      <c r="E220" s="2" t="s">
        <v>214</v>
      </c>
      <c r="F220" s="2">
        <v>1</v>
      </c>
      <c r="G220" s="2">
        <v>6</v>
      </c>
      <c r="H220" s="2">
        <v>119</v>
      </c>
      <c r="I220" s="2">
        <f>G220*H220</f>
        <v>714</v>
      </c>
      <c r="J220" s="2">
        <f>INDEX('Script List'!$H$2:$H$161,MATCH(B220,'Script List'!$A$2:$A$161,0))</f>
        <v>187</v>
      </c>
      <c r="K220" s="2" t="s">
        <v>22</v>
      </c>
      <c r="L220" s="2">
        <f>I220-J220</f>
        <v>527</v>
      </c>
      <c r="M220" s="2">
        <v>7</v>
      </c>
      <c r="N220" s="9">
        <f>DATE(YEAR(C220),MONTH(C220),1)</f>
        <v>46082.0</v>
      </c>
      <c r="O220" s="2" t="str">
        <f>TEXT(N220,"yyyy-mm")</f>
        <v>2026-03</v>
      </c>
    </row>
    <row r="221" spans="1:15">
      <c r="A221" s="2" t="s">
        <v>622</v>
      </c>
      <c r="B221" s="2" t="s">
        <v>104</v>
      </c>
      <c r="C221" s="9">
        <v>46113</v>
      </c>
      <c r="D221" s="2" t="s">
        <v>316</v>
      </c>
      <c r="E221" s="2" t="s">
        <v>214</v>
      </c>
      <c r="F221" s="2">
        <v>1</v>
      </c>
      <c r="G221" s="2">
        <v>6</v>
      </c>
      <c r="H221" s="2">
        <v>119</v>
      </c>
      <c r="I221" s="2">
        <f>G221*H221</f>
        <v>714</v>
      </c>
      <c r="J221" s="2">
        <f>INDEX('Script List'!$H$2:$H$161,MATCH(B221,'Script List'!$A$2:$A$161,0))</f>
        <v>187</v>
      </c>
      <c r="K221" s="2" t="s">
        <v>22</v>
      </c>
      <c r="L221" s="2">
        <f>I221-J221</f>
        <v>527</v>
      </c>
      <c r="M221" s="2">
        <v>7</v>
      </c>
      <c r="N221" s="9">
        <f>DATE(YEAR(C221),MONTH(C221),1)</f>
        <v>46113.0</v>
      </c>
      <c r="O221" s="2" t="str">
        <f>TEXT(N221,"yyyy-mm")</f>
        <v>2026-04</v>
      </c>
    </row>
    <row r="222" spans="1:15">
      <c r="A222" s="2" t="s">
        <v>623</v>
      </c>
      <c r="B222" s="2" t="s">
        <v>105</v>
      </c>
      <c r="C222" s="9">
        <v>46114</v>
      </c>
      <c r="D222" s="2" t="s">
        <v>317</v>
      </c>
      <c r="E222" s="2" t="s">
        <v>218</v>
      </c>
      <c r="F222" s="2">
        <v>3</v>
      </c>
      <c r="G222" s="2">
        <v>7</v>
      </c>
      <c r="H222" s="2">
        <v>95</v>
      </c>
      <c r="I222" s="2">
        <f>G222*H222</f>
        <v>665</v>
      </c>
      <c r="J222" s="2">
        <f>INDEX('Script List'!$H$2:$H$161,MATCH(B222,'Script List'!$A$2:$A$161,0))</f>
        <v>175</v>
      </c>
      <c r="K222" s="2" t="s">
        <v>21</v>
      </c>
      <c r="L222" s="2">
        <f>I222-J222</f>
        <v>490</v>
      </c>
      <c r="M222" s="2">
        <v>7.7</v>
      </c>
      <c r="N222" s="9">
        <f>DATE(YEAR(C222),MONTH(C222),1)</f>
        <v>46113.0</v>
      </c>
      <c r="O222" s="2" t="str">
        <f>TEXT(N222,"yyyy-mm")</f>
        <v>2026-04</v>
      </c>
    </row>
    <row r="223" spans="1:15">
      <c r="A223" s="2" t="s">
        <v>624</v>
      </c>
      <c r="B223" s="2" t="s">
        <v>105</v>
      </c>
      <c r="C223" s="9">
        <v>46115</v>
      </c>
      <c r="D223" s="2" t="s">
        <v>317</v>
      </c>
      <c r="E223" s="2" t="s">
        <v>218</v>
      </c>
      <c r="F223" s="2">
        <v>3</v>
      </c>
      <c r="G223" s="2">
        <v>7</v>
      </c>
      <c r="H223" s="2">
        <v>95</v>
      </c>
      <c r="I223" s="2">
        <f>G223*H223</f>
        <v>665</v>
      </c>
      <c r="J223" s="2">
        <f>INDEX('Script List'!$H$2:$H$161,MATCH(B223,'Script List'!$A$2:$A$161,0))</f>
        <v>175</v>
      </c>
      <c r="K223" s="2" t="s">
        <v>21</v>
      </c>
      <c r="L223" s="2">
        <f>I223-J223</f>
        <v>490</v>
      </c>
      <c r="M223" s="2">
        <v>7.7</v>
      </c>
      <c r="N223" s="9">
        <f>DATE(YEAR(C223),MONTH(C223),1)</f>
        <v>46113.0</v>
      </c>
      <c r="O223" s="2" t="str">
        <f>TEXT(N223,"yyyy-mm")</f>
        <v>2026-04</v>
      </c>
    </row>
    <row r="224" spans="1:15">
      <c r="A224" s="2" t="s">
        <v>625</v>
      </c>
      <c r="B224" s="2" t="s">
        <v>105</v>
      </c>
      <c r="C224" s="9">
        <v>46116</v>
      </c>
      <c r="D224" s="2" t="s">
        <v>317</v>
      </c>
      <c r="E224" s="2" t="s">
        <v>218</v>
      </c>
      <c r="F224" s="2">
        <v>3</v>
      </c>
      <c r="G224" s="2">
        <v>7</v>
      </c>
      <c r="H224" s="2">
        <v>95</v>
      </c>
      <c r="I224" s="2">
        <f>G224*H224</f>
        <v>665</v>
      </c>
      <c r="J224" s="2">
        <f>INDEX('Script List'!$H$2:$H$161,MATCH(B224,'Script List'!$A$2:$A$161,0))</f>
        <v>175</v>
      </c>
      <c r="K224" s="2" t="s">
        <v>21</v>
      </c>
      <c r="L224" s="2">
        <f>I224-J224</f>
        <v>490</v>
      </c>
      <c r="M224" s="2">
        <v>7.7</v>
      </c>
      <c r="N224" s="9">
        <f>DATE(YEAR(C224),MONTH(C224),1)</f>
        <v>46113.0</v>
      </c>
      <c r="O224" s="2" t="str">
        <f>TEXT(N224,"yyyy-mm")</f>
        <v>2026-04</v>
      </c>
    </row>
    <row r="225" spans="1:15">
      <c r="A225" s="2" t="s">
        <v>626</v>
      </c>
      <c r="B225" s="2" t="s">
        <v>105</v>
      </c>
      <c r="C225" s="9">
        <v>46117</v>
      </c>
      <c r="D225" s="2" t="s">
        <v>317</v>
      </c>
      <c r="E225" s="2" t="s">
        <v>218</v>
      </c>
      <c r="F225" s="2">
        <v>3</v>
      </c>
      <c r="G225" s="2">
        <v>7</v>
      </c>
      <c r="H225" s="2">
        <v>95</v>
      </c>
      <c r="I225" s="2">
        <f>G225*H225</f>
        <v>665</v>
      </c>
      <c r="J225" s="2">
        <f>INDEX('Script List'!$H$2:$H$161,MATCH(B225,'Script List'!$A$2:$A$161,0))</f>
        <v>175</v>
      </c>
      <c r="K225" s="2" t="s">
        <v>21</v>
      </c>
      <c r="L225" s="2">
        <f>I225-J225</f>
        <v>490</v>
      </c>
      <c r="M225" s="2">
        <v>7.7</v>
      </c>
      <c r="N225" s="9">
        <f>DATE(YEAR(C225),MONTH(C225),1)</f>
        <v>46113.0</v>
      </c>
      <c r="O225" s="2" t="str">
        <f>TEXT(N225,"yyyy-mm")</f>
        <v>2026-04</v>
      </c>
    </row>
    <row r="226" spans="1:15">
      <c r="A226" s="2" t="s">
        <v>627</v>
      </c>
      <c r="B226" s="2" t="s">
        <v>106</v>
      </c>
      <c r="C226" s="9">
        <v>46118</v>
      </c>
      <c r="D226" s="2" t="s">
        <v>318</v>
      </c>
      <c r="E226" s="2" t="s">
        <v>212</v>
      </c>
      <c r="F226" s="2">
        <v>6</v>
      </c>
      <c r="G226" s="2">
        <v>8</v>
      </c>
      <c r="H226" s="2">
        <v>109</v>
      </c>
      <c r="I226" s="2">
        <f>G226*H226</f>
        <v>872</v>
      </c>
      <c r="J226" s="2">
        <f>INDEX('Script List'!$H$2:$H$161,MATCH(B226,'Script List'!$A$2:$A$161,0))</f>
        <v>540</v>
      </c>
      <c r="K226" s="2" t="s">
        <v>22</v>
      </c>
      <c r="L226" s="2">
        <f>I226-J226</f>
        <v>332</v>
      </c>
      <c r="M226" s="2">
        <v>8.4</v>
      </c>
      <c r="N226" s="9">
        <f>DATE(YEAR(C226),MONTH(C226),1)</f>
        <v>46113.0</v>
      </c>
      <c r="O226" s="2" t="str">
        <f>TEXT(N226,"yyyy-mm")</f>
        <v>2026-04</v>
      </c>
    </row>
    <row r="227" spans="1:15">
      <c r="A227" s="2" t="s">
        <v>628</v>
      </c>
      <c r="B227" s="2" t="s">
        <v>107</v>
      </c>
      <c r="C227" s="9">
        <v>46119</v>
      </c>
      <c r="D227" s="2" t="s">
        <v>319</v>
      </c>
      <c r="E227" s="2" t="s">
        <v>212</v>
      </c>
      <c r="F227" s="2">
        <v>2</v>
      </c>
      <c r="G227" s="2">
        <v>6</v>
      </c>
      <c r="H227" s="2">
        <v>118</v>
      </c>
      <c r="I227" s="2">
        <f>G227*H227</f>
        <v>708</v>
      </c>
      <c r="J227" s="2">
        <f>INDEX('Script List'!$H$2:$H$161,MATCH(B227,'Script List'!$A$2:$A$161,0))</f>
        <v>180</v>
      </c>
      <c r="K227" s="2" t="s">
        <v>22</v>
      </c>
      <c r="L227" s="2">
        <f>I227-J227</f>
        <v>528</v>
      </c>
      <c r="M227" s="2">
        <v>7</v>
      </c>
      <c r="N227" s="9">
        <f>DATE(YEAR(C227),MONTH(C227),1)</f>
        <v>46113.0</v>
      </c>
      <c r="O227" s="2" t="str">
        <f>TEXT(N227,"yyyy-mm")</f>
        <v>2026-04</v>
      </c>
    </row>
    <row r="228" spans="1:15">
      <c r="A228" s="2" t="s">
        <v>629</v>
      </c>
      <c r="B228" s="2" t="s">
        <v>107</v>
      </c>
      <c r="C228" s="9">
        <v>46120</v>
      </c>
      <c r="D228" s="2" t="s">
        <v>319</v>
      </c>
      <c r="E228" s="2" t="s">
        <v>212</v>
      </c>
      <c r="F228" s="2">
        <v>2</v>
      </c>
      <c r="G228" s="2">
        <v>6</v>
      </c>
      <c r="H228" s="2">
        <v>118</v>
      </c>
      <c r="I228" s="2">
        <f>G228*H228</f>
        <v>708</v>
      </c>
      <c r="J228" s="2">
        <f>INDEX('Script List'!$H$2:$H$161,MATCH(B228,'Script List'!$A$2:$A$161,0))</f>
        <v>180</v>
      </c>
      <c r="K228" s="2" t="s">
        <v>22</v>
      </c>
      <c r="L228" s="2">
        <f>I228-J228</f>
        <v>528</v>
      </c>
      <c r="M228" s="2">
        <v>7</v>
      </c>
      <c r="N228" s="9">
        <f>DATE(YEAR(C228),MONTH(C228),1)</f>
        <v>46113.0</v>
      </c>
      <c r="O228" s="2" t="str">
        <f>TEXT(N228,"yyyy-mm")</f>
        <v>2026-04</v>
      </c>
    </row>
    <row r="229" spans="1:15">
      <c r="A229" s="2" t="s">
        <v>630</v>
      </c>
      <c r="B229" s="2" t="s">
        <v>108</v>
      </c>
      <c r="C229" s="9">
        <v>46121</v>
      </c>
      <c r="D229" s="2" t="s">
        <v>320</v>
      </c>
      <c r="E229" s="2" t="s">
        <v>214</v>
      </c>
      <c r="F229" s="2">
        <v>1</v>
      </c>
      <c r="G229" s="2">
        <v>6</v>
      </c>
      <c r="H229" s="2">
        <v>119</v>
      </c>
      <c r="I229" s="2">
        <f>G229*H229</f>
        <v>714</v>
      </c>
      <c r="J229" s="2">
        <f>INDEX('Script List'!$H$2:$H$161,MATCH(B229,'Script List'!$A$2:$A$161,0))</f>
        <v>187</v>
      </c>
      <c r="K229" s="2" t="s">
        <v>20</v>
      </c>
      <c r="L229" s="2">
        <f>I229-J229</f>
        <v>527</v>
      </c>
      <c r="M229" s="2">
        <v>7.7</v>
      </c>
      <c r="N229" s="9">
        <f>DATE(YEAR(C229),MONTH(C229),1)</f>
        <v>46113.0</v>
      </c>
      <c r="O229" s="2" t="str">
        <f>TEXT(N229,"yyyy-mm")</f>
        <v>2026-04</v>
      </c>
    </row>
    <row r="230" spans="1:15">
      <c r="A230" s="2" t="s">
        <v>631</v>
      </c>
      <c r="B230" s="2" t="s">
        <v>108</v>
      </c>
      <c r="C230" s="9">
        <v>46122</v>
      </c>
      <c r="D230" s="2" t="s">
        <v>320</v>
      </c>
      <c r="E230" s="2" t="s">
        <v>214</v>
      </c>
      <c r="F230" s="2">
        <v>1</v>
      </c>
      <c r="G230" s="2">
        <v>6</v>
      </c>
      <c r="H230" s="2">
        <v>119</v>
      </c>
      <c r="I230" s="2">
        <f>G230*H230</f>
        <v>714</v>
      </c>
      <c r="J230" s="2">
        <f>INDEX('Script List'!$H$2:$H$161,MATCH(B230,'Script List'!$A$2:$A$161,0))</f>
        <v>187</v>
      </c>
      <c r="K230" s="2" t="s">
        <v>20</v>
      </c>
      <c r="L230" s="2">
        <f>I230-J230</f>
        <v>527</v>
      </c>
      <c r="M230" s="2">
        <v>7.7</v>
      </c>
      <c r="N230" s="9">
        <f>DATE(YEAR(C230),MONTH(C230),1)</f>
        <v>46113.0</v>
      </c>
      <c r="O230" s="2" t="str">
        <f>TEXT(N230,"yyyy-mm")</f>
        <v>2026-04</v>
      </c>
    </row>
    <row r="231" spans="1:15">
      <c r="A231" s="2" t="s">
        <v>632</v>
      </c>
      <c r="B231" s="2" t="s">
        <v>108</v>
      </c>
      <c r="C231" s="9">
        <v>46123</v>
      </c>
      <c r="D231" s="2" t="s">
        <v>320</v>
      </c>
      <c r="E231" s="2" t="s">
        <v>214</v>
      </c>
      <c r="F231" s="2">
        <v>1</v>
      </c>
      <c r="G231" s="2">
        <v>6</v>
      </c>
      <c r="H231" s="2">
        <v>119</v>
      </c>
      <c r="I231" s="2">
        <f>G231*H231</f>
        <v>714</v>
      </c>
      <c r="J231" s="2">
        <f>INDEX('Script List'!$H$2:$H$161,MATCH(B231,'Script List'!$A$2:$A$161,0))</f>
        <v>187</v>
      </c>
      <c r="K231" s="2" t="s">
        <v>20</v>
      </c>
      <c r="L231" s="2">
        <f>I231-J231</f>
        <v>527</v>
      </c>
      <c r="M231" s="2">
        <v>7.7</v>
      </c>
      <c r="N231" s="9">
        <f>DATE(YEAR(C231),MONTH(C231),1)</f>
        <v>46113.0</v>
      </c>
      <c r="O231" s="2" t="str">
        <f>TEXT(N231,"yyyy-mm")</f>
        <v>2026-04</v>
      </c>
    </row>
    <row r="232" spans="1:15">
      <c r="A232" s="2" t="s">
        <v>633</v>
      </c>
      <c r="B232" s="2" t="s">
        <v>108</v>
      </c>
      <c r="C232" s="9">
        <v>46124</v>
      </c>
      <c r="D232" s="2" t="s">
        <v>320</v>
      </c>
      <c r="E232" s="2" t="s">
        <v>214</v>
      </c>
      <c r="F232" s="2">
        <v>1</v>
      </c>
      <c r="G232" s="2">
        <v>6</v>
      </c>
      <c r="H232" s="2">
        <v>119</v>
      </c>
      <c r="I232" s="2">
        <f>G232*H232</f>
        <v>714</v>
      </c>
      <c r="J232" s="2">
        <f>INDEX('Script List'!$H$2:$H$161,MATCH(B232,'Script List'!$A$2:$A$161,0))</f>
        <v>187</v>
      </c>
      <c r="K232" s="2" t="s">
        <v>20</v>
      </c>
      <c r="L232" s="2">
        <f>I232-J232</f>
        <v>527</v>
      </c>
      <c r="M232" s="2">
        <v>7.7</v>
      </c>
      <c r="N232" s="9">
        <f>DATE(YEAR(C232),MONTH(C232),1)</f>
        <v>46113.0</v>
      </c>
      <c r="O232" s="2" t="str">
        <f>TEXT(N232,"yyyy-mm")</f>
        <v>2026-04</v>
      </c>
    </row>
    <row r="233" spans="1:15">
      <c r="A233" s="2" t="s">
        <v>634</v>
      </c>
      <c r="B233" s="2" t="s">
        <v>108</v>
      </c>
      <c r="C233" s="9">
        <v>46125</v>
      </c>
      <c r="D233" s="2" t="s">
        <v>320</v>
      </c>
      <c r="E233" s="2" t="s">
        <v>214</v>
      </c>
      <c r="F233" s="2">
        <v>1</v>
      </c>
      <c r="G233" s="2">
        <v>6</v>
      </c>
      <c r="H233" s="2">
        <v>119</v>
      </c>
      <c r="I233" s="2">
        <f>G233*H233</f>
        <v>714</v>
      </c>
      <c r="J233" s="2">
        <f>INDEX('Script List'!$H$2:$H$161,MATCH(B233,'Script List'!$A$2:$A$161,0))</f>
        <v>187</v>
      </c>
      <c r="K233" s="2" t="s">
        <v>20</v>
      </c>
      <c r="L233" s="2">
        <f>I233-J233</f>
        <v>527</v>
      </c>
      <c r="M233" s="2">
        <v>7.7</v>
      </c>
      <c r="N233" s="9">
        <f>DATE(YEAR(C233),MONTH(C233),1)</f>
        <v>46113.0</v>
      </c>
      <c r="O233" s="2" t="str">
        <f>TEXT(N233,"yyyy-mm")</f>
        <v>2026-04</v>
      </c>
    </row>
    <row r="234" spans="1:15">
      <c r="A234" s="2" t="s">
        <v>635</v>
      </c>
      <c r="B234" s="2" t="s">
        <v>109</v>
      </c>
      <c r="C234" s="9">
        <v>46126</v>
      </c>
      <c r="D234" s="2" t="s">
        <v>321</v>
      </c>
      <c r="E234" s="2" t="s">
        <v>212</v>
      </c>
      <c r="F234" s="2">
        <v>3</v>
      </c>
      <c r="G234" s="2">
        <v>6</v>
      </c>
      <c r="H234" s="2">
        <v>99</v>
      </c>
      <c r="I234" s="2">
        <f>G234*H234</f>
        <v>594</v>
      </c>
      <c r="J234" s="2">
        <f>INDEX('Script List'!$H$2:$H$161,MATCH(B234,'Script List'!$A$2:$A$161,0))</f>
        <v>270</v>
      </c>
      <c r="K234" s="2" t="s">
        <v>22</v>
      </c>
      <c r="L234" s="2">
        <f>I234-J234</f>
        <v>324</v>
      </c>
      <c r="M234" s="2">
        <v>8.4</v>
      </c>
      <c r="N234" s="9">
        <f>DATE(YEAR(C234),MONTH(C234),1)</f>
        <v>46113.0</v>
      </c>
      <c r="O234" s="2" t="str">
        <f>TEXT(N234,"yyyy-mm")</f>
        <v>2026-04</v>
      </c>
    </row>
    <row r="235" spans="1:15">
      <c r="A235" s="2" t="s">
        <v>636</v>
      </c>
      <c r="B235" s="2" t="s">
        <v>110</v>
      </c>
      <c r="C235" s="9">
        <v>46127</v>
      </c>
      <c r="D235" s="2" t="s">
        <v>322</v>
      </c>
      <c r="E235" s="2" t="s">
        <v>218</v>
      </c>
      <c r="F235" s="2">
        <v>3</v>
      </c>
      <c r="G235" s="2">
        <v>7</v>
      </c>
      <c r="H235" s="2">
        <v>109</v>
      </c>
      <c r="I235" s="2">
        <f>G235*H235</f>
        <v>763</v>
      </c>
      <c r="J235" s="2">
        <f>INDEX('Script List'!$H$2:$H$161,MATCH(B235,'Script List'!$A$2:$A$161,0))</f>
        <v>200</v>
      </c>
      <c r="K235" s="2" t="s">
        <v>21</v>
      </c>
      <c r="L235" s="2">
        <f>I235-J235</f>
        <v>563</v>
      </c>
      <c r="M235" s="2">
        <v>7</v>
      </c>
      <c r="N235" s="9">
        <f>DATE(YEAR(C235),MONTH(C235),1)</f>
        <v>46113.0</v>
      </c>
      <c r="O235" s="2" t="str">
        <f>TEXT(N235,"yyyy-mm")</f>
        <v>2026-04</v>
      </c>
    </row>
    <row r="236" spans="1:15">
      <c r="A236" s="2" t="s">
        <v>637</v>
      </c>
      <c r="B236" s="2" t="s">
        <v>110</v>
      </c>
      <c r="C236" s="9">
        <v>46128</v>
      </c>
      <c r="D236" s="2" t="s">
        <v>322</v>
      </c>
      <c r="E236" s="2" t="s">
        <v>218</v>
      </c>
      <c r="F236" s="2">
        <v>3</v>
      </c>
      <c r="G236" s="2">
        <v>7</v>
      </c>
      <c r="H236" s="2">
        <v>109</v>
      </c>
      <c r="I236" s="2">
        <f>G236*H236</f>
        <v>763</v>
      </c>
      <c r="J236" s="2">
        <f>INDEX('Script List'!$H$2:$H$161,MATCH(B236,'Script List'!$A$2:$A$161,0))</f>
        <v>200</v>
      </c>
      <c r="K236" s="2" t="s">
        <v>21</v>
      </c>
      <c r="L236" s="2">
        <f>I236-J236</f>
        <v>563</v>
      </c>
      <c r="M236" s="2">
        <v>7</v>
      </c>
      <c r="N236" s="9">
        <f>DATE(YEAR(C236),MONTH(C236),1)</f>
        <v>46113.0</v>
      </c>
      <c r="O236" s="2" t="str">
        <f>TEXT(N236,"yyyy-mm")</f>
        <v>2026-04</v>
      </c>
    </row>
    <row r="237" spans="1:15">
      <c r="A237" s="2" t="s">
        <v>638</v>
      </c>
      <c r="B237" s="2" t="s">
        <v>111</v>
      </c>
      <c r="C237" s="9">
        <v>46129</v>
      </c>
      <c r="D237" s="2" t="s">
        <v>323</v>
      </c>
      <c r="E237" s="2" t="s">
        <v>214</v>
      </c>
      <c r="F237" s="2">
        <v>2</v>
      </c>
      <c r="G237" s="2">
        <v>8</v>
      </c>
      <c r="H237" s="2">
        <v>95</v>
      </c>
      <c r="I237" s="2">
        <f>G237*H237</f>
        <v>760</v>
      </c>
      <c r="J237" s="2">
        <f>INDEX('Script List'!$H$2:$H$161,MATCH(B237,'Script List'!$A$2:$A$161,0))</f>
        <v>200</v>
      </c>
      <c r="K237" s="2" t="s">
        <v>20</v>
      </c>
      <c r="L237" s="2">
        <f>I237-J237</f>
        <v>560</v>
      </c>
      <c r="M237" s="2">
        <v>7.7</v>
      </c>
      <c r="N237" s="9">
        <f>DATE(YEAR(C237),MONTH(C237),1)</f>
        <v>46113.0</v>
      </c>
      <c r="O237" s="2" t="str">
        <f>TEXT(N237,"yyyy-mm")</f>
        <v>2026-04</v>
      </c>
    </row>
    <row r="238" spans="1:15">
      <c r="A238" s="2" t="s">
        <v>639</v>
      </c>
      <c r="B238" s="2" t="s">
        <v>111</v>
      </c>
      <c r="C238" s="9">
        <v>46130</v>
      </c>
      <c r="D238" s="2" t="s">
        <v>323</v>
      </c>
      <c r="E238" s="2" t="s">
        <v>214</v>
      </c>
      <c r="F238" s="2">
        <v>2</v>
      </c>
      <c r="G238" s="2">
        <v>8</v>
      </c>
      <c r="H238" s="2">
        <v>95</v>
      </c>
      <c r="I238" s="2">
        <f>G238*H238</f>
        <v>760</v>
      </c>
      <c r="J238" s="2">
        <f>INDEX('Script List'!$H$2:$H$161,MATCH(B238,'Script List'!$A$2:$A$161,0))</f>
        <v>200</v>
      </c>
      <c r="K238" s="2" t="s">
        <v>20</v>
      </c>
      <c r="L238" s="2">
        <f>I238-J238</f>
        <v>560</v>
      </c>
      <c r="M238" s="2">
        <v>7.7</v>
      </c>
      <c r="N238" s="9">
        <f>DATE(YEAR(C238),MONTH(C238),1)</f>
        <v>46113.0</v>
      </c>
      <c r="O238" s="2" t="str">
        <f>TEXT(N238,"yyyy-mm")</f>
        <v>2026-04</v>
      </c>
    </row>
    <row r="239" spans="1:15">
      <c r="A239" s="2" t="s">
        <v>640</v>
      </c>
      <c r="B239" s="2" t="s">
        <v>111</v>
      </c>
      <c r="C239" s="9">
        <v>46131</v>
      </c>
      <c r="D239" s="2" t="s">
        <v>323</v>
      </c>
      <c r="E239" s="2" t="s">
        <v>214</v>
      </c>
      <c r="F239" s="2">
        <v>2</v>
      </c>
      <c r="G239" s="2">
        <v>8</v>
      </c>
      <c r="H239" s="2">
        <v>95</v>
      </c>
      <c r="I239" s="2">
        <f>G239*H239</f>
        <v>760</v>
      </c>
      <c r="J239" s="2">
        <f>INDEX('Script List'!$H$2:$H$161,MATCH(B239,'Script List'!$A$2:$A$161,0))</f>
        <v>200</v>
      </c>
      <c r="K239" s="2" t="s">
        <v>20</v>
      </c>
      <c r="L239" s="2">
        <f>I239-J239</f>
        <v>560</v>
      </c>
      <c r="M239" s="2">
        <v>7.7</v>
      </c>
      <c r="N239" s="9">
        <f>DATE(YEAR(C239),MONTH(C239),1)</f>
        <v>46113.0</v>
      </c>
      <c r="O239" s="2" t="str">
        <f>TEXT(N239,"yyyy-mm")</f>
        <v>2026-04</v>
      </c>
    </row>
    <row r="240" spans="1:15">
      <c r="A240" s="2" t="s">
        <v>641</v>
      </c>
      <c r="B240" s="2" t="s">
        <v>111</v>
      </c>
      <c r="C240" s="9">
        <v>46132</v>
      </c>
      <c r="D240" s="2" t="s">
        <v>323</v>
      </c>
      <c r="E240" s="2" t="s">
        <v>214</v>
      </c>
      <c r="F240" s="2">
        <v>2</v>
      </c>
      <c r="G240" s="2">
        <v>8</v>
      </c>
      <c r="H240" s="2">
        <v>95</v>
      </c>
      <c r="I240" s="2">
        <f>G240*H240</f>
        <v>760</v>
      </c>
      <c r="J240" s="2">
        <f>INDEX('Script List'!$H$2:$H$161,MATCH(B240,'Script List'!$A$2:$A$161,0))</f>
        <v>200</v>
      </c>
      <c r="K240" s="2" t="s">
        <v>20</v>
      </c>
      <c r="L240" s="2">
        <f>I240-J240</f>
        <v>560</v>
      </c>
      <c r="M240" s="2">
        <v>7.7</v>
      </c>
      <c r="N240" s="9">
        <f>DATE(YEAR(C240),MONTH(C240),1)</f>
        <v>46113.0</v>
      </c>
      <c r="O240" s="2" t="str">
        <f>TEXT(N240,"yyyy-mm")</f>
        <v>2026-04</v>
      </c>
    </row>
    <row r="241" spans="1:15">
      <c r="A241" s="2" t="s">
        <v>642</v>
      </c>
      <c r="B241" s="2" t="s">
        <v>111</v>
      </c>
      <c r="C241" s="9">
        <v>46133</v>
      </c>
      <c r="D241" s="2" t="s">
        <v>323</v>
      </c>
      <c r="E241" s="2" t="s">
        <v>214</v>
      </c>
      <c r="F241" s="2">
        <v>2</v>
      </c>
      <c r="G241" s="2">
        <v>8</v>
      </c>
      <c r="H241" s="2">
        <v>95</v>
      </c>
      <c r="I241" s="2">
        <f>G241*H241</f>
        <v>760</v>
      </c>
      <c r="J241" s="2">
        <f>INDEX('Script List'!$H$2:$H$161,MATCH(B241,'Script List'!$A$2:$A$161,0))</f>
        <v>200</v>
      </c>
      <c r="K241" s="2" t="s">
        <v>20</v>
      </c>
      <c r="L241" s="2">
        <f>I241-J241</f>
        <v>560</v>
      </c>
      <c r="M241" s="2">
        <v>7.7</v>
      </c>
      <c r="N241" s="9">
        <f>DATE(YEAR(C241),MONTH(C241),1)</f>
        <v>46113.0</v>
      </c>
      <c r="O241" s="2" t="str">
        <f>TEXT(N241,"yyyy-mm")</f>
        <v>2026-04</v>
      </c>
    </row>
    <row r="242" spans="1:15">
      <c r="A242" s="2" t="s">
        <v>643</v>
      </c>
      <c r="B242" s="2" t="s">
        <v>111</v>
      </c>
      <c r="C242" s="9">
        <v>46133</v>
      </c>
      <c r="D242" s="2" t="s">
        <v>323</v>
      </c>
      <c r="E242" s="2" t="s">
        <v>214</v>
      </c>
      <c r="F242" s="2">
        <v>2</v>
      </c>
      <c r="G242" s="2">
        <v>8</v>
      </c>
      <c r="H242" s="2">
        <v>95</v>
      </c>
      <c r="I242" s="2">
        <f>G242*H242</f>
        <v>760</v>
      </c>
      <c r="J242" s="2">
        <f>INDEX('Script List'!$H$2:$H$161,MATCH(B242,'Script List'!$A$2:$A$161,0))</f>
        <v>200</v>
      </c>
      <c r="K242" s="2" t="s">
        <v>20</v>
      </c>
      <c r="L242" s="2">
        <f>I242-J242</f>
        <v>560</v>
      </c>
      <c r="M242" s="2">
        <v>7.7</v>
      </c>
      <c r="N242" s="9">
        <f>DATE(YEAR(C242),MONTH(C242),1)</f>
        <v>46113.0</v>
      </c>
      <c r="O242" s="2" t="str">
        <f>TEXT(N242,"yyyy-mm")</f>
        <v>2026-04</v>
      </c>
    </row>
    <row r="243" spans="1:15">
      <c r="A243" s="2" t="s">
        <v>644</v>
      </c>
      <c r="B243" s="2" t="s">
        <v>111</v>
      </c>
      <c r="C243" s="9">
        <v>46134</v>
      </c>
      <c r="D243" s="2" t="s">
        <v>323</v>
      </c>
      <c r="E243" s="2" t="s">
        <v>214</v>
      </c>
      <c r="F243" s="2">
        <v>2</v>
      </c>
      <c r="G243" s="2">
        <v>8</v>
      </c>
      <c r="H243" s="2">
        <v>95</v>
      </c>
      <c r="I243" s="2">
        <f>G243*H243</f>
        <v>760</v>
      </c>
      <c r="J243" s="2">
        <f>INDEX('Script List'!$H$2:$H$161,MATCH(B243,'Script List'!$A$2:$A$161,0))</f>
        <v>200</v>
      </c>
      <c r="K243" s="2" t="s">
        <v>20</v>
      </c>
      <c r="L243" s="2">
        <f>I243-J243</f>
        <v>560</v>
      </c>
      <c r="M243" s="2">
        <v>7.7</v>
      </c>
      <c r="N243" s="9">
        <f>DATE(YEAR(C243),MONTH(C243),1)</f>
        <v>46113.0</v>
      </c>
      <c r="O243" s="2" t="str">
        <f>TEXT(N243,"yyyy-mm")</f>
        <v>2026-04</v>
      </c>
    </row>
    <row r="244" spans="1:15">
      <c r="A244" s="2" t="s">
        <v>645</v>
      </c>
      <c r="B244" s="2" t="s">
        <v>112</v>
      </c>
      <c r="C244" s="9">
        <v>46135</v>
      </c>
      <c r="D244" s="2" t="s">
        <v>324</v>
      </c>
      <c r="E244" s="2" t="s">
        <v>212</v>
      </c>
      <c r="F244" s="2">
        <v>2</v>
      </c>
      <c r="G244" s="2">
        <v>6</v>
      </c>
      <c r="H244" s="2">
        <v>138</v>
      </c>
      <c r="I244" s="2">
        <f>G244*H244</f>
        <v>828</v>
      </c>
      <c r="J244" s="2">
        <f>INDEX('Script List'!$H$2:$H$161,MATCH(B244,'Script List'!$A$2:$A$161,0))</f>
        <v>180</v>
      </c>
      <c r="K244" s="2" t="s">
        <v>22</v>
      </c>
      <c r="L244" s="2">
        <f>I244-J244</f>
        <v>648</v>
      </c>
      <c r="M244" s="2">
        <v>8.4</v>
      </c>
      <c r="N244" s="9">
        <f>DATE(YEAR(C244),MONTH(C244),1)</f>
        <v>46113.0</v>
      </c>
      <c r="O244" s="2" t="str">
        <f>TEXT(N244,"yyyy-mm")</f>
        <v>2026-04</v>
      </c>
    </row>
    <row r="245" spans="1:15">
      <c r="A245" s="2" t="s">
        <v>646</v>
      </c>
      <c r="B245" s="2" t="s">
        <v>113</v>
      </c>
      <c r="C245" s="9">
        <v>46136</v>
      </c>
      <c r="D245" s="2" t="s">
        <v>325</v>
      </c>
      <c r="E245" s="2" t="s">
        <v>223</v>
      </c>
      <c r="F245" s="2">
        <v>1</v>
      </c>
      <c r="G245" s="2">
        <v>6</v>
      </c>
      <c r="H245" s="2">
        <v>109</v>
      </c>
      <c r="I245" s="2">
        <f>G245*H245</f>
        <v>654</v>
      </c>
      <c r="J245" s="2">
        <f>INDEX('Script List'!$H$2:$H$161,MATCH(B245,'Script List'!$A$2:$A$161,0))</f>
        <v>172</v>
      </c>
      <c r="K245" s="2" t="s">
        <v>20</v>
      </c>
      <c r="L245" s="2">
        <f>I245-J245</f>
        <v>482</v>
      </c>
      <c r="M245" s="2">
        <v>7</v>
      </c>
      <c r="N245" s="9">
        <f>DATE(YEAR(C245),MONTH(C245),1)</f>
        <v>46113.0</v>
      </c>
      <c r="O245" s="2" t="str">
        <f>TEXT(N245,"yyyy-mm")</f>
        <v>2026-04</v>
      </c>
    </row>
    <row r="246" spans="1:15">
      <c r="A246" s="2" t="s">
        <v>647</v>
      </c>
      <c r="B246" s="2" t="s">
        <v>113</v>
      </c>
      <c r="C246" s="9">
        <v>46137</v>
      </c>
      <c r="D246" s="2" t="s">
        <v>325</v>
      </c>
      <c r="E246" s="2" t="s">
        <v>223</v>
      </c>
      <c r="F246" s="2">
        <v>1</v>
      </c>
      <c r="G246" s="2">
        <v>6</v>
      </c>
      <c r="H246" s="2">
        <v>109</v>
      </c>
      <c r="I246" s="2">
        <f>G246*H246</f>
        <v>654</v>
      </c>
      <c r="J246" s="2">
        <f>INDEX('Script List'!$H$2:$H$161,MATCH(B246,'Script List'!$A$2:$A$161,0))</f>
        <v>172</v>
      </c>
      <c r="K246" s="2" t="s">
        <v>20</v>
      </c>
      <c r="L246" s="2">
        <f>I246-J246</f>
        <v>482</v>
      </c>
      <c r="M246" s="2">
        <v>7</v>
      </c>
      <c r="N246" s="9">
        <f>DATE(YEAR(C246),MONTH(C246),1)</f>
        <v>46113.0</v>
      </c>
      <c r="O246" s="2" t="str">
        <f>TEXT(N246,"yyyy-mm")</f>
        <v>2026-04</v>
      </c>
    </row>
    <row r="247" spans="1:15">
      <c r="A247" s="2" t="s">
        <v>648</v>
      </c>
      <c r="B247" s="2" t="s">
        <v>113</v>
      </c>
      <c r="C247" s="9">
        <v>46138</v>
      </c>
      <c r="D247" s="2" t="s">
        <v>325</v>
      </c>
      <c r="E247" s="2" t="s">
        <v>223</v>
      </c>
      <c r="F247" s="2">
        <v>1</v>
      </c>
      <c r="G247" s="2">
        <v>6</v>
      </c>
      <c r="H247" s="2">
        <v>109</v>
      </c>
      <c r="I247" s="2">
        <f>G247*H247</f>
        <v>654</v>
      </c>
      <c r="J247" s="2">
        <f>INDEX('Script List'!$H$2:$H$161,MATCH(B247,'Script List'!$A$2:$A$161,0))</f>
        <v>172</v>
      </c>
      <c r="K247" s="2" t="s">
        <v>20</v>
      </c>
      <c r="L247" s="2">
        <f>I247-J247</f>
        <v>482</v>
      </c>
      <c r="M247" s="2">
        <v>7</v>
      </c>
      <c r="N247" s="9">
        <f>DATE(YEAR(C247),MONTH(C247),1)</f>
        <v>46113.0</v>
      </c>
      <c r="O247" s="2" t="str">
        <f>TEXT(N247,"yyyy-mm")</f>
        <v>2026-04</v>
      </c>
    </row>
    <row r="248" spans="1:15">
      <c r="A248" s="2" t="s">
        <v>649</v>
      </c>
      <c r="B248" s="2" t="s">
        <v>114</v>
      </c>
      <c r="C248" s="9">
        <v>46139</v>
      </c>
      <c r="D248" s="2" t="s">
        <v>326</v>
      </c>
      <c r="E248" s="2" t="s">
        <v>214</v>
      </c>
      <c r="F248" s="2">
        <v>1</v>
      </c>
      <c r="G248" s="2">
        <v>6</v>
      </c>
      <c r="H248" s="2">
        <v>75</v>
      </c>
      <c r="I248" s="2">
        <f>G248*H248</f>
        <v>450</v>
      </c>
      <c r="J248" s="2">
        <f>INDEX('Script List'!$H$2:$H$161,MATCH(B248,'Script List'!$A$2:$A$161,0))</f>
        <v>118</v>
      </c>
      <c r="K248" s="2" t="s">
        <v>22</v>
      </c>
      <c r="L248" s="2">
        <f>I248-J248</f>
        <v>332</v>
      </c>
      <c r="M248" s="2">
        <v>7.7</v>
      </c>
      <c r="N248" s="9">
        <f>DATE(YEAR(C248),MONTH(C248),1)</f>
        <v>46113.0</v>
      </c>
      <c r="O248" s="2" t="str">
        <f>TEXT(N248,"yyyy-mm")</f>
        <v>2026-04</v>
      </c>
    </row>
    <row r="249" spans="1:15">
      <c r="A249" s="2" t="s">
        <v>650</v>
      </c>
      <c r="B249" s="2" t="s">
        <v>114</v>
      </c>
      <c r="C249" s="9">
        <v>46140</v>
      </c>
      <c r="D249" s="2" t="s">
        <v>326</v>
      </c>
      <c r="E249" s="2" t="s">
        <v>214</v>
      </c>
      <c r="F249" s="2">
        <v>1</v>
      </c>
      <c r="G249" s="2">
        <v>6</v>
      </c>
      <c r="H249" s="2">
        <v>75</v>
      </c>
      <c r="I249" s="2">
        <f>G249*H249</f>
        <v>450</v>
      </c>
      <c r="J249" s="2">
        <f>INDEX('Script List'!$H$2:$H$161,MATCH(B249,'Script List'!$A$2:$A$161,0))</f>
        <v>118</v>
      </c>
      <c r="K249" s="2" t="s">
        <v>22</v>
      </c>
      <c r="L249" s="2">
        <f>I249-J249</f>
        <v>332</v>
      </c>
      <c r="M249" s="2">
        <v>7.7</v>
      </c>
      <c r="N249" s="9">
        <f>DATE(YEAR(C249),MONTH(C249),1)</f>
        <v>46113.0</v>
      </c>
      <c r="O249" s="2" t="str">
        <f>TEXT(N249,"yyyy-mm")</f>
        <v>2026-04</v>
      </c>
    </row>
    <row r="250" spans="1:15">
      <c r="A250" s="2" t="s">
        <v>651</v>
      </c>
      <c r="B250" s="2" t="s">
        <v>114</v>
      </c>
      <c r="C250" s="9">
        <v>46141</v>
      </c>
      <c r="D250" s="2" t="s">
        <v>326</v>
      </c>
      <c r="E250" s="2" t="s">
        <v>214</v>
      </c>
      <c r="F250" s="2">
        <v>1</v>
      </c>
      <c r="G250" s="2">
        <v>6</v>
      </c>
      <c r="H250" s="2">
        <v>75</v>
      </c>
      <c r="I250" s="2">
        <f>G250*H250</f>
        <v>450</v>
      </c>
      <c r="J250" s="2">
        <f>INDEX('Script List'!$H$2:$H$161,MATCH(B250,'Script List'!$A$2:$A$161,0))</f>
        <v>118</v>
      </c>
      <c r="K250" s="2" t="s">
        <v>22</v>
      </c>
      <c r="L250" s="2">
        <f>I250-J250</f>
        <v>332</v>
      </c>
      <c r="M250" s="2">
        <v>7.7</v>
      </c>
      <c r="N250" s="9">
        <f>DATE(YEAR(C250),MONTH(C250),1)</f>
        <v>46113.0</v>
      </c>
      <c r="O250" s="2" t="str">
        <f>TEXT(N250,"yyyy-mm")</f>
        <v>2026-04</v>
      </c>
    </row>
    <row r="251" spans="1:15">
      <c r="A251" s="2" t="s">
        <v>652</v>
      </c>
      <c r="B251" s="2" t="s">
        <v>114</v>
      </c>
      <c r="C251" s="9">
        <v>46142</v>
      </c>
      <c r="D251" s="2" t="s">
        <v>326</v>
      </c>
      <c r="E251" s="2" t="s">
        <v>214</v>
      </c>
      <c r="F251" s="2">
        <v>1</v>
      </c>
      <c r="G251" s="2">
        <v>6</v>
      </c>
      <c r="H251" s="2">
        <v>75</v>
      </c>
      <c r="I251" s="2">
        <f>G251*H251</f>
        <v>450</v>
      </c>
      <c r="J251" s="2">
        <f>INDEX('Script List'!$H$2:$H$161,MATCH(B251,'Script List'!$A$2:$A$161,0))</f>
        <v>118</v>
      </c>
      <c r="K251" s="2" t="s">
        <v>22</v>
      </c>
      <c r="L251" s="2">
        <f>I251-J251</f>
        <v>332</v>
      </c>
      <c r="M251" s="2">
        <v>7.7</v>
      </c>
      <c r="N251" s="9">
        <f>DATE(YEAR(C251),MONTH(C251),1)</f>
        <v>46113.0</v>
      </c>
      <c r="O251" s="2" t="str">
        <f>TEXT(N251,"yyyy-mm")</f>
        <v>2026-04</v>
      </c>
    </row>
    <row r="252" spans="1:15">
      <c r="A252" s="2" t="s">
        <v>653</v>
      </c>
      <c r="B252" s="2" t="s">
        <v>114</v>
      </c>
      <c r="C252" s="9">
        <v>46143</v>
      </c>
      <c r="D252" s="2" t="s">
        <v>326</v>
      </c>
      <c r="E252" s="2" t="s">
        <v>214</v>
      </c>
      <c r="F252" s="2">
        <v>1</v>
      </c>
      <c r="G252" s="2">
        <v>6</v>
      </c>
      <c r="H252" s="2">
        <v>75</v>
      </c>
      <c r="I252" s="2">
        <f>G252*H252</f>
        <v>450</v>
      </c>
      <c r="J252" s="2">
        <f>INDEX('Script List'!$H$2:$H$161,MATCH(B252,'Script List'!$A$2:$A$161,0))</f>
        <v>118</v>
      </c>
      <c r="K252" s="2" t="s">
        <v>22</v>
      </c>
      <c r="L252" s="2">
        <f>I252-J252</f>
        <v>332</v>
      </c>
      <c r="M252" s="2">
        <v>7.7</v>
      </c>
      <c r="N252" s="9">
        <f>DATE(YEAR(C252),MONTH(C252),1)</f>
        <v>46143.0</v>
      </c>
      <c r="O252" s="2" t="str">
        <f>TEXT(N252,"yyyy-mm")</f>
        <v>2026-05</v>
      </c>
    </row>
    <row r="253" spans="1:15">
      <c r="A253" s="2" t="s">
        <v>654</v>
      </c>
      <c r="B253" s="2" t="s">
        <v>114</v>
      </c>
      <c r="C253" s="9">
        <v>46144</v>
      </c>
      <c r="D253" s="2" t="s">
        <v>326</v>
      </c>
      <c r="E253" s="2" t="s">
        <v>214</v>
      </c>
      <c r="F253" s="2">
        <v>1</v>
      </c>
      <c r="G253" s="2">
        <v>6</v>
      </c>
      <c r="H253" s="2">
        <v>75</v>
      </c>
      <c r="I253" s="2">
        <f>G253*H253</f>
        <v>450</v>
      </c>
      <c r="J253" s="2">
        <f>INDEX('Script List'!$H$2:$H$161,MATCH(B253,'Script List'!$A$2:$A$161,0))</f>
        <v>118</v>
      </c>
      <c r="K253" s="2" t="s">
        <v>22</v>
      </c>
      <c r="L253" s="2">
        <f>I253-J253</f>
        <v>332</v>
      </c>
      <c r="M253" s="2">
        <v>7.7</v>
      </c>
      <c r="N253" s="9">
        <f>DATE(YEAR(C253),MONTH(C253),1)</f>
        <v>46143.0</v>
      </c>
      <c r="O253" s="2" t="str">
        <f>TEXT(N253,"yyyy-mm")</f>
        <v>2026-05</v>
      </c>
    </row>
    <row r="254" spans="1:15">
      <c r="A254" s="2" t="s">
        <v>655</v>
      </c>
      <c r="B254" s="2" t="s">
        <v>114</v>
      </c>
      <c r="C254" s="9">
        <v>46145</v>
      </c>
      <c r="D254" s="2" t="s">
        <v>326</v>
      </c>
      <c r="E254" s="2" t="s">
        <v>214</v>
      </c>
      <c r="F254" s="2">
        <v>1</v>
      </c>
      <c r="G254" s="2">
        <v>6</v>
      </c>
      <c r="H254" s="2">
        <v>75</v>
      </c>
      <c r="I254" s="2">
        <f>G254*H254</f>
        <v>450</v>
      </c>
      <c r="J254" s="2">
        <f>INDEX('Script List'!$H$2:$H$161,MATCH(B254,'Script List'!$A$2:$A$161,0))</f>
        <v>118</v>
      </c>
      <c r="K254" s="2" t="s">
        <v>22</v>
      </c>
      <c r="L254" s="2">
        <f>I254-J254</f>
        <v>332</v>
      </c>
      <c r="M254" s="2">
        <v>7.7</v>
      </c>
      <c r="N254" s="9">
        <f>DATE(YEAR(C254),MONTH(C254),1)</f>
        <v>46143.0</v>
      </c>
      <c r="O254" s="2" t="str">
        <f>TEXT(N254,"yyyy-mm")</f>
        <v>2026-05</v>
      </c>
    </row>
    <row r="255" spans="1:15">
      <c r="A255" s="2" t="s">
        <v>656</v>
      </c>
      <c r="B255" s="2" t="s">
        <v>114</v>
      </c>
      <c r="C255" s="9">
        <v>46146</v>
      </c>
      <c r="D255" s="2" t="s">
        <v>326</v>
      </c>
      <c r="E255" s="2" t="s">
        <v>214</v>
      </c>
      <c r="F255" s="2">
        <v>1</v>
      </c>
      <c r="G255" s="2">
        <v>6</v>
      </c>
      <c r="H255" s="2">
        <v>75</v>
      </c>
      <c r="I255" s="2">
        <f>G255*H255</f>
        <v>450</v>
      </c>
      <c r="J255" s="2">
        <f>INDEX('Script List'!$H$2:$H$161,MATCH(B255,'Script List'!$A$2:$A$161,0))</f>
        <v>118</v>
      </c>
      <c r="K255" s="2" t="s">
        <v>22</v>
      </c>
      <c r="L255" s="2">
        <f>I255-J255</f>
        <v>332</v>
      </c>
      <c r="M255" s="2">
        <v>7.7</v>
      </c>
      <c r="N255" s="9">
        <f>DATE(YEAR(C255),MONTH(C255),1)</f>
        <v>46143.0</v>
      </c>
      <c r="O255" s="2" t="str">
        <f>TEXT(N255,"yyyy-mm")</f>
        <v>2026-05</v>
      </c>
    </row>
    <row r="256" spans="1:15">
      <c r="A256" s="2" t="s">
        <v>657</v>
      </c>
      <c r="B256" s="2" t="s">
        <v>114</v>
      </c>
      <c r="C256" s="9">
        <v>46147</v>
      </c>
      <c r="D256" s="2" t="s">
        <v>326</v>
      </c>
      <c r="E256" s="2" t="s">
        <v>214</v>
      </c>
      <c r="F256" s="2">
        <v>1</v>
      </c>
      <c r="G256" s="2">
        <v>6</v>
      </c>
      <c r="H256" s="2">
        <v>75</v>
      </c>
      <c r="I256" s="2">
        <f>G256*H256</f>
        <v>450</v>
      </c>
      <c r="J256" s="2">
        <f>INDEX('Script List'!$H$2:$H$161,MATCH(B256,'Script List'!$A$2:$A$161,0))</f>
        <v>118</v>
      </c>
      <c r="K256" s="2" t="s">
        <v>22</v>
      </c>
      <c r="L256" s="2">
        <f>I256-J256</f>
        <v>332</v>
      </c>
      <c r="M256" s="2">
        <v>7.7</v>
      </c>
      <c r="N256" s="9">
        <f>DATE(YEAR(C256),MONTH(C256),1)</f>
        <v>46143.0</v>
      </c>
      <c r="O256" s="2" t="str">
        <f>TEXT(N256,"yyyy-mm")</f>
        <v>2026-05</v>
      </c>
    </row>
    <row r="257" spans="1:15">
      <c r="A257" s="2" t="s">
        <v>658</v>
      </c>
      <c r="B257" s="2" t="s">
        <v>114</v>
      </c>
      <c r="C257" s="9">
        <v>46148</v>
      </c>
      <c r="D257" s="2" t="s">
        <v>326</v>
      </c>
      <c r="E257" s="2" t="s">
        <v>214</v>
      </c>
      <c r="F257" s="2">
        <v>1</v>
      </c>
      <c r="G257" s="2">
        <v>6</v>
      </c>
      <c r="H257" s="2">
        <v>75</v>
      </c>
      <c r="I257" s="2">
        <f>G257*H257</f>
        <v>450</v>
      </c>
      <c r="J257" s="2">
        <f>INDEX('Script List'!$H$2:$H$161,MATCH(B257,'Script List'!$A$2:$A$161,0))</f>
        <v>118</v>
      </c>
      <c r="K257" s="2" t="s">
        <v>22</v>
      </c>
      <c r="L257" s="2">
        <f>I257-J257</f>
        <v>332</v>
      </c>
      <c r="M257" s="2">
        <v>7.7</v>
      </c>
      <c r="N257" s="9">
        <f>DATE(YEAR(C257),MONTH(C257),1)</f>
        <v>46143.0</v>
      </c>
      <c r="O257" s="2" t="str">
        <f>TEXT(N257,"yyyy-mm")</f>
        <v>2026-05</v>
      </c>
    </row>
    <row r="258" spans="1:15">
      <c r="A258" s="2" t="s">
        <v>659</v>
      </c>
      <c r="B258" s="2" t="s">
        <v>115</v>
      </c>
      <c r="C258" s="9">
        <v>46149</v>
      </c>
      <c r="D258" s="2" t="s">
        <v>327</v>
      </c>
      <c r="E258" s="2" t="s">
        <v>218</v>
      </c>
      <c r="F258" s="2">
        <v>3</v>
      </c>
      <c r="G258" s="2">
        <v>7</v>
      </c>
      <c r="H258" s="2">
        <v>118</v>
      </c>
      <c r="I258" s="2">
        <f>G258*H258</f>
        <v>826</v>
      </c>
      <c r="J258" s="2">
        <f>INDEX('Script List'!$H$2:$H$161,MATCH(B258,'Script List'!$A$2:$A$161,0))</f>
        <v>217</v>
      </c>
      <c r="K258" s="2" t="s">
        <v>21</v>
      </c>
      <c r="L258" s="2">
        <f>I258-J258</f>
        <v>609</v>
      </c>
      <c r="M258" s="2">
        <v>8.4</v>
      </c>
      <c r="N258" s="9">
        <f>DATE(YEAR(C258),MONTH(C258),1)</f>
        <v>46143.0</v>
      </c>
      <c r="O258" s="2" t="str">
        <f>TEXT(N258,"yyyy-mm")</f>
        <v>2026-05</v>
      </c>
    </row>
    <row r="259" spans="1:15">
      <c r="A259" s="2" t="s">
        <v>660</v>
      </c>
      <c r="B259" s="2" t="s">
        <v>116</v>
      </c>
      <c r="C259" s="9">
        <v>46150</v>
      </c>
      <c r="D259" s="2" t="s">
        <v>328</v>
      </c>
      <c r="E259" s="2" t="s">
        <v>212</v>
      </c>
      <c r="F259" s="2">
        <v>6</v>
      </c>
      <c r="G259" s="2">
        <v>8</v>
      </c>
      <c r="H259" s="2">
        <v>138</v>
      </c>
      <c r="I259" s="2">
        <f>G259*H259</f>
        <v>1104</v>
      </c>
      <c r="J259" s="2">
        <f>INDEX('Script List'!$H$2:$H$161,MATCH(B259,'Script List'!$A$2:$A$161,0))</f>
        <v>540</v>
      </c>
      <c r="K259" s="2" t="s">
        <v>22</v>
      </c>
      <c r="L259" s="2">
        <f>I259-J259</f>
        <v>564</v>
      </c>
      <c r="M259" s="2">
        <v>7</v>
      </c>
      <c r="N259" s="9">
        <f>DATE(YEAR(C259),MONTH(C259),1)</f>
        <v>46143.0</v>
      </c>
      <c r="O259" s="2" t="str">
        <f>TEXT(N259,"yyyy-mm")</f>
        <v>2026-05</v>
      </c>
    </row>
    <row r="260" spans="1:15">
      <c r="A260" s="2" t="s">
        <v>661</v>
      </c>
      <c r="B260" s="2" t="s">
        <v>116</v>
      </c>
      <c r="C260" s="9">
        <v>46151</v>
      </c>
      <c r="D260" s="2" t="s">
        <v>328</v>
      </c>
      <c r="E260" s="2" t="s">
        <v>212</v>
      </c>
      <c r="F260" s="2">
        <v>6</v>
      </c>
      <c r="G260" s="2">
        <v>8</v>
      </c>
      <c r="H260" s="2">
        <v>138</v>
      </c>
      <c r="I260" s="2">
        <f>G260*H260</f>
        <v>1104</v>
      </c>
      <c r="J260" s="2">
        <f>INDEX('Script List'!$H$2:$H$161,MATCH(B260,'Script List'!$A$2:$A$161,0))</f>
        <v>540</v>
      </c>
      <c r="K260" s="2" t="s">
        <v>22</v>
      </c>
      <c r="L260" s="2">
        <f>I260-J260</f>
        <v>564</v>
      </c>
      <c r="M260" s="2">
        <v>7</v>
      </c>
      <c r="N260" s="9">
        <f>DATE(YEAR(C260),MONTH(C260),1)</f>
        <v>46143.0</v>
      </c>
      <c r="O260" s="2" t="str">
        <f>TEXT(N260,"yyyy-mm")</f>
        <v>2026-05</v>
      </c>
    </row>
    <row r="261" spans="1:15">
      <c r="A261" s="2" t="s">
        <v>662</v>
      </c>
      <c r="B261" s="2" t="s">
        <v>116</v>
      </c>
      <c r="C261" s="9">
        <v>46152</v>
      </c>
      <c r="D261" s="2" t="s">
        <v>328</v>
      </c>
      <c r="E261" s="2" t="s">
        <v>212</v>
      </c>
      <c r="F261" s="2">
        <v>6</v>
      </c>
      <c r="G261" s="2">
        <v>8</v>
      </c>
      <c r="H261" s="2">
        <v>138</v>
      </c>
      <c r="I261" s="2">
        <f>G261*H261</f>
        <v>1104</v>
      </c>
      <c r="J261" s="2">
        <f>INDEX('Script List'!$H$2:$H$161,MATCH(B261,'Script List'!$A$2:$A$161,0))</f>
        <v>540</v>
      </c>
      <c r="K261" s="2" t="s">
        <v>22</v>
      </c>
      <c r="L261" s="2">
        <f>I261-J261</f>
        <v>564</v>
      </c>
      <c r="M261" s="2">
        <v>7</v>
      </c>
      <c r="N261" s="9">
        <f>DATE(YEAR(C261),MONTH(C261),1)</f>
        <v>46143.0</v>
      </c>
      <c r="O261" s="2" t="str">
        <f>TEXT(N261,"yyyy-mm")</f>
        <v>2026-05</v>
      </c>
    </row>
    <row r="262" spans="1:15">
      <c r="A262" s="2" t="s">
        <v>663</v>
      </c>
      <c r="B262" s="2" t="s">
        <v>117</v>
      </c>
      <c r="C262" s="9">
        <v>46153</v>
      </c>
      <c r="D262" s="2" t="s">
        <v>331</v>
      </c>
      <c r="E262" s="2" t="s">
        <v>214</v>
      </c>
      <c r="F262" s="2">
        <v>1</v>
      </c>
      <c r="G262" s="2">
        <v>6</v>
      </c>
      <c r="H262" s="2">
        <v>75</v>
      </c>
      <c r="I262" s="2">
        <f>G262*H262</f>
        <v>450</v>
      </c>
      <c r="J262" s="2">
        <f>INDEX('Script List'!$H$2:$H$161,MATCH(B262,'Script List'!$A$2:$A$161,0))</f>
        <v>118</v>
      </c>
      <c r="K262" s="2" t="s">
        <v>20</v>
      </c>
      <c r="L262" s="2">
        <f>I262-J262</f>
        <v>332</v>
      </c>
      <c r="M262" s="2">
        <v>8.4</v>
      </c>
      <c r="N262" s="9">
        <f>DATE(YEAR(C262),MONTH(C262),1)</f>
        <v>46143.0</v>
      </c>
      <c r="O262" s="2" t="str">
        <f>TEXT(N262,"yyyy-mm")</f>
        <v>2026-05</v>
      </c>
    </row>
    <row r="263" spans="1:15">
      <c r="A263" s="2" t="s">
        <v>664</v>
      </c>
      <c r="B263" s="2" t="s">
        <v>118</v>
      </c>
      <c r="C263" s="9">
        <v>46154</v>
      </c>
      <c r="D263" s="2" t="s">
        <v>332</v>
      </c>
      <c r="E263" s="2" t="s">
        <v>212</v>
      </c>
      <c r="F263" s="2">
        <v>3</v>
      </c>
      <c r="G263" s="2">
        <v>6</v>
      </c>
      <c r="H263" s="2">
        <v>118</v>
      </c>
      <c r="I263" s="2">
        <f>G263*H263</f>
        <v>708</v>
      </c>
      <c r="J263" s="2">
        <f>INDEX('Script List'!$H$2:$H$161,MATCH(B263,'Script List'!$A$2:$A$161,0))</f>
        <v>270</v>
      </c>
      <c r="K263" s="2" t="s">
        <v>22</v>
      </c>
      <c r="L263" s="2">
        <f>I263-J263</f>
        <v>438</v>
      </c>
      <c r="M263" s="2">
        <v>7</v>
      </c>
      <c r="N263" s="9">
        <f>DATE(YEAR(C263),MONTH(C263),1)</f>
        <v>46143.0</v>
      </c>
      <c r="O263" s="2" t="str">
        <f>TEXT(N263,"yyyy-mm")</f>
        <v>2026-05</v>
      </c>
    </row>
    <row r="264" spans="1:15">
      <c r="A264" s="2" t="s">
        <v>665</v>
      </c>
      <c r="B264" s="2" t="s">
        <v>118</v>
      </c>
      <c r="C264" s="9">
        <v>46155</v>
      </c>
      <c r="D264" s="2" t="s">
        <v>332</v>
      </c>
      <c r="E264" s="2" t="s">
        <v>212</v>
      </c>
      <c r="F264" s="2">
        <v>3</v>
      </c>
      <c r="G264" s="2">
        <v>6</v>
      </c>
      <c r="H264" s="2">
        <v>118</v>
      </c>
      <c r="I264" s="2">
        <f>G264*H264</f>
        <v>708</v>
      </c>
      <c r="J264" s="2">
        <f>INDEX('Script List'!$H$2:$H$161,MATCH(B264,'Script List'!$A$2:$A$161,0))</f>
        <v>270</v>
      </c>
      <c r="K264" s="2" t="s">
        <v>22</v>
      </c>
      <c r="L264" s="2">
        <f>I264-J264</f>
        <v>438</v>
      </c>
      <c r="M264" s="2">
        <v>7</v>
      </c>
      <c r="N264" s="9">
        <f>DATE(YEAR(C264),MONTH(C264),1)</f>
        <v>46143.0</v>
      </c>
      <c r="O264" s="2" t="str">
        <f>TEXT(N264,"yyyy-mm")</f>
        <v>2026-05</v>
      </c>
    </row>
    <row r="265" spans="1:15">
      <c r="A265" s="2" t="s">
        <v>666</v>
      </c>
      <c r="B265" s="2" t="s">
        <v>118</v>
      </c>
      <c r="C265" s="9">
        <v>46156</v>
      </c>
      <c r="D265" s="2" t="s">
        <v>332</v>
      </c>
      <c r="E265" s="2" t="s">
        <v>212</v>
      </c>
      <c r="F265" s="2">
        <v>3</v>
      </c>
      <c r="G265" s="2">
        <v>6</v>
      </c>
      <c r="H265" s="2">
        <v>118</v>
      </c>
      <c r="I265" s="2">
        <f>G265*H265</f>
        <v>708</v>
      </c>
      <c r="J265" s="2">
        <f>INDEX('Script List'!$H$2:$H$161,MATCH(B265,'Script List'!$A$2:$A$161,0))</f>
        <v>270</v>
      </c>
      <c r="K265" s="2" t="s">
        <v>22</v>
      </c>
      <c r="L265" s="2">
        <f>I265-J265</f>
        <v>438</v>
      </c>
      <c r="M265" s="2">
        <v>7</v>
      </c>
      <c r="N265" s="9">
        <f>DATE(YEAR(C265),MONTH(C265),1)</f>
        <v>46143.0</v>
      </c>
      <c r="O265" s="2" t="str">
        <f>TEXT(N265,"yyyy-mm")</f>
        <v>2026-05</v>
      </c>
    </row>
    <row r="266" spans="1:15">
      <c r="A266" s="2" t="s">
        <v>667</v>
      </c>
      <c r="B266" s="2" t="s">
        <v>119</v>
      </c>
      <c r="C266" s="9">
        <v>46157</v>
      </c>
      <c r="D266" s="2" t="s">
        <v>335</v>
      </c>
      <c r="E266" s="2" t="s">
        <v>214</v>
      </c>
      <c r="F266" s="2">
        <v>2</v>
      </c>
      <c r="G266" s="2">
        <v>8</v>
      </c>
      <c r="H266" s="2">
        <v>65</v>
      </c>
      <c r="I266" s="2">
        <f>G266*H266</f>
        <v>520</v>
      </c>
      <c r="J266" s="2">
        <f>INDEX('Script List'!$H$2:$H$161,MATCH(B266,'Script List'!$A$2:$A$161,0))</f>
        <v>137</v>
      </c>
      <c r="K266" s="2" t="s">
        <v>20</v>
      </c>
      <c r="L266" s="2">
        <f>I266-J266</f>
        <v>383</v>
      </c>
      <c r="M266" s="2">
        <v>8.4</v>
      </c>
      <c r="N266" s="9">
        <f>DATE(YEAR(C266),MONTH(C266),1)</f>
        <v>46143.0</v>
      </c>
      <c r="O266" s="2" t="str">
        <f>TEXT(N266,"yyyy-mm")</f>
        <v>2026-05</v>
      </c>
    </row>
    <row r="267" spans="1:15">
      <c r="A267" s="2" t="s">
        <v>668</v>
      </c>
      <c r="B267" s="2" t="s">
        <v>119</v>
      </c>
      <c r="C267" s="9">
        <v>46158</v>
      </c>
      <c r="D267" s="2" t="s">
        <v>335</v>
      </c>
      <c r="E267" s="2" t="s">
        <v>214</v>
      </c>
      <c r="F267" s="2">
        <v>2</v>
      </c>
      <c r="G267" s="2">
        <v>8</v>
      </c>
      <c r="H267" s="2">
        <v>65</v>
      </c>
      <c r="I267" s="2">
        <f>G267*H267</f>
        <v>520</v>
      </c>
      <c r="J267" s="2">
        <f>INDEX('Script List'!$H$2:$H$161,MATCH(B267,'Script List'!$A$2:$A$161,0))</f>
        <v>137</v>
      </c>
      <c r="K267" s="2" t="s">
        <v>20</v>
      </c>
      <c r="L267" s="2">
        <f>I267-J267</f>
        <v>383</v>
      </c>
      <c r="M267" s="2">
        <v>8.4</v>
      </c>
      <c r="N267" s="9">
        <f>DATE(YEAR(C267),MONTH(C267),1)</f>
        <v>46143.0</v>
      </c>
      <c r="O267" s="2" t="str">
        <f>TEXT(N267,"yyyy-mm")</f>
        <v>2026-05</v>
      </c>
    </row>
    <row r="268" spans="1:15">
      <c r="A268" s="2" t="s">
        <v>669</v>
      </c>
      <c r="B268" s="2" t="s">
        <v>120</v>
      </c>
      <c r="C268" s="9">
        <v>46159</v>
      </c>
      <c r="D268" s="2" t="s">
        <v>336</v>
      </c>
      <c r="E268" s="2" t="s">
        <v>212</v>
      </c>
      <c r="F268" s="2">
        <v>2</v>
      </c>
      <c r="G268" s="2">
        <v>6</v>
      </c>
      <c r="H268" s="2">
        <v>109</v>
      </c>
      <c r="I268" s="2">
        <f>G268*H268</f>
        <v>654</v>
      </c>
      <c r="J268" s="2">
        <f>INDEX('Script List'!$H$2:$H$161,MATCH(B268,'Script List'!$A$2:$A$161,0))</f>
        <v>180</v>
      </c>
      <c r="K268" s="2" t="s">
        <v>22</v>
      </c>
      <c r="L268" s="2">
        <f>I268-J268</f>
        <v>474</v>
      </c>
      <c r="M268" s="2">
        <v>7</v>
      </c>
      <c r="N268" s="9">
        <f>DATE(YEAR(C268),MONTH(C268),1)</f>
        <v>46143.0</v>
      </c>
      <c r="O268" s="2" t="str">
        <f>TEXT(N268,"yyyy-mm")</f>
        <v>2026-05</v>
      </c>
    </row>
    <row r="269" spans="1:15">
      <c r="A269" s="2" t="s">
        <v>670</v>
      </c>
      <c r="B269" s="2" t="s">
        <v>120</v>
      </c>
      <c r="C269" s="9">
        <v>46160</v>
      </c>
      <c r="D269" s="2" t="s">
        <v>336</v>
      </c>
      <c r="E269" s="2" t="s">
        <v>212</v>
      </c>
      <c r="F269" s="2">
        <v>2</v>
      </c>
      <c r="G269" s="2">
        <v>6</v>
      </c>
      <c r="H269" s="2">
        <v>109</v>
      </c>
      <c r="I269" s="2">
        <f>G269*H269</f>
        <v>654</v>
      </c>
      <c r="J269" s="2">
        <f>INDEX('Script List'!$H$2:$H$161,MATCH(B269,'Script List'!$A$2:$A$161,0))</f>
        <v>180</v>
      </c>
      <c r="K269" s="2" t="s">
        <v>22</v>
      </c>
      <c r="L269" s="2">
        <f>I269-J269</f>
        <v>474</v>
      </c>
      <c r="M269" s="2">
        <v>7</v>
      </c>
      <c r="N269" s="9">
        <f>DATE(YEAR(C269),MONTH(C269),1)</f>
        <v>46143.0</v>
      </c>
      <c r="O269" s="2" t="str">
        <f>TEXT(N269,"yyyy-mm")</f>
        <v>2026-05</v>
      </c>
    </row>
    <row r="270" spans="1:15">
      <c r="A270" s="2" t="s">
        <v>671</v>
      </c>
      <c r="B270" s="2" t="s">
        <v>120</v>
      </c>
      <c r="C270" s="9">
        <v>46161</v>
      </c>
      <c r="D270" s="2" t="s">
        <v>336</v>
      </c>
      <c r="E270" s="2" t="s">
        <v>212</v>
      </c>
      <c r="F270" s="2">
        <v>2</v>
      </c>
      <c r="G270" s="2">
        <v>6</v>
      </c>
      <c r="H270" s="2">
        <v>109</v>
      </c>
      <c r="I270" s="2">
        <f>G270*H270</f>
        <v>654</v>
      </c>
      <c r="J270" s="2">
        <f>INDEX('Script List'!$H$2:$H$161,MATCH(B270,'Script List'!$A$2:$A$161,0))</f>
        <v>180</v>
      </c>
      <c r="K270" s="2" t="s">
        <v>22</v>
      </c>
      <c r="L270" s="2">
        <f>I270-J270</f>
        <v>474</v>
      </c>
      <c r="M270" s="2">
        <v>7</v>
      </c>
      <c r="N270" s="9">
        <f>DATE(YEAR(C270),MONTH(C270),1)</f>
        <v>46143.0</v>
      </c>
      <c r="O270" s="2" t="str">
        <f>TEXT(N270,"yyyy-mm")</f>
        <v>2026-05</v>
      </c>
    </row>
    <row r="271" spans="1:15">
      <c r="A271" s="2" t="s">
        <v>672</v>
      </c>
      <c r="B271" s="2" t="s">
        <v>120</v>
      </c>
      <c r="C271" s="9">
        <v>46162</v>
      </c>
      <c r="D271" s="2" t="s">
        <v>336</v>
      </c>
      <c r="E271" s="2" t="s">
        <v>212</v>
      </c>
      <c r="F271" s="2">
        <v>2</v>
      </c>
      <c r="G271" s="2">
        <v>6</v>
      </c>
      <c r="H271" s="2">
        <v>109</v>
      </c>
      <c r="I271" s="2">
        <f>G271*H271</f>
        <v>654</v>
      </c>
      <c r="J271" s="2">
        <f>INDEX('Script List'!$H$2:$H$161,MATCH(B271,'Script List'!$A$2:$A$161,0))</f>
        <v>180</v>
      </c>
      <c r="K271" s="2" t="s">
        <v>22</v>
      </c>
      <c r="L271" s="2">
        <f>I271-J271</f>
        <v>474</v>
      </c>
      <c r="M271" s="2">
        <v>7</v>
      </c>
      <c r="N271" s="9">
        <f>DATE(YEAR(C271),MONTH(C271),1)</f>
        <v>46143.0</v>
      </c>
      <c r="O271" s="2" t="str">
        <f>TEXT(N271,"yyyy-mm")</f>
        <v>2026-05</v>
      </c>
    </row>
    <row r="272" spans="1:15">
      <c r="A272" s="2" t="s">
        <v>673</v>
      </c>
      <c r="B272" s="2" t="s">
        <v>121</v>
      </c>
      <c r="C272" s="9">
        <v>46163</v>
      </c>
      <c r="D272" s="2" t="s">
        <v>339</v>
      </c>
      <c r="E272" s="2" t="s">
        <v>214</v>
      </c>
      <c r="F272" s="2">
        <v>1</v>
      </c>
      <c r="G272" s="2">
        <v>6</v>
      </c>
      <c r="H272" s="2">
        <v>119</v>
      </c>
      <c r="I272" s="2">
        <f>G272*H272</f>
        <v>714</v>
      </c>
      <c r="J272" s="2">
        <f>INDEX('Script List'!$H$2:$H$161,MATCH(B272,'Script List'!$A$2:$A$161,0))</f>
        <v>187</v>
      </c>
      <c r="K272" s="2" t="s">
        <v>22</v>
      </c>
      <c r="L272" s="2">
        <f>I272-J272</f>
        <v>527</v>
      </c>
      <c r="M272" s="2">
        <v>8.4</v>
      </c>
      <c r="N272" s="9">
        <f>DATE(YEAR(C272),MONTH(C272),1)</f>
        <v>46143.0</v>
      </c>
      <c r="O272" s="2" t="str">
        <f>TEXT(N272,"yyyy-mm")</f>
        <v>2026-05</v>
      </c>
    </row>
    <row r="273" spans="1:15">
      <c r="A273" s="2" t="s">
        <v>674</v>
      </c>
      <c r="B273" s="2" t="s">
        <v>121</v>
      </c>
      <c r="C273" s="9">
        <v>46164</v>
      </c>
      <c r="D273" s="2" t="s">
        <v>339</v>
      </c>
      <c r="E273" s="2" t="s">
        <v>214</v>
      </c>
      <c r="F273" s="2">
        <v>1</v>
      </c>
      <c r="G273" s="2">
        <v>6</v>
      </c>
      <c r="H273" s="2">
        <v>119</v>
      </c>
      <c r="I273" s="2">
        <f>G273*H273</f>
        <v>714</v>
      </c>
      <c r="J273" s="2">
        <f>INDEX('Script List'!$H$2:$H$161,MATCH(B273,'Script List'!$A$2:$A$161,0))</f>
        <v>187</v>
      </c>
      <c r="K273" s="2" t="s">
        <v>22</v>
      </c>
      <c r="L273" s="2">
        <f>I273-J273</f>
        <v>527</v>
      </c>
      <c r="M273" s="2">
        <v>8.4</v>
      </c>
      <c r="N273" s="9">
        <f>DATE(YEAR(C273),MONTH(C273),1)</f>
        <v>46143.0</v>
      </c>
      <c r="O273" s="2" t="str">
        <f>TEXT(N273,"yyyy-mm")</f>
        <v>2026-05</v>
      </c>
    </row>
    <row r="274" spans="1:15">
      <c r="A274" s="2" t="s">
        <v>675</v>
      </c>
      <c r="B274" s="2" t="s">
        <v>122</v>
      </c>
      <c r="C274" s="9">
        <v>46164</v>
      </c>
      <c r="D274" s="2" t="s">
        <v>340</v>
      </c>
      <c r="E274" s="2" t="s">
        <v>218</v>
      </c>
      <c r="F274" s="2">
        <v>3</v>
      </c>
      <c r="G274" s="2">
        <v>7</v>
      </c>
      <c r="H274" s="2">
        <v>95</v>
      </c>
      <c r="I274" s="2">
        <f>G274*H274</f>
        <v>665</v>
      </c>
      <c r="J274" s="2">
        <f>INDEX('Script List'!$H$2:$H$161,MATCH(B274,'Script List'!$A$2:$A$161,0))</f>
        <v>175</v>
      </c>
      <c r="K274" s="2" t="s">
        <v>21</v>
      </c>
      <c r="L274" s="2">
        <f>I274-J274</f>
        <v>490</v>
      </c>
      <c r="M274" s="2">
        <v>7</v>
      </c>
      <c r="N274" s="9">
        <f>DATE(YEAR(C274),MONTH(C274),1)</f>
        <v>46143.0</v>
      </c>
      <c r="O274" s="2" t="str">
        <f>TEXT(N274,"yyyy-mm")</f>
        <v>2026-05</v>
      </c>
    </row>
    <row r="275" spans="1:15">
      <c r="A275" s="2" t="s">
        <v>676</v>
      </c>
      <c r="B275" s="2" t="s">
        <v>122</v>
      </c>
      <c r="C275" s="9">
        <v>46165</v>
      </c>
      <c r="D275" s="2" t="s">
        <v>340</v>
      </c>
      <c r="E275" s="2" t="s">
        <v>218</v>
      </c>
      <c r="F275" s="2">
        <v>3</v>
      </c>
      <c r="G275" s="2">
        <v>7</v>
      </c>
      <c r="H275" s="2">
        <v>95</v>
      </c>
      <c r="I275" s="2">
        <f>G275*H275</f>
        <v>665</v>
      </c>
      <c r="J275" s="2">
        <f>INDEX('Script List'!$H$2:$H$161,MATCH(B275,'Script List'!$A$2:$A$161,0))</f>
        <v>175</v>
      </c>
      <c r="K275" s="2" t="s">
        <v>21</v>
      </c>
      <c r="L275" s="2">
        <f>I275-J275</f>
        <v>490</v>
      </c>
      <c r="M275" s="2">
        <v>7</v>
      </c>
      <c r="N275" s="9">
        <f>DATE(YEAR(C275),MONTH(C275),1)</f>
        <v>46143.0</v>
      </c>
      <c r="O275" s="2" t="str">
        <f>TEXT(N275,"yyyy-mm")</f>
        <v>2026-05</v>
      </c>
    </row>
    <row r="276" spans="1:15">
      <c r="A276" s="2" t="s">
        <v>677</v>
      </c>
      <c r="B276" s="2" t="s">
        <v>122</v>
      </c>
      <c r="C276" s="9">
        <v>46166</v>
      </c>
      <c r="D276" s="2" t="s">
        <v>340</v>
      </c>
      <c r="E276" s="2" t="s">
        <v>218</v>
      </c>
      <c r="F276" s="2">
        <v>3</v>
      </c>
      <c r="G276" s="2">
        <v>7</v>
      </c>
      <c r="H276" s="2">
        <v>95</v>
      </c>
      <c r="I276" s="2">
        <f>G276*H276</f>
        <v>665</v>
      </c>
      <c r="J276" s="2">
        <f>INDEX('Script List'!$H$2:$H$161,MATCH(B276,'Script List'!$A$2:$A$161,0))</f>
        <v>175</v>
      </c>
      <c r="K276" s="2" t="s">
        <v>21</v>
      </c>
      <c r="L276" s="2">
        <f>I276-J276</f>
        <v>490</v>
      </c>
      <c r="M276" s="2">
        <v>7</v>
      </c>
      <c r="N276" s="9">
        <f>DATE(YEAR(C276),MONTH(C276),1)</f>
        <v>46143.0</v>
      </c>
      <c r="O276" s="2" t="str">
        <f>TEXT(N276,"yyyy-mm")</f>
        <v>2026-05</v>
      </c>
    </row>
    <row r="277" spans="1:15">
      <c r="A277" s="2" t="s">
        <v>678</v>
      </c>
      <c r="B277" s="2" t="s">
        <v>122</v>
      </c>
      <c r="C277" s="9">
        <v>46167</v>
      </c>
      <c r="D277" s="2" t="s">
        <v>340</v>
      </c>
      <c r="E277" s="2" t="s">
        <v>218</v>
      </c>
      <c r="F277" s="2">
        <v>3</v>
      </c>
      <c r="G277" s="2">
        <v>7</v>
      </c>
      <c r="H277" s="2">
        <v>95</v>
      </c>
      <c r="I277" s="2">
        <f>G277*H277</f>
        <v>665</v>
      </c>
      <c r="J277" s="2">
        <f>INDEX('Script List'!$H$2:$H$161,MATCH(B277,'Script List'!$A$2:$A$161,0))</f>
        <v>175</v>
      </c>
      <c r="K277" s="2" t="s">
        <v>21</v>
      </c>
      <c r="L277" s="2">
        <f>I277-J277</f>
        <v>490</v>
      </c>
      <c r="M277" s="2">
        <v>7</v>
      </c>
      <c r="N277" s="9">
        <f>DATE(YEAR(C277),MONTH(C277),1)</f>
        <v>46143.0</v>
      </c>
      <c r="O277" s="2" t="str">
        <f>TEXT(N277,"yyyy-mm")</f>
        <v>2026-05</v>
      </c>
    </row>
    <row r="278" spans="1:15">
      <c r="A278" s="2" t="s">
        <v>679</v>
      </c>
      <c r="B278" s="2" t="s">
        <v>123</v>
      </c>
      <c r="C278" s="9">
        <v>46168</v>
      </c>
      <c r="D278" s="2" t="s">
        <v>341</v>
      </c>
      <c r="E278" s="2" t="s">
        <v>212</v>
      </c>
      <c r="F278" s="2">
        <v>6</v>
      </c>
      <c r="G278" s="2">
        <v>8</v>
      </c>
      <c r="H278" s="2">
        <v>109</v>
      </c>
      <c r="I278" s="2">
        <f>G278*H278</f>
        <v>872</v>
      </c>
      <c r="J278" s="2">
        <f>INDEX('Script List'!$H$2:$H$161,MATCH(B278,'Script List'!$A$2:$A$161,0))</f>
        <v>540</v>
      </c>
      <c r="K278" s="2" t="s">
        <v>22</v>
      </c>
      <c r="L278" s="2">
        <f>I278-J278</f>
        <v>332</v>
      </c>
      <c r="M278" s="2">
        <v>7.7</v>
      </c>
      <c r="N278" s="9">
        <f>DATE(YEAR(C278),MONTH(C278),1)</f>
        <v>46143.0</v>
      </c>
      <c r="O278" s="2" t="str">
        <f>TEXT(N278,"yyyy-mm")</f>
        <v>2026-05</v>
      </c>
    </row>
    <row r="279" spans="1:15">
      <c r="A279" s="2" t="s">
        <v>680</v>
      </c>
      <c r="B279" s="2" t="s">
        <v>124</v>
      </c>
      <c r="C279" s="9">
        <v>46169</v>
      </c>
      <c r="D279" s="2" t="s">
        <v>342</v>
      </c>
      <c r="E279" s="2" t="s">
        <v>212</v>
      </c>
      <c r="F279" s="2">
        <v>2</v>
      </c>
      <c r="G279" s="2">
        <v>6</v>
      </c>
      <c r="H279" s="2">
        <v>118</v>
      </c>
      <c r="I279" s="2">
        <f>G279*H279</f>
        <v>708</v>
      </c>
      <c r="J279" s="2">
        <f>INDEX('Script List'!$H$2:$H$161,MATCH(B279,'Script List'!$A$2:$A$161,0))</f>
        <v>180</v>
      </c>
      <c r="K279" s="2" t="s">
        <v>22</v>
      </c>
      <c r="L279" s="2">
        <f>I279-J279</f>
        <v>528</v>
      </c>
      <c r="M279" s="2">
        <v>8.4</v>
      </c>
      <c r="N279" s="9">
        <f>DATE(YEAR(C279),MONTH(C279),1)</f>
        <v>46143.0</v>
      </c>
      <c r="O279" s="2" t="str">
        <f>TEXT(N279,"yyyy-mm")</f>
        <v>2026-05</v>
      </c>
    </row>
    <row r="280" spans="1:15">
      <c r="A280" s="2" t="s">
        <v>681</v>
      </c>
      <c r="B280" s="2" t="s">
        <v>124</v>
      </c>
      <c r="C280" s="9">
        <v>46170</v>
      </c>
      <c r="D280" s="2" t="s">
        <v>342</v>
      </c>
      <c r="E280" s="2" t="s">
        <v>212</v>
      </c>
      <c r="F280" s="2">
        <v>2</v>
      </c>
      <c r="G280" s="2">
        <v>6</v>
      </c>
      <c r="H280" s="2">
        <v>118</v>
      </c>
      <c r="I280" s="2">
        <f>G280*H280</f>
        <v>708</v>
      </c>
      <c r="J280" s="2">
        <f>INDEX('Script List'!$H$2:$H$161,MATCH(B280,'Script List'!$A$2:$A$161,0))</f>
        <v>180</v>
      </c>
      <c r="K280" s="2" t="s">
        <v>22</v>
      </c>
      <c r="L280" s="2">
        <f>I280-J280</f>
        <v>528</v>
      </c>
      <c r="M280" s="2">
        <v>8.4</v>
      </c>
      <c r="N280" s="9">
        <f>DATE(YEAR(C280),MONTH(C280),1)</f>
        <v>46143.0</v>
      </c>
      <c r="O280" s="2" t="str">
        <f>TEXT(N280,"yyyy-mm")</f>
        <v>2026-05</v>
      </c>
    </row>
    <row r="281" spans="1:15">
      <c r="A281" s="2" t="s">
        <v>682</v>
      </c>
      <c r="B281" s="2" t="s">
        <v>125</v>
      </c>
      <c r="C281" s="9">
        <v>46171</v>
      </c>
      <c r="D281" s="2" t="s">
        <v>343</v>
      </c>
      <c r="E281" s="2" t="s">
        <v>214</v>
      </c>
      <c r="F281" s="2">
        <v>1</v>
      </c>
      <c r="G281" s="2">
        <v>6</v>
      </c>
      <c r="H281" s="2">
        <v>119</v>
      </c>
      <c r="I281" s="2">
        <f>G281*H281</f>
        <v>714</v>
      </c>
      <c r="J281" s="2">
        <f>INDEX('Script List'!$H$2:$H$161,MATCH(B281,'Script List'!$A$2:$A$161,0))</f>
        <v>187</v>
      </c>
      <c r="K281" s="2" t="s">
        <v>20</v>
      </c>
      <c r="L281" s="2">
        <f>I281-J281</f>
        <v>527</v>
      </c>
      <c r="M281" s="2">
        <v>7</v>
      </c>
      <c r="N281" s="9">
        <f>DATE(YEAR(C281),MONTH(C281),1)</f>
        <v>46143.0</v>
      </c>
      <c r="O281" s="2" t="str">
        <f>TEXT(N281,"yyyy-mm")</f>
        <v>2026-05</v>
      </c>
    </row>
    <row r="282" spans="1:15">
      <c r="A282" s="2" t="s">
        <v>683</v>
      </c>
      <c r="B282" s="2" t="s">
        <v>125</v>
      </c>
      <c r="C282" s="9">
        <v>46172</v>
      </c>
      <c r="D282" s="2" t="s">
        <v>343</v>
      </c>
      <c r="E282" s="2" t="s">
        <v>214</v>
      </c>
      <c r="F282" s="2">
        <v>1</v>
      </c>
      <c r="G282" s="2">
        <v>6</v>
      </c>
      <c r="H282" s="2">
        <v>119</v>
      </c>
      <c r="I282" s="2">
        <f>G282*H282</f>
        <v>714</v>
      </c>
      <c r="J282" s="2">
        <f>INDEX('Script List'!$H$2:$H$161,MATCH(B282,'Script List'!$A$2:$A$161,0))</f>
        <v>187</v>
      </c>
      <c r="K282" s="2" t="s">
        <v>20</v>
      </c>
      <c r="L282" s="2">
        <f>I282-J282</f>
        <v>527</v>
      </c>
      <c r="M282" s="2">
        <v>7</v>
      </c>
      <c r="N282" s="9">
        <f>DATE(YEAR(C282),MONTH(C282),1)</f>
        <v>46143.0</v>
      </c>
      <c r="O282" s="2" t="str">
        <f>TEXT(N282,"yyyy-mm")</f>
        <v>2026-05</v>
      </c>
    </row>
    <row r="283" spans="1:15">
      <c r="A283" s="2" t="s">
        <v>684</v>
      </c>
      <c r="B283" s="2" t="s">
        <v>125</v>
      </c>
      <c r="C283" s="9">
        <v>46173</v>
      </c>
      <c r="D283" s="2" t="s">
        <v>343</v>
      </c>
      <c r="E283" s="2" t="s">
        <v>214</v>
      </c>
      <c r="F283" s="2">
        <v>1</v>
      </c>
      <c r="G283" s="2">
        <v>6</v>
      </c>
      <c r="H283" s="2">
        <v>119</v>
      </c>
      <c r="I283" s="2">
        <f>G283*H283</f>
        <v>714</v>
      </c>
      <c r="J283" s="2">
        <f>INDEX('Script List'!$H$2:$H$161,MATCH(B283,'Script List'!$A$2:$A$161,0))</f>
        <v>187</v>
      </c>
      <c r="K283" s="2" t="s">
        <v>20</v>
      </c>
      <c r="L283" s="2">
        <f>I283-J283</f>
        <v>527</v>
      </c>
      <c r="M283" s="2">
        <v>7</v>
      </c>
      <c r="N283" s="9">
        <f>DATE(YEAR(C283),MONTH(C283),1)</f>
        <v>46143.0</v>
      </c>
      <c r="O283" s="2" t="str">
        <f>TEXT(N283,"yyyy-mm")</f>
        <v>2026-05</v>
      </c>
    </row>
    <row r="284" spans="1:15">
      <c r="A284" s="2" t="s">
        <v>685</v>
      </c>
      <c r="B284" s="2" t="s">
        <v>125</v>
      </c>
      <c r="C284" s="9">
        <v>46174</v>
      </c>
      <c r="D284" s="2" t="s">
        <v>343</v>
      </c>
      <c r="E284" s="2" t="s">
        <v>214</v>
      </c>
      <c r="F284" s="2">
        <v>1</v>
      </c>
      <c r="G284" s="2">
        <v>6</v>
      </c>
      <c r="H284" s="2">
        <v>119</v>
      </c>
      <c r="I284" s="2">
        <f>G284*H284</f>
        <v>714</v>
      </c>
      <c r="J284" s="2">
        <f>INDEX('Script List'!$H$2:$H$161,MATCH(B284,'Script List'!$A$2:$A$161,0))</f>
        <v>187</v>
      </c>
      <c r="K284" s="2" t="s">
        <v>20</v>
      </c>
      <c r="L284" s="2">
        <f>I284-J284</f>
        <v>527</v>
      </c>
      <c r="M284" s="2">
        <v>7</v>
      </c>
      <c r="N284" s="9">
        <f>DATE(YEAR(C284),MONTH(C284),1)</f>
        <v>46174.0</v>
      </c>
      <c r="O284" s="2" t="str">
        <f>TEXT(N284,"yyyy-mm")</f>
        <v>2026-06</v>
      </c>
    </row>
    <row r="285" spans="1:15">
      <c r="A285" s="2" t="s">
        <v>686</v>
      </c>
      <c r="B285" s="2" t="s">
        <v>125</v>
      </c>
      <c r="C285" s="9">
        <v>46175</v>
      </c>
      <c r="D285" s="2" t="s">
        <v>343</v>
      </c>
      <c r="E285" s="2" t="s">
        <v>214</v>
      </c>
      <c r="F285" s="2">
        <v>1</v>
      </c>
      <c r="G285" s="2">
        <v>6</v>
      </c>
      <c r="H285" s="2">
        <v>119</v>
      </c>
      <c r="I285" s="2">
        <f>G285*H285</f>
        <v>714</v>
      </c>
      <c r="J285" s="2">
        <f>INDEX('Script List'!$H$2:$H$161,MATCH(B285,'Script List'!$A$2:$A$161,0))</f>
        <v>187</v>
      </c>
      <c r="K285" s="2" t="s">
        <v>20</v>
      </c>
      <c r="L285" s="2">
        <f>I285-J285</f>
        <v>527</v>
      </c>
      <c r="M285" s="2">
        <v>7</v>
      </c>
      <c r="N285" s="9">
        <f>DATE(YEAR(C285),MONTH(C285),1)</f>
        <v>46174.0</v>
      </c>
      <c r="O285" s="2" t="str">
        <f>TEXT(N285,"yyyy-mm")</f>
        <v>2026-06</v>
      </c>
    </row>
    <row r="286" spans="1:15">
      <c r="A286" s="2" t="s">
        <v>687</v>
      </c>
      <c r="B286" s="2" t="s">
        <v>126</v>
      </c>
      <c r="C286" s="9">
        <v>46176</v>
      </c>
      <c r="D286" s="2" t="s">
        <v>344</v>
      </c>
      <c r="E286" s="2" t="s">
        <v>212</v>
      </c>
      <c r="F286" s="2">
        <v>3</v>
      </c>
      <c r="G286" s="2">
        <v>6</v>
      </c>
      <c r="H286" s="2">
        <v>99</v>
      </c>
      <c r="I286" s="2">
        <f>G286*H286</f>
        <v>594</v>
      </c>
      <c r="J286" s="2">
        <f>INDEX('Script List'!$H$2:$H$161,MATCH(B286,'Script List'!$A$2:$A$161,0))</f>
        <v>270</v>
      </c>
      <c r="K286" s="2" t="s">
        <v>22</v>
      </c>
      <c r="L286" s="2">
        <f>I286-J286</f>
        <v>324</v>
      </c>
      <c r="M286" s="2">
        <v>7.7</v>
      </c>
      <c r="N286" s="9">
        <f>DATE(YEAR(C286),MONTH(C286),1)</f>
        <v>46174.0</v>
      </c>
      <c r="O286" s="2" t="str">
        <f>TEXT(N286,"yyyy-mm")</f>
        <v>2026-06</v>
      </c>
    </row>
    <row r="287" spans="1:15">
      <c r="A287" s="2" t="s">
        <v>688</v>
      </c>
      <c r="B287" s="2" t="s">
        <v>127</v>
      </c>
      <c r="C287" s="9">
        <v>46177</v>
      </c>
      <c r="D287" s="2" t="s">
        <v>345</v>
      </c>
      <c r="E287" s="2" t="s">
        <v>218</v>
      </c>
      <c r="F287" s="2">
        <v>3</v>
      </c>
      <c r="G287" s="2">
        <v>7</v>
      </c>
      <c r="H287" s="2">
        <v>109</v>
      </c>
      <c r="I287" s="2">
        <f>G287*H287</f>
        <v>763</v>
      </c>
      <c r="J287" s="2">
        <f>INDEX('Script List'!$H$2:$H$161,MATCH(B287,'Script List'!$A$2:$A$161,0))</f>
        <v>200</v>
      </c>
      <c r="K287" s="2" t="s">
        <v>21</v>
      </c>
      <c r="L287" s="2">
        <f>I287-J287</f>
        <v>563</v>
      </c>
      <c r="M287" s="2">
        <v>8.4</v>
      </c>
      <c r="N287" s="9">
        <f>DATE(YEAR(C287),MONTH(C287),1)</f>
        <v>46174.0</v>
      </c>
      <c r="O287" s="2" t="str">
        <f>TEXT(N287,"yyyy-mm")</f>
        <v>2026-06</v>
      </c>
    </row>
    <row r="288" spans="1:15">
      <c r="A288" s="2" t="s">
        <v>689</v>
      </c>
      <c r="B288" s="2" t="s">
        <v>127</v>
      </c>
      <c r="C288" s="9">
        <v>46178</v>
      </c>
      <c r="D288" s="2" t="s">
        <v>345</v>
      </c>
      <c r="E288" s="2" t="s">
        <v>218</v>
      </c>
      <c r="F288" s="2">
        <v>3</v>
      </c>
      <c r="G288" s="2">
        <v>7</v>
      </c>
      <c r="H288" s="2">
        <v>109</v>
      </c>
      <c r="I288" s="2">
        <f>G288*H288</f>
        <v>763</v>
      </c>
      <c r="J288" s="2">
        <f>INDEX('Script List'!$H$2:$H$161,MATCH(B288,'Script List'!$A$2:$A$161,0))</f>
        <v>200</v>
      </c>
      <c r="K288" s="2" t="s">
        <v>21</v>
      </c>
      <c r="L288" s="2">
        <f>I288-J288</f>
        <v>563</v>
      </c>
      <c r="M288" s="2">
        <v>8.4</v>
      </c>
      <c r="N288" s="9">
        <f>DATE(YEAR(C288),MONTH(C288),1)</f>
        <v>46174.0</v>
      </c>
      <c r="O288" s="2" t="str">
        <f>TEXT(N288,"yyyy-mm")</f>
        <v>2026-06</v>
      </c>
    </row>
    <row r="289" spans="1:15">
      <c r="A289" s="2" t="s">
        <v>690</v>
      </c>
      <c r="B289" s="2" t="s">
        <v>128</v>
      </c>
      <c r="C289" s="9">
        <v>46179</v>
      </c>
      <c r="D289" s="2" t="s">
        <v>346</v>
      </c>
      <c r="E289" s="2" t="s">
        <v>214</v>
      </c>
      <c r="F289" s="2">
        <v>2</v>
      </c>
      <c r="G289" s="2">
        <v>8</v>
      </c>
      <c r="H289" s="2">
        <v>95</v>
      </c>
      <c r="I289" s="2">
        <f>G289*H289</f>
        <v>760</v>
      </c>
      <c r="J289" s="2">
        <f>INDEX('Script List'!$H$2:$H$161,MATCH(B289,'Script List'!$A$2:$A$161,0))</f>
        <v>200</v>
      </c>
      <c r="K289" s="2" t="s">
        <v>20</v>
      </c>
      <c r="L289" s="2">
        <f>I289-J289</f>
        <v>560</v>
      </c>
      <c r="M289" s="2">
        <v>7</v>
      </c>
      <c r="N289" s="9">
        <f>DATE(YEAR(C289),MONTH(C289),1)</f>
        <v>46174.0</v>
      </c>
      <c r="O289" s="2" t="str">
        <f>TEXT(N289,"yyyy-mm")</f>
        <v>2026-06</v>
      </c>
    </row>
    <row r="290" spans="1:15">
      <c r="A290" s="2" t="s">
        <v>691</v>
      </c>
      <c r="B290" s="2" t="s">
        <v>128</v>
      </c>
      <c r="C290" s="9">
        <v>46180</v>
      </c>
      <c r="D290" s="2" t="s">
        <v>346</v>
      </c>
      <c r="E290" s="2" t="s">
        <v>214</v>
      </c>
      <c r="F290" s="2">
        <v>2</v>
      </c>
      <c r="G290" s="2">
        <v>8</v>
      </c>
      <c r="H290" s="2">
        <v>95</v>
      </c>
      <c r="I290" s="2">
        <f>G290*H290</f>
        <v>760</v>
      </c>
      <c r="J290" s="2">
        <f>INDEX('Script List'!$H$2:$H$161,MATCH(B290,'Script List'!$A$2:$A$161,0))</f>
        <v>200</v>
      </c>
      <c r="K290" s="2" t="s">
        <v>20</v>
      </c>
      <c r="L290" s="2">
        <f>I290-J290</f>
        <v>560</v>
      </c>
      <c r="M290" s="2">
        <v>7</v>
      </c>
      <c r="N290" s="9">
        <f>DATE(YEAR(C290),MONTH(C290),1)</f>
        <v>46174.0</v>
      </c>
      <c r="O290" s="2" t="str">
        <f>TEXT(N290,"yyyy-mm")</f>
        <v>2026-06</v>
      </c>
    </row>
    <row r="291" spans="1:15">
      <c r="A291" s="2" t="s">
        <v>692</v>
      </c>
      <c r="B291" s="2" t="s">
        <v>128</v>
      </c>
      <c r="C291" s="9">
        <v>46181</v>
      </c>
      <c r="D291" s="2" t="s">
        <v>346</v>
      </c>
      <c r="E291" s="2" t="s">
        <v>214</v>
      </c>
      <c r="F291" s="2">
        <v>2</v>
      </c>
      <c r="G291" s="2">
        <v>8</v>
      </c>
      <c r="H291" s="2">
        <v>95</v>
      </c>
      <c r="I291" s="2">
        <f>G291*H291</f>
        <v>760</v>
      </c>
      <c r="J291" s="2">
        <f>INDEX('Script List'!$H$2:$H$161,MATCH(B291,'Script List'!$A$2:$A$161,0))</f>
        <v>200</v>
      </c>
      <c r="K291" s="2" t="s">
        <v>20</v>
      </c>
      <c r="L291" s="2">
        <f>I291-J291</f>
        <v>560</v>
      </c>
      <c r="M291" s="2">
        <v>7</v>
      </c>
      <c r="N291" s="9">
        <f>DATE(YEAR(C291),MONTH(C291),1)</f>
        <v>46174.0</v>
      </c>
      <c r="O291" s="2" t="str">
        <f>TEXT(N291,"yyyy-mm")</f>
        <v>2026-06</v>
      </c>
    </row>
    <row r="292" spans="1:15">
      <c r="A292" s="2" t="s">
        <v>693</v>
      </c>
      <c r="B292" s="2" t="s">
        <v>128</v>
      </c>
      <c r="C292" s="9">
        <v>46182</v>
      </c>
      <c r="D292" s="2" t="s">
        <v>346</v>
      </c>
      <c r="E292" s="2" t="s">
        <v>214</v>
      </c>
      <c r="F292" s="2">
        <v>2</v>
      </c>
      <c r="G292" s="2">
        <v>8</v>
      </c>
      <c r="H292" s="2">
        <v>95</v>
      </c>
      <c r="I292" s="2">
        <f>G292*H292</f>
        <v>760</v>
      </c>
      <c r="J292" s="2">
        <f>INDEX('Script List'!$H$2:$H$161,MATCH(B292,'Script List'!$A$2:$A$161,0))</f>
        <v>200</v>
      </c>
      <c r="K292" s="2" t="s">
        <v>20</v>
      </c>
      <c r="L292" s="2">
        <f>I292-J292</f>
        <v>560</v>
      </c>
      <c r="M292" s="2">
        <v>7</v>
      </c>
      <c r="N292" s="9">
        <f>DATE(YEAR(C292),MONTH(C292),1)</f>
        <v>46174.0</v>
      </c>
      <c r="O292" s="2" t="str">
        <f>TEXT(N292,"yyyy-mm")</f>
        <v>2026-06</v>
      </c>
    </row>
    <row r="293" spans="1:15">
      <c r="A293" s="2" t="s">
        <v>694</v>
      </c>
      <c r="B293" s="2" t="s">
        <v>128</v>
      </c>
      <c r="C293" s="9">
        <v>46183</v>
      </c>
      <c r="D293" s="2" t="s">
        <v>346</v>
      </c>
      <c r="E293" s="2" t="s">
        <v>214</v>
      </c>
      <c r="F293" s="2">
        <v>2</v>
      </c>
      <c r="G293" s="2">
        <v>8</v>
      </c>
      <c r="H293" s="2">
        <v>95</v>
      </c>
      <c r="I293" s="2">
        <f>G293*H293</f>
        <v>760</v>
      </c>
      <c r="J293" s="2">
        <f>INDEX('Script List'!$H$2:$H$161,MATCH(B293,'Script List'!$A$2:$A$161,0))</f>
        <v>200</v>
      </c>
      <c r="K293" s="2" t="s">
        <v>20</v>
      </c>
      <c r="L293" s="2">
        <f>I293-J293</f>
        <v>560</v>
      </c>
      <c r="M293" s="2">
        <v>7</v>
      </c>
      <c r="N293" s="9">
        <f>DATE(YEAR(C293),MONTH(C293),1)</f>
        <v>46174.0</v>
      </c>
      <c r="O293" s="2" t="str">
        <f>TEXT(N293,"yyyy-mm")</f>
        <v>2026-06</v>
      </c>
    </row>
    <row r="294" spans="1:15">
      <c r="A294" s="2" t="s">
        <v>695</v>
      </c>
      <c r="B294" s="2" t="s">
        <v>128</v>
      </c>
      <c r="C294" s="9">
        <v>46184</v>
      </c>
      <c r="D294" s="2" t="s">
        <v>346</v>
      </c>
      <c r="E294" s="2" t="s">
        <v>214</v>
      </c>
      <c r="F294" s="2">
        <v>2</v>
      </c>
      <c r="G294" s="2">
        <v>8</v>
      </c>
      <c r="H294" s="2">
        <v>95</v>
      </c>
      <c r="I294" s="2">
        <f>G294*H294</f>
        <v>760</v>
      </c>
      <c r="J294" s="2">
        <f>INDEX('Script List'!$H$2:$H$161,MATCH(B294,'Script List'!$A$2:$A$161,0))</f>
        <v>200</v>
      </c>
      <c r="K294" s="2" t="s">
        <v>20</v>
      </c>
      <c r="L294" s="2">
        <f>I294-J294</f>
        <v>560</v>
      </c>
      <c r="M294" s="2">
        <v>7</v>
      </c>
      <c r="N294" s="9">
        <f>DATE(YEAR(C294),MONTH(C294),1)</f>
        <v>46174.0</v>
      </c>
      <c r="O294" s="2" t="str">
        <f>TEXT(N294,"yyyy-mm")</f>
        <v>2026-06</v>
      </c>
    </row>
    <row r="295" spans="1:15">
      <c r="A295" s="2" t="s">
        <v>696</v>
      </c>
      <c r="B295" s="2" t="s">
        <v>128</v>
      </c>
      <c r="C295" s="9">
        <v>46185</v>
      </c>
      <c r="D295" s="2" t="s">
        <v>346</v>
      </c>
      <c r="E295" s="2" t="s">
        <v>214</v>
      </c>
      <c r="F295" s="2">
        <v>2</v>
      </c>
      <c r="G295" s="2">
        <v>8</v>
      </c>
      <c r="H295" s="2">
        <v>95</v>
      </c>
      <c r="I295" s="2">
        <f>G295*H295</f>
        <v>760</v>
      </c>
      <c r="J295" s="2">
        <f>INDEX('Script List'!$H$2:$H$161,MATCH(B295,'Script List'!$A$2:$A$161,0))</f>
        <v>200</v>
      </c>
      <c r="K295" s="2" t="s">
        <v>20</v>
      </c>
      <c r="L295" s="2">
        <f>I295-J295</f>
        <v>560</v>
      </c>
      <c r="M295" s="2">
        <v>7</v>
      </c>
      <c r="N295" s="9">
        <f>DATE(YEAR(C295),MONTH(C295),1)</f>
        <v>46174.0</v>
      </c>
      <c r="O295" s="2" t="str">
        <f>TEXT(N295,"yyyy-mm")</f>
        <v>2026-06</v>
      </c>
    </row>
    <row r="296" spans="1:15">
      <c r="A296" s="2" t="s">
        <v>697</v>
      </c>
      <c r="B296" s="2" t="s">
        <v>129</v>
      </c>
      <c r="C296" s="9">
        <v>46186</v>
      </c>
      <c r="D296" s="2" t="s">
        <v>347</v>
      </c>
      <c r="E296" s="2" t="s">
        <v>212</v>
      </c>
      <c r="F296" s="2">
        <v>2</v>
      </c>
      <c r="G296" s="2">
        <v>6</v>
      </c>
      <c r="H296" s="2">
        <v>138</v>
      </c>
      <c r="I296" s="2">
        <f>G296*H296</f>
        <v>828</v>
      </c>
      <c r="J296" s="2">
        <f>INDEX('Script List'!$H$2:$H$161,MATCH(B296,'Script List'!$A$2:$A$161,0))</f>
        <v>180</v>
      </c>
      <c r="K296" s="2" t="s">
        <v>22</v>
      </c>
      <c r="L296" s="2">
        <f>I296-J296</f>
        <v>648</v>
      </c>
      <c r="M296" s="2">
        <v>7.7</v>
      </c>
      <c r="N296" s="9">
        <f>DATE(YEAR(C296),MONTH(C296),1)</f>
        <v>46174.0</v>
      </c>
      <c r="O296" s="2" t="str">
        <f>TEXT(N296,"yyyy-mm")</f>
        <v>2026-06</v>
      </c>
    </row>
    <row r="297" spans="1:15">
      <c r="A297" s="2" t="s">
        <v>698</v>
      </c>
      <c r="B297" s="2" t="s">
        <v>130</v>
      </c>
      <c r="C297" s="9">
        <v>46187</v>
      </c>
      <c r="D297" s="2" t="s">
        <v>348</v>
      </c>
      <c r="E297" s="2" t="s">
        <v>223</v>
      </c>
      <c r="F297" s="2">
        <v>1</v>
      </c>
      <c r="G297" s="2">
        <v>6</v>
      </c>
      <c r="H297" s="2">
        <v>109</v>
      </c>
      <c r="I297" s="2">
        <f>G297*H297</f>
        <v>654</v>
      </c>
      <c r="J297" s="2">
        <f>INDEX('Script List'!$H$2:$H$161,MATCH(B297,'Script List'!$A$2:$A$161,0))</f>
        <v>172</v>
      </c>
      <c r="K297" s="2" t="s">
        <v>20</v>
      </c>
      <c r="L297" s="2">
        <f>I297-J297</f>
        <v>482</v>
      </c>
      <c r="M297" s="2">
        <v>8.4</v>
      </c>
      <c r="N297" s="9">
        <f>DATE(YEAR(C297),MONTH(C297),1)</f>
        <v>46174.0</v>
      </c>
      <c r="O297" s="2" t="str">
        <f>TEXT(N297,"yyyy-mm")</f>
        <v>2026-06</v>
      </c>
    </row>
    <row r="298" spans="1:15">
      <c r="A298" s="2" t="s">
        <v>699</v>
      </c>
      <c r="B298" s="2" t="s">
        <v>130</v>
      </c>
      <c r="C298" s="9">
        <v>46188</v>
      </c>
      <c r="D298" s="2" t="s">
        <v>348</v>
      </c>
      <c r="E298" s="2" t="s">
        <v>223</v>
      </c>
      <c r="F298" s="2">
        <v>1</v>
      </c>
      <c r="G298" s="2">
        <v>6</v>
      </c>
      <c r="H298" s="2">
        <v>109</v>
      </c>
      <c r="I298" s="2">
        <f>G298*H298</f>
        <v>654</v>
      </c>
      <c r="J298" s="2">
        <f>INDEX('Script List'!$H$2:$H$161,MATCH(B298,'Script List'!$A$2:$A$161,0))</f>
        <v>172</v>
      </c>
      <c r="K298" s="2" t="s">
        <v>20</v>
      </c>
      <c r="L298" s="2">
        <f>I298-J298</f>
        <v>482</v>
      </c>
      <c r="M298" s="2">
        <v>8.4</v>
      </c>
      <c r="N298" s="9">
        <f>DATE(YEAR(C298),MONTH(C298),1)</f>
        <v>46174.0</v>
      </c>
      <c r="O298" s="2" t="str">
        <f>TEXT(N298,"yyyy-mm")</f>
        <v>2026-06</v>
      </c>
    </row>
    <row r="299" spans="1:15">
      <c r="A299" s="2" t="s">
        <v>700</v>
      </c>
      <c r="B299" s="2" t="s">
        <v>130</v>
      </c>
      <c r="C299" s="9">
        <v>46189</v>
      </c>
      <c r="D299" s="2" t="s">
        <v>348</v>
      </c>
      <c r="E299" s="2" t="s">
        <v>223</v>
      </c>
      <c r="F299" s="2">
        <v>1</v>
      </c>
      <c r="G299" s="2">
        <v>6</v>
      </c>
      <c r="H299" s="2">
        <v>109</v>
      </c>
      <c r="I299" s="2">
        <f>G299*H299</f>
        <v>654</v>
      </c>
      <c r="J299" s="2">
        <f>INDEX('Script List'!$H$2:$H$161,MATCH(B299,'Script List'!$A$2:$A$161,0))</f>
        <v>172</v>
      </c>
      <c r="K299" s="2" t="s">
        <v>20</v>
      </c>
      <c r="L299" s="2">
        <f>I299-J299</f>
        <v>482</v>
      </c>
      <c r="M299" s="2">
        <v>8.4</v>
      </c>
      <c r="N299" s="9">
        <f>DATE(YEAR(C299),MONTH(C299),1)</f>
        <v>46174.0</v>
      </c>
      <c r="O299" s="2" t="str">
        <f>TEXT(N299,"yyyy-mm")</f>
        <v>2026-06</v>
      </c>
    </row>
    <row r="300" spans="1:15">
      <c r="A300" s="2" t="s">
        <v>701</v>
      </c>
      <c r="B300" s="2" t="s">
        <v>131</v>
      </c>
      <c r="C300" s="9">
        <v>46190</v>
      </c>
      <c r="D300" s="2" t="s">
        <v>349</v>
      </c>
      <c r="E300" s="2" t="s">
        <v>214</v>
      </c>
      <c r="F300" s="2">
        <v>1</v>
      </c>
      <c r="G300" s="2">
        <v>6</v>
      </c>
      <c r="H300" s="2">
        <v>75</v>
      </c>
      <c r="I300" s="2">
        <f>G300*H300</f>
        <v>450</v>
      </c>
      <c r="J300" s="2">
        <f>INDEX('Script List'!$H$2:$H$161,MATCH(B300,'Script List'!$A$2:$A$161,0))</f>
        <v>118</v>
      </c>
      <c r="K300" s="2" t="s">
        <v>22</v>
      </c>
      <c r="L300" s="2">
        <f>I300-J300</f>
        <v>332</v>
      </c>
      <c r="M300" s="2">
        <v>7</v>
      </c>
      <c r="N300" s="9">
        <f>DATE(YEAR(C300),MONTH(C300),1)</f>
        <v>46174.0</v>
      </c>
      <c r="O300" s="2" t="str">
        <f>TEXT(N300,"yyyy-mm")</f>
        <v>2026-06</v>
      </c>
    </row>
    <row r="301" spans="1:15">
      <c r="A301" s="2" t="s">
        <v>702</v>
      </c>
      <c r="B301" s="2" t="s">
        <v>131</v>
      </c>
      <c r="C301" s="9">
        <v>46191</v>
      </c>
      <c r="D301" s="2" t="s">
        <v>349</v>
      </c>
      <c r="E301" s="2" t="s">
        <v>214</v>
      </c>
      <c r="F301" s="2">
        <v>1</v>
      </c>
      <c r="G301" s="2">
        <v>6</v>
      </c>
      <c r="H301" s="2">
        <v>75</v>
      </c>
      <c r="I301" s="2">
        <f>G301*H301</f>
        <v>450</v>
      </c>
      <c r="J301" s="2">
        <f>INDEX('Script List'!$H$2:$H$161,MATCH(B301,'Script List'!$A$2:$A$161,0))</f>
        <v>118</v>
      </c>
      <c r="K301" s="2" t="s">
        <v>22</v>
      </c>
      <c r="L301" s="2">
        <f>I301-J301</f>
        <v>332</v>
      </c>
      <c r="M301" s="2">
        <v>7</v>
      </c>
      <c r="N301" s="9">
        <f>DATE(YEAR(C301),MONTH(C301),1)</f>
        <v>46174.0</v>
      </c>
      <c r="O301" s="2" t="str">
        <f>TEXT(N301,"yyyy-mm")</f>
        <v>2026-06</v>
      </c>
    </row>
    <row r="302" spans="1:15">
      <c r="A302" s="2" t="s">
        <v>703</v>
      </c>
      <c r="B302" s="2" t="s">
        <v>131</v>
      </c>
      <c r="C302" s="9">
        <v>46192</v>
      </c>
      <c r="D302" s="2" t="s">
        <v>349</v>
      </c>
      <c r="E302" s="2" t="s">
        <v>214</v>
      </c>
      <c r="F302" s="2">
        <v>1</v>
      </c>
      <c r="G302" s="2">
        <v>6</v>
      </c>
      <c r="H302" s="2">
        <v>75</v>
      </c>
      <c r="I302" s="2">
        <f>G302*H302</f>
        <v>450</v>
      </c>
      <c r="J302" s="2">
        <f>INDEX('Script List'!$H$2:$H$161,MATCH(B302,'Script List'!$A$2:$A$161,0))</f>
        <v>118</v>
      </c>
      <c r="K302" s="2" t="s">
        <v>22</v>
      </c>
      <c r="L302" s="2">
        <f>I302-J302</f>
        <v>332</v>
      </c>
      <c r="M302" s="2">
        <v>7</v>
      </c>
      <c r="N302" s="9">
        <f>DATE(YEAR(C302),MONTH(C302),1)</f>
        <v>46174.0</v>
      </c>
      <c r="O302" s="2" t="str">
        <f>TEXT(N302,"yyyy-mm")</f>
        <v>2026-06</v>
      </c>
    </row>
    <row r="303" spans="1:15">
      <c r="A303" s="2" t="s">
        <v>704</v>
      </c>
      <c r="B303" s="2" t="s">
        <v>131</v>
      </c>
      <c r="C303" s="9">
        <v>46193</v>
      </c>
      <c r="D303" s="2" t="s">
        <v>349</v>
      </c>
      <c r="E303" s="2" t="s">
        <v>214</v>
      </c>
      <c r="F303" s="2">
        <v>1</v>
      </c>
      <c r="G303" s="2">
        <v>6</v>
      </c>
      <c r="H303" s="2">
        <v>75</v>
      </c>
      <c r="I303" s="2">
        <f>G303*H303</f>
        <v>450</v>
      </c>
      <c r="J303" s="2">
        <f>INDEX('Script List'!$H$2:$H$161,MATCH(B303,'Script List'!$A$2:$A$161,0))</f>
        <v>118</v>
      </c>
      <c r="K303" s="2" t="s">
        <v>22</v>
      </c>
      <c r="L303" s="2">
        <f>I303-J303</f>
        <v>332</v>
      </c>
      <c r="M303" s="2">
        <v>7</v>
      </c>
      <c r="N303" s="9">
        <f>DATE(YEAR(C303),MONTH(C303),1)</f>
        <v>46174.0</v>
      </c>
      <c r="O303" s="2" t="str">
        <f>TEXT(N303,"yyyy-mm")</f>
        <v>2026-06</v>
      </c>
    </row>
    <row r="304" spans="1:15">
      <c r="A304" s="2" t="s">
        <v>705</v>
      </c>
      <c r="B304" s="2" t="s">
        <v>131</v>
      </c>
      <c r="C304" s="9">
        <v>46194</v>
      </c>
      <c r="D304" s="2" t="s">
        <v>349</v>
      </c>
      <c r="E304" s="2" t="s">
        <v>214</v>
      </c>
      <c r="F304" s="2">
        <v>1</v>
      </c>
      <c r="G304" s="2">
        <v>6</v>
      </c>
      <c r="H304" s="2">
        <v>75</v>
      </c>
      <c r="I304" s="2">
        <f>G304*H304</f>
        <v>450</v>
      </c>
      <c r="J304" s="2">
        <f>INDEX('Script List'!$H$2:$H$161,MATCH(B304,'Script List'!$A$2:$A$161,0))</f>
        <v>118</v>
      </c>
      <c r="K304" s="2" t="s">
        <v>22</v>
      </c>
      <c r="L304" s="2">
        <f>I304-J304</f>
        <v>332</v>
      </c>
      <c r="M304" s="2">
        <v>7</v>
      </c>
      <c r="N304" s="9">
        <f>DATE(YEAR(C304),MONTH(C304),1)</f>
        <v>46174.0</v>
      </c>
      <c r="O304" s="2" t="str">
        <f>TEXT(N304,"yyyy-mm")</f>
        <v>2026-06</v>
      </c>
    </row>
    <row r="305" spans="1:15">
      <c r="A305" s="2" t="s">
        <v>706</v>
      </c>
      <c r="B305" s="2" t="s">
        <v>131</v>
      </c>
      <c r="C305" s="9">
        <v>46195</v>
      </c>
      <c r="D305" s="2" t="s">
        <v>349</v>
      </c>
      <c r="E305" s="2" t="s">
        <v>214</v>
      </c>
      <c r="F305" s="2">
        <v>1</v>
      </c>
      <c r="G305" s="2">
        <v>6</v>
      </c>
      <c r="H305" s="2">
        <v>75</v>
      </c>
      <c r="I305" s="2">
        <f>G305*H305</f>
        <v>450</v>
      </c>
      <c r="J305" s="2">
        <f>INDEX('Script List'!$H$2:$H$161,MATCH(B305,'Script List'!$A$2:$A$161,0))</f>
        <v>118</v>
      </c>
      <c r="K305" s="2" t="s">
        <v>22</v>
      </c>
      <c r="L305" s="2">
        <f>I305-J305</f>
        <v>332</v>
      </c>
      <c r="M305" s="2">
        <v>7</v>
      </c>
      <c r="N305" s="9">
        <f>DATE(YEAR(C305),MONTH(C305),1)</f>
        <v>46174.0</v>
      </c>
      <c r="O305" s="2" t="str">
        <f>TEXT(N305,"yyyy-mm")</f>
        <v>2026-06</v>
      </c>
    </row>
    <row r="306" spans="1:15">
      <c r="A306" s="2" t="s">
        <v>707</v>
      </c>
      <c r="B306" s="2" t="s">
        <v>131</v>
      </c>
      <c r="C306" s="9">
        <v>46195</v>
      </c>
      <c r="D306" s="2" t="s">
        <v>349</v>
      </c>
      <c r="E306" s="2" t="s">
        <v>214</v>
      </c>
      <c r="F306" s="2">
        <v>1</v>
      </c>
      <c r="G306" s="2">
        <v>6</v>
      </c>
      <c r="H306" s="2">
        <v>75</v>
      </c>
      <c r="I306" s="2">
        <f>G306*H306</f>
        <v>450</v>
      </c>
      <c r="J306" s="2">
        <f>INDEX('Script List'!$H$2:$H$161,MATCH(B306,'Script List'!$A$2:$A$161,0))</f>
        <v>118</v>
      </c>
      <c r="K306" s="2" t="s">
        <v>22</v>
      </c>
      <c r="L306" s="2">
        <f>I306-J306</f>
        <v>332</v>
      </c>
      <c r="M306" s="2">
        <v>7</v>
      </c>
      <c r="N306" s="9">
        <f>DATE(YEAR(C306),MONTH(C306),1)</f>
        <v>46174.0</v>
      </c>
      <c r="O306" s="2" t="str">
        <f>TEXT(N306,"yyyy-mm")</f>
        <v>2026-06</v>
      </c>
    </row>
    <row r="307" spans="1:15">
      <c r="A307" s="2" t="s">
        <v>708</v>
      </c>
      <c r="B307" s="2" t="s">
        <v>131</v>
      </c>
      <c r="C307" s="9">
        <v>46196</v>
      </c>
      <c r="D307" s="2" t="s">
        <v>349</v>
      </c>
      <c r="E307" s="2" t="s">
        <v>214</v>
      </c>
      <c r="F307" s="2">
        <v>1</v>
      </c>
      <c r="G307" s="2">
        <v>6</v>
      </c>
      <c r="H307" s="2">
        <v>75</v>
      </c>
      <c r="I307" s="2">
        <f>G307*H307</f>
        <v>450</v>
      </c>
      <c r="J307" s="2">
        <f>INDEX('Script List'!$H$2:$H$161,MATCH(B307,'Script List'!$A$2:$A$161,0))</f>
        <v>118</v>
      </c>
      <c r="K307" s="2" t="s">
        <v>22</v>
      </c>
      <c r="L307" s="2">
        <f>I307-J307</f>
        <v>332</v>
      </c>
      <c r="M307" s="2">
        <v>7</v>
      </c>
      <c r="N307" s="9">
        <f>DATE(YEAR(C307),MONTH(C307),1)</f>
        <v>46174.0</v>
      </c>
      <c r="O307" s="2" t="str">
        <f>TEXT(N307,"yyyy-mm")</f>
        <v>2026-06</v>
      </c>
    </row>
    <row r="308" spans="1:15">
      <c r="A308" s="2" t="s">
        <v>709</v>
      </c>
      <c r="B308" s="2" t="s">
        <v>131</v>
      </c>
      <c r="C308" s="9">
        <v>46197</v>
      </c>
      <c r="D308" s="2" t="s">
        <v>349</v>
      </c>
      <c r="E308" s="2" t="s">
        <v>214</v>
      </c>
      <c r="F308" s="2">
        <v>1</v>
      </c>
      <c r="G308" s="2">
        <v>6</v>
      </c>
      <c r="H308" s="2">
        <v>75</v>
      </c>
      <c r="I308" s="2">
        <f>G308*H308</f>
        <v>450</v>
      </c>
      <c r="J308" s="2">
        <f>INDEX('Script List'!$H$2:$H$161,MATCH(B308,'Script List'!$A$2:$A$161,0))</f>
        <v>118</v>
      </c>
      <c r="K308" s="2" t="s">
        <v>22</v>
      </c>
      <c r="L308" s="2">
        <f>I308-J308</f>
        <v>332</v>
      </c>
      <c r="M308" s="2">
        <v>7</v>
      </c>
      <c r="N308" s="9">
        <f>DATE(YEAR(C308),MONTH(C308),1)</f>
        <v>46174.0</v>
      </c>
      <c r="O308" s="2" t="str">
        <f>TEXT(N308,"yyyy-mm")</f>
        <v>2026-06</v>
      </c>
    </row>
    <row r="309" spans="1:15">
      <c r="A309" s="2" t="s">
        <v>710</v>
      </c>
      <c r="B309" s="2" t="s">
        <v>131</v>
      </c>
      <c r="C309" s="9">
        <v>46198</v>
      </c>
      <c r="D309" s="2" t="s">
        <v>349</v>
      </c>
      <c r="E309" s="2" t="s">
        <v>214</v>
      </c>
      <c r="F309" s="2">
        <v>1</v>
      </c>
      <c r="G309" s="2">
        <v>6</v>
      </c>
      <c r="H309" s="2">
        <v>75</v>
      </c>
      <c r="I309" s="2">
        <f>G309*H309</f>
        <v>450</v>
      </c>
      <c r="J309" s="2">
        <f>INDEX('Script List'!$H$2:$H$161,MATCH(B309,'Script List'!$A$2:$A$161,0))</f>
        <v>118</v>
      </c>
      <c r="K309" s="2" t="s">
        <v>22</v>
      </c>
      <c r="L309" s="2">
        <f>I309-J309</f>
        <v>332</v>
      </c>
      <c r="M309" s="2">
        <v>7</v>
      </c>
      <c r="N309" s="9">
        <f>DATE(YEAR(C309),MONTH(C309),1)</f>
        <v>46174.0</v>
      </c>
      <c r="O309" s="2" t="str">
        <f>TEXT(N309,"yyyy-mm")</f>
        <v>2026-06</v>
      </c>
    </row>
    <row r="310" spans="1:15">
      <c r="A310" s="2" t="s">
        <v>711</v>
      </c>
      <c r="B310" s="2" t="s">
        <v>132</v>
      </c>
      <c r="C310" s="9">
        <v>46199</v>
      </c>
      <c r="D310" s="2" t="s">
        <v>350</v>
      </c>
      <c r="E310" s="2" t="s">
        <v>218</v>
      </c>
      <c r="F310" s="2">
        <v>3</v>
      </c>
      <c r="G310" s="2">
        <v>7</v>
      </c>
      <c r="H310" s="2">
        <v>118</v>
      </c>
      <c r="I310" s="2">
        <f>G310*H310</f>
        <v>826</v>
      </c>
      <c r="J310" s="2">
        <f>INDEX('Script List'!$H$2:$H$161,MATCH(B310,'Script List'!$A$2:$A$161,0))</f>
        <v>217</v>
      </c>
      <c r="K310" s="2" t="s">
        <v>21</v>
      </c>
      <c r="L310" s="2">
        <f>I310-J310</f>
        <v>609</v>
      </c>
      <c r="M310" s="2">
        <v>7.7</v>
      </c>
      <c r="N310" s="9">
        <f>DATE(YEAR(C310),MONTH(C310),1)</f>
        <v>46174.0</v>
      </c>
      <c r="O310" s="2" t="str">
        <f>TEXT(N310,"yyyy-mm")</f>
        <v>2026-06</v>
      </c>
    </row>
    <row r="311" spans="1:15">
      <c r="A311" s="2" t="s">
        <v>712</v>
      </c>
      <c r="B311" s="2" t="s">
        <v>133</v>
      </c>
      <c r="C311" s="9">
        <v>46200</v>
      </c>
      <c r="D311" s="2" t="s">
        <v>351</v>
      </c>
      <c r="E311" s="2" t="s">
        <v>212</v>
      </c>
      <c r="F311" s="2">
        <v>6</v>
      </c>
      <c r="G311" s="2">
        <v>8</v>
      </c>
      <c r="H311" s="2">
        <v>138</v>
      </c>
      <c r="I311" s="2">
        <f>G311*H311</f>
        <v>1104</v>
      </c>
      <c r="J311" s="2">
        <f>INDEX('Script List'!$H$2:$H$161,MATCH(B311,'Script List'!$A$2:$A$161,0))</f>
        <v>540</v>
      </c>
      <c r="K311" s="2" t="s">
        <v>22</v>
      </c>
      <c r="L311" s="2">
        <f>I311-J311</f>
        <v>564</v>
      </c>
      <c r="M311" s="2">
        <v>8.4</v>
      </c>
      <c r="N311" s="9">
        <f>DATE(YEAR(C311),MONTH(C311),1)</f>
        <v>46174.0</v>
      </c>
      <c r="O311" s="2" t="str">
        <f>TEXT(N311,"yyyy-mm")</f>
        <v>2026-06</v>
      </c>
    </row>
    <row r="312" spans="1:15">
      <c r="A312" s="2" t="s">
        <v>713</v>
      </c>
      <c r="B312" s="2" t="s">
        <v>133</v>
      </c>
      <c r="C312" s="9">
        <v>46201</v>
      </c>
      <c r="D312" s="2" t="s">
        <v>351</v>
      </c>
      <c r="E312" s="2" t="s">
        <v>212</v>
      </c>
      <c r="F312" s="2">
        <v>6</v>
      </c>
      <c r="G312" s="2">
        <v>8</v>
      </c>
      <c r="H312" s="2">
        <v>138</v>
      </c>
      <c r="I312" s="2">
        <f>G312*H312</f>
        <v>1104</v>
      </c>
      <c r="J312" s="2">
        <f>INDEX('Script List'!$H$2:$H$161,MATCH(B312,'Script List'!$A$2:$A$161,0))</f>
        <v>540</v>
      </c>
      <c r="K312" s="2" t="s">
        <v>22</v>
      </c>
      <c r="L312" s="2">
        <f>I312-J312</f>
        <v>564</v>
      </c>
      <c r="M312" s="2">
        <v>8.4</v>
      </c>
      <c r="N312" s="9">
        <f>DATE(YEAR(C312),MONTH(C312),1)</f>
        <v>46174.0</v>
      </c>
      <c r="O312" s="2" t="str">
        <f>TEXT(N312,"yyyy-mm")</f>
        <v>2026-06</v>
      </c>
    </row>
    <row r="313" spans="1:15">
      <c r="A313" s="2" t="s">
        <v>714</v>
      </c>
      <c r="B313" s="2" t="s">
        <v>133</v>
      </c>
      <c r="C313" s="9">
        <v>46202</v>
      </c>
      <c r="D313" s="2" t="s">
        <v>351</v>
      </c>
      <c r="E313" s="2" t="s">
        <v>212</v>
      </c>
      <c r="F313" s="2">
        <v>6</v>
      </c>
      <c r="G313" s="2">
        <v>8</v>
      </c>
      <c r="H313" s="2">
        <v>138</v>
      </c>
      <c r="I313" s="2">
        <f>G313*H313</f>
        <v>1104</v>
      </c>
      <c r="J313" s="2">
        <f>INDEX('Script List'!$H$2:$H$161,MATCH(B313,'Script List'!$A$2:$A$161,0))</f>
        <v>540</v>
      </c>
      <c r="K313" s="2" t="s">
        <v>22</v>
      </c>
      <c r="L313" s="2">
        <f>I313-J313</f>
        <v>564</v>
      </c>
      <c r="M313" s="2">
        <v>8.4</v>
      </c>
      <c r="N313" s="9">
        <f>DATE(YEAR(C313),MONTH(C313),1)</f>
        <v>46174.0</v>
      </c>
      <c r="O313" s="2" t="str">
        <f>TEXT(N313,"yyyy-mm")</f>
        <v>2026-06</v>
      </c>
    </row>
    <row r="314" spans="1:15">
      <c r="A314" s="2" t="s">
        <v>715</v>
      </c>
      <c r="B314" s="2" t="s">
        <v>134</v>
      </c>
      <c r="C314" s="9">
        <v>46203</v>
      </c>
      <c r="D314" s="2" t="s">
        <v>354</v>
      </c>
      <c r="E314" s="2" t="s">
        <v>214</v>
      </c>
      <c r="F314" s="2">
        <v>1</v>
      </c>
      <c r="G314" s="2">
        <v>6</v>
      </c>
      <c r="H314" s="2">
        <v>75</v>
      </c>
      <c r="I314" s="2">
        <f>G314*H314</f>
        <v>450</v>
      </c>
      <c r="J314" s="2">
        <f>INDEX('Script List'!$H$2:$H$161,MATCH(B314,'Script List'!$A$2:$A$161,0))</f>
        <v>118</v>
      </c>
      <c r="K314" s="2" t="s">
        <v>20</v>
      </c>
      <c r="L314" s="2">
        <f>I314-J314</f>
        <v>332</v>
      </c>
      <c r="M314" s="2">
        <v>7.7</v>
      </c>
      <c r="N314" s="9">
        <f>DATE(YEAR(C314),MONTH(C314),1)</f>
        <v>46174.0</v>
      </c>
      <c r="O314" s="2" t="str">
        <f>TEXT(N314,"yyyy-mm")</f>
        <v>2026-06</v>
      </c>
    </row>
    <row r="315" spans="1:15">
      <c r="A315" s="2" t="s">
        <v>716</v>
      </c>
      <c r="B315" s="2" t="s">
        <v>135</v>
      </c>
      <c r="C315" s="9">
        <v>46204</v>
      </c>
      <c r="D315" s="2" t="s">
        <v>355</v>
      </c>
      <c r="E315" s="2" t="s">
        <v>212</v>
      </c>
      <c r="F315" s="2">
        <v>3</v>
      </c>
      <c r="G315" s="2">
        <v>6</v>
      </c>
      <c r="H315" s="2">
        <v>118</v>
      </c>
      <c r="I315" s="2">
        <f>G315*H315</f>
        <v>708</v>
      </c>
      <c r="J315" s="2">
        <f>INDEX('Script List'!$H$2:$H$161,MATCH(B315,'Script List'!$A$2:$A$161,0))</f>
        <v>270</v>
      </c>
      <c r="K315" s="2" t="s">
        <v>22</v>
      </c>
      <c r="L315" s="2">
        <f>I315-J315</f>
        <v>438</v>
      </c>
      <c r="M315" s="2">
        <v>8.4</v>
      </c>
      <c r="N315" s="9">
        <f>DATE(YEAR(C315),MONTH(C315),1)</f>
        <v>46204.0</v>
      </c>
      <c r="O315" s="2" t="str">
        <f>TEXT(N315,"yyyy-mm")</f>
        <v>2026-07</v>
      </c>
    </row>
    <row r="316" spans="1:15">
      <c r="A316" s="2" t="s">
        <v>717</v>
      </c>
      <c r="B316" s="2" t="s">
        <v>135</v>
      </c>
      <c r="C316" s="9">
        <v>46205</v>
      </c>
      <c r="D316" s="2" t="s">
        <v>355</v>
      </c>
      <c r="E316" s="2" t="s">
        <v>212</v>
      </c>
      <c r="F316" s="2">
        <v>3</v>
      </c>
      <c r="G316" s="2">
        <v>6</v>
      </c>
      <c r="H316" s="2">
        <v>118</v>
      </c>
      <c r="I316" s="2">
        <f>G316*H316</f>
        <v>708</v>
      </c>
      <c r="J316" s="2">
        <f>INDEX('Script List'!$H$2:$H$161,MATCH(B316,'Script List'!$A$2:$A$161,0))</f>
        <v>270</v>
      </c>
      <c r="K316" s="2" t="s">
        <v>22</v>
      </c>
      <c r="L316" s="2">
        <f>I316-J316</f>
        <v>438</v>
      </c>
      <c r="M316" s="2">
        <v>8.4</v>
      </c>
      <c r="N316" s="9">
        <f>DATE(YEAR(C316),MONTH(C316),1)</f>
        <v>46204.0</v>
      </c>
      <c r="O316" s="2" t="str">
        <f>TEXT(N316,"yyyy-mm")</f>
        <v>2026-07</v>
      </c>
    </row>
    <row r="317" spans="1:15">
      <c r="A317" s="2" t="s">
        <v>718</v>
      </c>
      <c r="B317" s="2" t="s">
        <v>135</v>
      </c>
      <c r="C317" s="9">
        <v>46206</v>
      </c>
      <c r="D317" s="2" t="s">
        <v>355</v>
      </c>
      <c r="E317" s="2" t="s">
        <v>212</v>
      </c>
      <c r="F317" s="2">
        <v>3</v>
      </c>
      <c r="G317" s="2">
        <v>6</v>
      </c>
      <c r="H317" s="2">
        <v>118</v>
      </c>
      <c r="I317" s="2">
        <f>G317*H317</f>
        <v>708</v>
      </c>
      <c r="J317" s="2">
        <f>INDEX('Script List'!$H$2:$H$161,MATCH(B317,'Script List'!$A$2:$A$161,0))</f>
        <v>270</v>
      </c>
      <c r="K317" s="2" t="s">
        <v>22</v>
      </c>
      <c r="L317" s="2">
        <f>I317-J317</f>
        <v>438</v>
      </c>
      <c r="M317" s="2">
        <v>8.4</v>
      </c>
      <c r="N317" s="9">
        <f>DATE(YEAR(C317),MONTH(C317),1)</f>
        <v>46204.0</v>
      </c>
      <c r="O317" s="2" t="str">
        <f>TEXT(N317,"yyyy-mm")</f>
        <v>2026-07</v>
      </c>
    </row>
    <row r="318" spans="1:15">
      <c r="A318" s="2" t="s">
        <v>719</v>
      </c>
      <c r="B318" s="2" t="s">
        <v>136</v>
      </c>
      <c r="C318" s="9">
        <v>46207</v>
      </c>
      <c r="D318" s="2" t="s">
        <v>358</v>
      </c>
      <c r="E318" s="2" t="s">
        <v>214</v>
      </c>
      <c r="F318" s="2">
        <v>2</v>
      </c>
      <c r="G318" s="2">
        <v>8</v>
      </c>
      <c r="H318" s="2">
        <v>65</v>
      </c>
      <c r="I318" s="2">
        <f>G318*H318</f>
        <v>520</v>
      </c>
      <c r="J318" s="2">
        <f>INDEX('Script List'!$H$2:$H$161,MATCH(B318,'Script List'!$A$2:$A$161,0))</f>
        <v>137</v>
      </c>
      <c r="K318" s="2" t="s">
        <v>20</v>
      </c>
      <c r="L318" s="2">
        <f>I318-J318</f>
        <v>383</v>
      </c>
      <c r="M318" s="2">
        <v>7.7</v>
      </c>
      <c r="N318" s="9">
        <f>DATE(YEAR(C318),MONTH(C318),1)</f>
        <v>46204.0</v>
      </c>
      <c r="O318" s="2" t="str">
        <f>TEXT(N318,"yyyy-mm")</f>
        <v>2026-07</v>
      </c>
    </row>
    <row r="319" spans="1:15">
      <c r="A319" s="2" t="s">
        <v>720</v>
      </c>
      <c r="B319" s="2" t="s">
        <v>136</v>
      </c>
      <c r="C319" s="9">
        <v>46208</v>
      </c>
      <c r="D319" s="2" t="s">
        <v>358</v>
      </c>
      <c r="E319" s="2" t="s">
        <v>214</v>
      </c>
      <c r="F319" s="2">
        <v>2</v>
      </c>
      <c r="G319" s="2">
        <v>8</v>
      </c>
      <c r="H319" s="2">
        <v>65</v>
      </c>
      <c r="I319" s="2">
        <f>G319*H319</f>
        <v>520</v>
      </c>
      <c r="J319" s="2">
        <f>INDEX('Script List'!$H$2:$H$161,MATCH(B319,'Script List'!$A$2:$A$161,0))</f>
        <v>137</v>
      </c>
      <c r="K319" s="2" t="s">
        <v>20</v>
      </c>
      <c r="L319" s="2">
        <f>I319-J319</f>
        <v>383</v>
      </c>
      <c r="M319" s="2">
        <v>7.7</v>
      </c>
      <c r="N319" s="9">
        <f>DATE(YEAR(C319),MONTH(C319),1)</f>
        <v>46204.0</v>
      </c>
      <c r="O319" s="2" t="str">
        <f>TEXT(N319,"yyyy-mm")</f>
        <v>2026-07</v>
      </c>
    </row>
    <row r="320" spans="1:15">
      <c r="A320" s="2" t="s">
        <v>721</v>
      </c>
      <c r="B320" s="2" t="s">
        <v>137</v>
      </c>
      <c r="C320" s="9">
        <v>46209</v>
      </c>
      <c r="D320" s="2" t="s">
        <v>359</v>
      </c>
      <c r="E320" s="2" t="s">
        <v>212</v>
      </c>
      <c r="F320" s="2">
        <v>2</v>
      </c>
      <c r="G320" s="2">
        <v>6</v>
      </c>
      <c r="H320" s="2">
        <v>109</v>
      </c>
      <c r="I320" s="2">
        <f>G320*H320</f>
        <v>654</v>
      </c>
      <c r="J320" s="2">
        <f>INDEX('Script List'!$H$2:$H$161,MATCH(B320,'Script List'!$A$2:$A$161,0))</f>
        <v>180</v>
      </c>
      <c r="K320" s="2" t="s">
        <v>22</v>
      </c>
      <c r="L320" s="2">
        <f>I320-J320</f>
        <v>474</v>
      </c>
      <c r="M320" s="2">
        <v>8.4</v>
      </c>
      <c r="N320" s="9">
        <f>DATE(YEAR(C320),MONTH(C320),1)</f>
        <v>46204.0</v>
      </c>
      <c r="O320" s="2" t="str">
        <f>TEXT(N320,"yyyy-mm")</f>
        <v>2026-07</v>
      </c>
    </row>
    <row r="321" spans="1:15">
      <c r="A321" s="2" t="s">
        <v>722</v>
      </c>
      <c r="B321" s="2" t="s">
        <v>137</v>
      </c>
      <c r="C321" s="9">
        <v>46210</v>
      </c>
      <c r="D321" s="2" t="s">
        <v>359</v>
      </c>
      <c r="E321" s="2" t="s">
        <v>212</v>
      </c>
      <c r="F321" s="2">
        <v>2</v>
      </c>
      <c r="G321" s="2">
        <v>6</v>
      </c>
      <c r="H321" s="2">
        <v>109</v>
      </c>
      <c r="I321" s="2">
        <f>G321*H321</f>
        <v>654</v>
      </c>
      <c r="J321" s="2">
        <f>INDEX('Script List'!$H$2:$H$161,MATCH(B321,'Script List'!$A$2:$A$161,0))</f>
        <v>180</v>
      </c>
      <c r="K321" s="2" t="s">
        <v>22</v>
      </c>
      <c r="L321" s="2">
        <f>I321-J321</f>
        <v>474</v>
      </c>
      <c r="M321" s="2">
        <v>8.4</v>
      </c>
      <c r="N321" s="9">
        <f>DATE(YEAR(C321),MONTH(C321),1)</f>
        <v>46204.0</v>
      </c>
      <c r="O321" s="2" t="str">
        <f>TEXT(N321,"yyyy-mm")</f>
        <v>2026-07</v>
      </c>
    </row>
    <row r="322" spans="1:15">
      <c r="A322" s="2" t="s">
        <v>723</v>
      </c>
      <c r="B322" s="2" t="s">
        <v>137</v>
      </c>
      <c r="C322" s="9">
        <v>46211</v>
      </c>
      <c r="D322" s="2" t="s">
        <v>359</v>
      </c>
      <c r="E322" s="2" t="s">
        <v>212</v>
      </c>
      <c r="F322" s="2">
        <v>2</v>
      </c>
      <c r="G322" s="2">
        <v>6</v>
      </c>
      <c r="H322" s="2">
        <v>109</v>
      </c>
      <c r="I322" s="2">
        <f>G322*H322</f>
        <v>654</v>
      </c>
      <c r="J322" s="2">
        <f>INDEX('Script List'!$H$2:$H$161,MATCH(B322,'Script List'!$A$2:$A$161,0))</f>
        <v>180</v>
      </c>
      <c r="K322" s="2" t="s">
        <v>22</v>
      </c>
      <c r="L322" s="2">
        <f>I322-J322</f>
        <v>474</v>
      </c>
      <c r="M322" s="2">
        <v>8.4</v>
      </c>
      <c r="N322" s="9">
        <f>DATE(YEAR(C322),MONTH(C322),1)</f>
        <v>46204.0</v>
      </c>
      <c r="O322" s="2" t="str">
        <f>TEXT(N322,"yyyy-mm")</f>
        <v>2026-07</v>
      </c>
    </row>
    <row r="323" spans="1:15">
      <c r="A323" s="2" t="s">
        <v>724</v>
      </c>
      <c r="B323" s="2" t="s">
        <v>137</v>
      </c>
      <c r="C323" s="9">
        <v>46212</v>
      </c>
      <c r="D323" s="2" t="s">
        <v>359</v>
      </c>
      <c r="E323" s="2" t="s">
        <v>212</v>
      </c>
      <c r="F323" s="2">
        <v>2</v>
      </c>
      <c r="G323" s="2">
        <v>6</v>
      </c>
      <c r="H323" s="2">
        <v>109</v>
      </c>
      <c r="I323" s="2">
        <f>G323*H323</f>
        <v>654</v>
      </c>
      <c r="J323" s="2">
        <f>INDEX('Script List'!$H$2:$H$161,MATCH(B323,'Script List'!$A$2:$A$161,0))</f>
        <v>180</v>
      </c>
      <c r="K323" s="2" t="s">
        <v>22</v>
      </c>
      <c r="L323" s="2">
        <f>I323-J323</f>
        <v>474</v>
      </c>
      <c r="M323" s="2">
        <v>8.4</v>
      </c>
      <c r="N323" s="9">
        <f>DATE(YEAR(C323),MONTH(C323),1)</f>
        <v>46204.0</v>
      </c>
      <c r="O323" s="2" t="str">
        <f>TEXT(N323,"yyyy-mm")</f>
        <v>2026-07</v>
      </c>
    </row>
    <row r="324" spans="1:15">
      <c r="A324" s="2" t="s">
        <v>725</v>
      </c>
      <c r="B324" s="2" t="s">
        <v>138</v>
      </c>
      <c r="C324" s="9">
        <v>46213</v>
      </c>
      <c r="D324" s="2" t="s">
        <v>362</v>
      </c>
      <c r="E324" s="2" t="s">
        <v>214</v>
      </c>
      <c r="F324" s="2">
        <v>1</v>
      </c>
      <c r="G324" s="2">
        <v>6</v>
      </c>
      <c r="H324" s="2">
        <v>119</v>
      </c>
      <c r="I324" s="2">
        <f>G324*H324</f>
        <v>714</v>
      </c>
      <c r="J324" s="2">
        <f>INDEX('Script List'!$H$2:$H$161,MATCH(B324,'Script List'!$A$2:$A$161,0))</f>
        <v>187</v>
      </c>
      <c r="K324" s="2" t="s">
        <v>22</v>
      </c>
      <c r="L324" s="2">
        <f>I324-J324</f>
        <v>527</v>
      </c>
      <c r="M324" s="2">
        <v>7.7</v>
      </c>
      <c r="N324" s="9">
        <f>DATE(YEAR(C324),MONTH(C324),1)</f>
        <v>46204.0</v>
      </c>
      <c r="O324" s="2" t="str">
        <f>TEXT(N324,"yyyy-mm")</f>
        <v>2026-07</v>
      </c>
    </row>
    <row r="325" spans="1:15">
      <c r="A325" s="2" t="s">
        <v>726</v>
      </c>
      <c r="B325" s="2" t="s">
        <v>138</v>
      </c>
      <c r="C325" s="9">
        <v>46214</v>
      </c>
      <c r="D325" s="2" t="s">
        <v>362</v>
      </c>
      <c r="E325" s="2" t="s">
        <v>214</v>
      </c>
      <c r="F325" s="2">
        <v>1</v>
      </c>
      <c r="G325" s="2">
        <v>6</v>
      </c>
      <c r="H325" s="2">
        <v>119</v>
      </c>
      <c r="I325" s="2">
        <f>G325*H325</f>
        <v>714</v>
      </c>
      <c r="J325" s="2">
        <f>INDEX('Script List'!$H$2:$H$161,MATCH(B325,'Script List'!$A$2:$A$161,0))</f>
        <v>187</v>
      </c>
      <c r="K325" s="2" t="s">
        <v>22</v>
      </c>
      <c r="L325" s="2">
        <f>I325-J325</f>
        <v>527</v>
      </c>
      <c r="M325" s="2">
        <v>7.7</v>
      </c>
      <c r="N325" s="9">
        <f>DATE(YEAR(C325),MONTH(C325),1)</f>
        <v>46204.0</v>
      </c>
      <c r="O325" s="2" t="str">
        <f>TEXT(N325,"yyyy-mm")</f>
        <v>2026-07</v>
      </c>
    </row>
    <row r="326" spans="1:15">
      <c r="A326" s="2" t="s">
        <v>727</v>
      </c>
      <c r="B326" s="2" t="s">
        <v>139</v>
      </c>
      <c r="C326" s="9">
        <v>46215</v>
      </c>
      <c r="D326" s="2" t="s">
        <v>363</v>
      </c>
      <c r="E326" s="2" t="s">
        <v>218</v>
      </c>
      <c r="F326" s="2">
        <v>3</v>
      </c>
      <c r="G326" s="2">
        <v>7</v>
      </c>
      <c r="H326" s="2">
        <v>95</v>
      </c>
      <c r="I326" s="2">
        <f>G326*H326</f>
        <v>665</v>
      </c>
      <c r="J326" s="2">
        <f>INDEX('Script List'!$H$2:$H$161,MATCH(B326,'Script List'!$A$2:$A$161,0))</f>
        <v>175</v>
      </c>
      <c r="K326" s="2" t="s">
        <v>21</v>
      </c>
      <c r="L326" s="2">
        <f>I326-J326</f>
        <v>490</v>
      </c>
      <c r="M326" s="2">
        <v>8.4</v>
      </c>
      <c r="N326" s="9">
        <f>DATE(YEAR(C326),MONTH(C326),1)</f>
        <v>46204.0</v>
      </c>
      <c r="O326" s="2" t="str">
        <f>TEXT(N326,"yyyy-mm")</f>
        <v>2026-07</v>
      </c>
    </row>
    <row r="327" spans="1:15">
      <c r="A327" s="2" t="s">
        <v>728</v>
      </c>
      <c r="B327" s="2" t="s">
        <v>139</v>
      </c>
      <c r="C327" s="9">
        <v>46216</v>
      </c>
      <c r="D327" s="2" t="s">
        <v>363</v>
      </c>
      <c r="E327" s="2" t="s">
        <v>218</v>
      </c>
      <c r="F327" s="2">
        <v>3</v>
      </c>
      <c r="G327" s="2">
        <v>7</v>
      </c>
      <c r="H327" s="2">
        <v>95</v>
      </c>
      <c r="I327" s="2">
        <f>G327*H327</f>
        <v>665</v>
      </c>
      <c r="J327" s="2">
        <f>INDEX('Script List'!$H$2:$H$161,MATCH(B327,'Script List'!$A$2:$A$161,0))</f>
        <v>175</v>
      </c>
      <c r="K327" s="2" t="s">
        <v>21</v>
      </c>
      <c r="L327" s="2">
        <f>I327-J327</f>
        <v>490</v>
      </c>
      <c r="M327" s="2">
        <v>8.4</v>
      </c>
      <c r="N327" s="9">
        <f>DATE(YEAR(C327),MONTH(C327),1)</f>
        <v>46204.0</v>
      </c>
      <c r="O327" s="2" t="str">
        <f>TEXT(N327,"yyyy-mm")</f>
        <v>2026-07</v>
      </c>
    </row>
    <row r="328" spans="1:15">
      <c r="A328" s="2" t="s">
        <v>729</v>
      </c>
      <c r="B328" s="2" t="s">
        <v>139</v>
      </c>
      <c r="C328" s="9">
        <v>46217</v>
      </c>
      <c r="D328" s="2" t="s">
        <v>363</v>
      </c>
      <c r="E328" s="2" t="s">
        <v>218</v>
      </c>
      <c r="F328" s="2">
        <v>3</v>
      </c>
      <c r="G328" s="2">
        <v>7</v>
      </c>
      <c r="H328" s="2">
        <v>95</v>
      </c>
      <c r="I328" s="2">
        <f>G328*H328</f>
        <v>665</v>
      </c>
      <c r="J328" s="2">
        <f>INDEX('Script List'!$H$2:$H$161,MATCH(B328,'Script List'!$A$2:$A$161,0))</f>
        <v>175</v>
      </c>
      <c r="K328" s="2" t="s">
        <v>21</v>
      </c>
      <c r="L328" s="2">
        <f>I328-J328</f>
        <v>490</v>
      </c>
      <c r="M328" s="2">
        <v>8.4</v>
      </c>
      <c r="N328" s="9">
        <f>DATE(YEAR(C328),MONTH(C328),1)</f>
        <v>46204.0</v>
      </c>
      <c r="O328" s="2" t="str">
        <f>TEXT(N328,"yyyy-mm")</f>
        <v>2026-07</v>
      </c>
    </row>
    <row r="329" spans="1:15">
      <c r="A329" s="2" t="s">
        <v>730</v>
      </c>
      <c r="B329" s="2" t="s">
        <v>139</v>
      </c>
      <c r="C329" s="9">
        <v>46218</v>
      </c>
      <c r="D329" s="2" t="s">
        <v>363</v>
      </c>
      <c r="E329" s="2" t="s">
        <v>218</v>
      </c>
      <c r="F329" s="2">
        <v>3</v>
      </c>
      <c r="G329" s="2">
        <v>7</v>
      </c>
      <c r="H329" s="2">
        <v>95</v>
      </c>
      <c r="I329" s="2">
        <f>G329*H329</f>
        <v>665</v>
      </c>
      <c r="J329" s="2">
        <f>INDEX('Script List'!$H$2:$H$161,MATCH(B329,'Script List'!$A$2:$A$161,0))</f>
        <v>175</v>
      </c>
      <c r="K329" s="2" t="s">
        <v>21</v>
      </c>
      <c r="L329" s="2">
        <f>I329-J329</f>
        <v>490</v>
      </c>
      <c r="M329" s="2">
        <v>8.4</v>
      </c>
      <c r="N329" s="9">
        <f>DATE(YEAR(C329),MONTH(C329),1)</f>
        <v>46204.0</v>
      </c>
      <c r="O329" s="2" t="str">
        <f>TEXT(N329,"yyyy-mm")</f>
        <v>2026-07</v>
      </c>
    </row>
    <row r="330" spans="1:15">
      <c r="A330" s="2" t="s">
        <v>731</v>
      </c>
      <c r="B330" s="2" t="s">
        <v>140</v>
      </c>
      <c r="C330" s="9">
        <v>46219</v>
      </c>
      <c r="D330" s="2" t="s">
        <v>364</v>
      </c>
      <c r="E330" s="2" t="s">
        <v>212</v>
      </c>
      <c r="F330" s="2">
        <v>6</v>
      </c>
      <c r="G330" s="2">
        <v>8</v>
      </c>
      <c r="H330" s="2">
        <v>109</v>
      </c>
      <c r="I330" s="2">
        <f>G330*H330</f>
        <v>872</v>
      </c>
      <c r="J330" s="2">
        <f>INDEX('Script List'!$H$2:$H$161,MATCH(B330,'Script List'!$A$2:$A$161,0))</f>
        <v>540</v>
      </c>
      <c r="K330" s="2" t="s">
        <v>22</v>
      </c>
      <c r="L330" s="2">
        <f>I330-J330</f>
        <v>332</v>
      </c>
      <c r="M330" s="2">
        <v>7</v>
      </c>
      <c r="N330" s="9">
        <f>DATE(YEAR(C330),MONTH(C330),1)</f>
        <v>46204.0</v>
      </c>
      <c r="O330" s="2" t="str">
        <f>TEXT(N330,"yyyy-mm")</f>
        <v>2026-07</v>
      </c>
    </row>
    <row r="331" spans="1:15">
      <c r="A331" s="2" t="s">
        <v>732</v>
      </c>
      <c r="B331" s="2" t="s">
        <v>141</v>
      </c>
      <c r="C331" s="9">
        <v>46220</v>
      </c>
      <c r="D331" s="2" t="s">
        <v>365</v>
      </c>
      <c r="E331" s="2" t="s">
        <v>212</v>
      </c>
      <c r="F331" s="2">
        <v>2</v>
      </c>
      <c r="G331" s="2">
        <v>6</v>
      </c>
      <c r="H331" s="2">
        <v>118</v>
      </c>
      <c r="I331" s="2">
        <f>G331*H331</f>
        <v>708</v>
      </c>
      <c r="J331" s="2">
        <f>INDEX('Script List'!$H$2:$H$161,MATCH(B331,'Script List'!$A$2:$A$161,0))</f>
        <v>180</v>
      </c>
      <c r="K331" s="2" t="s">
        <v>22</v>
      </c>
      <c r="L331" s="2">
        <f>I331-J331</f>
        <v>528</v>
      </c>
      <c r="M331" s="2">
        <v>7.7</v>
      </c>
      <c r="N331" s="9">
        <f>DATE(YEAR(C331),MONTH(C331),1)</f>
        <v>46204.0</v>
      </c>
      <c r="O331" s="2" t="str">
        <f>TEXT(N331,"yyyy-mm")</f>
        <v>2026-07</v>
      </c>
    </row>
    <row r="332" spans="1:15">
      <c r="A332" s="2" t="s">
        <v>733</v>
      </c>
      <c r="B332" s="2" t="s">
        <v>141</v>
      </c>
      <c r="C332" s="9">
        <v>46221</v>
      </c>
      <c r="D332" s="2" t="s">
        <v>365</v>
      </c>
      <c r="E332" s="2" t="s">
        <v>212</v>
      </c>
      <c r="F332" s="2">
        <v>2</v>
      </c>
      <c r="G332" s="2">
        <v>6</v>
      </c>
      <c r="H332" s="2">
        <v>118</v>
      </c>
      <c r="I332" s="2">
        <f>G332*H332</f>
        <v>708</v>
      </c>
      <c r="J332" s="2">
        <f>INDEX('Script List'!$H$2:$H$161,MATCH(B332,'Script List'!$A$2:$A$161,0))</f>
        <v>180</v>
      </c>
      <c r="K332" s="2" t="s">
        <v>22</v>
      </c>
      <c r="L332" s="2">
        <f>I332-J332</f>
        <v>528</v>
      </c>
      <c r="M332" s="2">
        <v>7.7</v>
      </c>
      <c r="N332" s="9">
        <f>DATE(YEAR(C332),MONTH(C332),1)</f>
        <v>46204.0</v>
      </c>
      <c r="O332" s="2" t="str">
        <f>TEXT(N332,"yyyy-mm")</f>
        <v>2026-07</v>
      </c>
    </row>
    <row r="333" spans="1:15">
      <c r="A333" s="2" t="s">
        <v>734</v>
      </c>
      <c r="B333" s="2" t="s">
        <v>142</v>
      </c>
      <c r="C333" s="9">
        <v>46222</v>
      </c>
      <c r="D333" s="2" t="s">
        <v>366</v>
      </c>
      <c r="E333" s="2" t="s">
        <v>214</v>
      </c>
      <c r="F333" s="2">
        <v>1</v>
      </c>
      <c r="G333" s="2">
        <v>6</v>
      </c>
      <c r="H333" s="2">
        <v>119</v>
      </c>
      <c r="I333" s="2">
        <f>G333*H333</f>
        <v>714</v>
      </c>
      <c r="J333" s="2">
        <f>INDEX('Script List'!$H$2:$H$161,MATCH(B333,'Script List'!$A$2:$A$161,0))</f>
        <v>187</v>
      </c>
      <c r="K333" s="2" t="s">
        <v>20</v>
      </c>
      <c r="L333" s="2">
        <f>I333-J333</f>
        <v>527</v>
      </c>
      <c r="M333" s="2">
        <v>8.4</v>
      </c>
      <c r="N333" s="9">
        <f>DATE(YEAR(C333),MONTH(C333),1)</f>
        <v>46204.0</v>
      </c>
      <c r="O333" s="2" t="str">
        <f>TEXT(N333,"yyyy-mm")</f>
        <v>2026-07</v>
      </c>
    </row>
    <row r="334" spans="1:15">
      <c r="A334" s="2" t="s">
        <v>735</v>
      </c>
      <c r="B334" s="2" t="s">
        <v>142</v>
      </c>
      <c r="C334" s="9">
        <v>46223</v>
      </c>
      <c r="D334" s="2" t="s">
        <v>366</v>
      </c>
      <c r="E334" s="2" t="s">
        <v>214</v>
      </c>
      <c r="F334" s="2">
        <v>1</v>
      </c>
      <c r="G334" s="2">
        <v>6</v>
      </c>
      <c r="H334" s="2">
        <v>119</v>
      </c>
      <c r="I334" s="2">
        <f>G334*H334</f>
        <v>714</v>
      </c>
      <c r="J334" s="2">
        <f>INDEX('Script List'!$H$2:$H$161,MATCH(B334,'Script List'!$A$2:$A$161,0))</f>
        <v>187</v>
      </c>
      <c r="K334" s="2" t="s">
        <v>20</v>
      </c>
      <c r="L334" s="2">
        <f>I334-J334</f>
        <v>527</v>
      </c>
      <c r="M334" s="2">
        <v>8.4</v>
      </c>
      <c r="N334" s="9">
        <f>DATE(YEAR(C334),MONTH(C334),1)</f>
        <v>46204.0</v>
      </c>
      <c r="O334" s="2" t="str">
        <f>TEXT(N334,"yyyy-mm")</f>
        <v>2026-07</v>
      </c>
    </row>
    <row r="335" spans="1:15">
      <c r="A335" s="2" t="s">
        <v>736</v>
      </c>
      <c r="B335" s="2" t="s">
        <v>142</v>
      </c>
      <c r="C335" s="9">
        <v>46224</v>
      </c>
      <c r="D335" s="2" t="s">
        <v>366</v>
      </c>
      <c r="E335" s="2" t="s">
        <v>214</v>
      </c>
      <c r="F335" s="2">
        <v>1</v>
      </c>
      <c r="G335" s="2">
        <v>6</v>
      </c>
      <c r="H335" s="2">
        <v>119</v>
      </c>
      <c r="I335" s="2">
        <f>G335*H335</f>
        <v>714</v>
      </c>
      <c r="J335" s="2">
        <f>INDEX('Script List'!$H$2:$H$161,MATCH(B335,'Script List'!$A$2:$A$161,0))</f>
        <v>187</v>
      </c>
      <c r="K335" s="2" t="s">
        <v>20</v>
      </c>
      <c r="L335" s="2">
        <f>I335-J335</f>
        <v>527</v>
      </c>
      <c r="M335" s="2">
        <v>8.4</v>
      </c>
      <c r="N335" s="9">
        <f>DATE(YEAR(C335),MONTH(C335),1)</f>
        <v>46204.0</v>
      </c>
      <c r="O335" s="2" t="str">
        <f>TEXT(N335,"yyyy-mm")</f>
        <v>2026-07</v>
      </c>
    </row>
    <row r="336" spans="1:15">
      <c r="A336" s="2" t="s">
        <v>737</v>
      </c>
      <c r="B336" s="2" t="s">
        <v>142</v>
      </c>
      <c r="C336" s="9">
        <v>46225</v>
      </c>
      <c r="D336" s="2" t="s">
        <v>366</v>
      </c>
      <c r="E336" s="2" t="s">
        <v>214</v>
      </c>
      <c r="F336" s="2">
        <v>1</v>
      </c>
      <c r="G336" s="2">
        <v>6</v>
      </c>
      <c r="H336" s="2">
        <v>119</v>
      </c>
      <c r="I336" s="2">
        <f>G336*H336</f>
        <v>714</v>
      </c>
      <c r="J336" s="2">
        <f>INDEX('Script List'!$H$2:$H$161,MATCH(B336,'Script List'!$A$2:$A$161,0))</f>
        <v>187</v>
      </c>
      <c r="K336" s="2" t="s">
        <v>20</v>
      </c>
      <c r="L336" s="2">
        <f>I336-J336</f>
        <v>527</v>
      </c>
      <c r="M336" s="2">
        <v>8.4</v>
      </c>
      <c r="N336" s="9">
        <f>DATE(YEAR(C336),MONTH(C336),1)</f>
        <v>46204.0</v>
      </c>
      <c r="O336" s="2" t="str">
        <f>TEXT(N336,"yyyy-mm")</f>
        <v>2026-07</v>
      </c>
    </row>
    <row r="337" spans="1:15">
      <c r="A337" s="2" t="s">
        <v>738</v>
      </c>
      <c r="B337" s="2" t="s">
        <v>142</v>
      </c>
      <c r="C337" s="9">
        <v>46226</v>
      </c>
      <c r="D337" s="2" t="s">
        <v>366</v>
      </c>
      <c r="E337" s="2" t="s">
        <v>214</v>
      </c>
      <c r="F337" s="2">
        <v>1</v>
      </c>
      <c r="G337" s="2">
        <v>6</v>
      </c>
      <c r="H337" s="2">
        <v>119</v>
      </c>
      <c r="I337" s="2">
        <f>G337*H337</f>
        <v>714</v>
      </c>
      <c r="J337" s="2">
        <f>INDEX('Script List'!$H$2:$H$161,MATCH(B337,'Script List'!$A$2:$A$161,0))</f>
        <v>187</v>
      </c>
      <c r="K337" s="2" t="s">
        <v>20</v>
      </c>
      <c r="L337" s="2">
        <f>I337-J337</f>
        <v>527</v>
      </c>
      <c r="M337" s="2">
        <v>8.4</v>
      </c>
      <c r="N337" s="9">
        <f>DATE(YEAR(C337),MONTH(C337),1)</f>
        <v>46204.0</v>
      </c>
      <c r="O337" s="2" t="str">
        <f>TEXT(N337,"yyyy-mm")</f>
        <v>2026-07</v>
      </c>
    </row>
    <row r="338" spans="1:15">
      <c r="A338" s="2" t="s">
        <v>739</v>
      </c>
      <c r="B338" s="2" t="s">
        <v>143</v>
      </c>
      <c r="C338" s="9">
        <v>46226</v>
      </c>
      <c r="D338" s="2" t="s">
        <v>367</v>
      </c>
      <c r="E338" s="2" t="s">
        <v>212</v>
      </c>
      <c r="F338" s="2">
        <v>3</v>
      </c>
      <c r="G338" s="2">
        <v>6</v>
      </c>
      <c r="H338" s="2">
        <v>99</v>
      </c>
      <c r="I338" s="2">
        <f>G338*H338</f>
        <v>594</v>
      </c>
      <c r="J338" s="2">
        <f>INDEX('Script List'!$H$2:$H$161,MATCH(B338,'Script List'!$A$2:$A$161,0))</f>
        <v>270</v>
      </c>
      <c r="K338" s="2" t="s">
        <v>22</v>
      </c>
      <c r="L338" s="2">
        <f>I338-J338</f>
        <v>324</v>
      </c>
      <c r="M338" s="2">
        <v>7</v>
      </c>
      <c r="N338" s="9">
        <f>DATE(YEAR(C338),MONTH(C338),1)</f>
        <v>46204.0</v>
      </c>
      <c r="O338" s="2" t="str">
        <f>TEXT(N338,"yyyy-mm")</f>
        <v>2026-07</v>
      </c>
    </row>
    <row r="339" spans="1:15">
      <c r="A339" s="2" t="s">
        <v>740</v>
      </c>
      <c r="B339" s="2" t="s">
        <v>144</v>
      </c>
      <c r="C339" s="9">
        <v>46227</v>
      </c>
      <c r="D339" s="2" t="s">
        <v>368</v>
      </c>
      <c r="E339" s="2" t="s">
        <v>218</v>
      </c>
      <c r="F339" s="2">
        <v>3</v>
      </c>
      <c r="G339" s="2">
        <v>7</v>
      </c>
      <c r="H339" s="2">
        <v>109</v>
      </c>
      <c r="I339" s="2">
        <f>G339*H339</f>
        <v>763</v>
      </c>
      <c r="J339" s="2">
        <f>INDEX('Script List'!$H$2:$H$161,MATCH(B339,'Script List'!$A$2:$A$161,0))</f>
        <v>200</v>
      </c>
      <c r="K339" s="2" t="s">
        <v>21</v>
      </c>
      <c r="L339" s="2">
        <f>I339-J339</f>
        <v>563</v>
      </c>
      <c r="M339" s="2">
        <v>7.7</v>
      </c>
      <c r="N339" s="9">
        <f>DATE(YEAR(C339),MONTH(C339),1)</f>
        <v>46204.0</v>
      </c>
      <c r="O339" s="2" t="str">
        <f>TEXT(N339,"yyyy-mm")</f>
        <v>2026-07</v>
      </c>
    </row>
    <row r="340" spans="1:15">
      <c r="A340" s="2" t="s">
        <v>741</v>
      </c>
      <c r="B340" s="2" t="s">
        <v>144</v>
      </c>
      <c r="C340" s="9">
        <v>46228</v>
      </c>
      <c r="D340" s="2" t="s">
        <v>368</v>
      </c>
      <c r="E340" s="2" t="s">
        <v>218</v>
      </c>
      <c r="F340" s="2">
        <v>3</v>
      </c>
      <c r="G340" s="2">
        <v>7</v>
      </c>
      <c r="H340" s="2">
        <v>109</v>
      </c>
      <c r="I340" s="2">
        <f>G340*H340</f>
        <v>763</v>
      </c>
      <c r="J340" s="2">
        <f>INDEX('Script List'!$H$2:$H$161,MATCH(B340,'Script List'!$A$2:$A$161,0))</f>
        <v>200</v>
      </c>
      <c r="K340" s="2" t="s">
        <v>21</v>
      </c>
      <c r="L340" s="2">
        <f>I340-J340</f>
        <v>563</v>
      </c>
      <c r="M340" s="2">
        <v>7.7</v>
      </c>
      <c r="N340" s="9">
        <f>DATE(YEAR(C340),MONTH(C340),1)</f>
        <v>46204.0</v>
      </c>
      <c r="O340" s="2" t="str">
        <f>TEXT(N340,"yyyy-mm")</f>
        <v>2026-07</v>
      </c>
    </row>
    <row r="341" spans="1:15">
      <c r="A341" s="2" t="s">
        <v>742</v>
      </c>
      <c r="B341" s="2" t="s">
        <v>145</v>
      </c>
      <c r="C341" s="9">
        <v>46229</v>
      </c>
      <c r="D341" s="2" t="s">
        <v>369</v>
      </c>
      <c r="E341" s="2" t="s">
        <v>214</v>
      </c>
      <c r="F341" s="2">
        <v>2</v>
      </c>
      <c r="G341" s="2">
        <v>8</v>
      </c>
      <c r="H341" s="2">
        <v>95</v>
      </c>
      <c r="I341" s="2">
        <f>G341*H341</f>
        <v>760</v>
      </c>
      <c r="J341" s="2">
        <f>INDEX('Script List'!$H$2:$H$161,MATCH(B341,'Script List'!$A$2:$A$161,0))</f>
        <v>200</v>
      </c>
      <c r="K341" s="2" t="s">
        <v>20</v>
      </c>
      <c r="L341" s="2">
        <f>I341-J341</f>
        <v>560</v>
      </c>
      <c r="M341" s="2">
        <v>8.4</v>
      </c>
      <c r="N341" s="9">
        <f>DATE(YEAR(C341),MONTH(C341),1)</f>
        <v>46204.0</v>
      </c>
      <c r="O341" s="2" t="str">
        <f>TEXT(N341,"yyyy-mm")</f>
        <v>2026-07</v>
      </c>
    </row>
    <row r="342" spans="1:15">
      <c r="A342" s="2" t="s">
        <v>743</v>
      </c>
      <c r="B342" s="2" t="s">
        <v>145</v>
      </c>
      <c r="C342" s="9">
        <v>46230</v>
      </c>
      <c r="D342" s="2" t="s">
        <v>369</v>
      </c>
      <c r="E342" s="2" t="s">
        <v>214</v>
      </c>
      <c r="F342" s="2">
        <v>2</v>
      </c>
      <c r="G342" s="2">
        <v>8</v>
      </c>
      <c r="H342" s="2">
        <v>95</v>
      </c>
      <c r="I342" s="2">
        <f>G342*H342</f>
        <v>760</v>
      </c>
      <c r="J342" s="2">
        <f>INDEX('Script List'!$H$2:$H$161,MATCH(B342,'Script List'!$A$2:$A$161,0))</f>
        <v>200</v>
      </c>
      <c r="K342" s="2" t="s">
        <v>20</v>
      </c>
      <c r="L342" s="2">
        <f>I342-J342</f>
        <v>560</v>
      </c>
      <c r="M342" s="2">
        <v>8.4</v>
      </c>
      <c r="N342" s="9">
        <f>DATE(YEAR(C342),MONTH(C342),1)</f>
        <v>46204.0</v>
      </c>
      <c r="O342" s="2" t="str">
        <f>TEXT(N342,"yyyy-mm")</f>
        <v>2026-07</v>
      </c>
    </row>
    <row r="343" spans="1:15">
      <c r="A343" s="2" t="s">
        <v>744</v>
      </c>
      <c r="B343" s="2" t="s">
        <v>145</v>
      </c>
      <c r="C343" s="9">
        <v>46231</v>
      </c>
      <c r="D343" s="2" t="s">
        <v>369</v>
      </c>
      <c r="E343" s="2" t="s">
        <v>214</v>
      </c>
      <c r="F343" s="2">
        <v>2</v>
      </c>
      <c r="G343" s="2">
        <v>8</v>
      </c>
      <c r="H343" s="2">
        <v>95</v>
      </c>
      <c r="I343" s="2">
        <f>G343*H343</f>
        <v>760</v>
      </c>
      <c r="J343" s="2">
        <f>INDEX('Script List'!$H$2:$H$161,MATCH(B343,'Script List'!$A$2:$A$161,0))</f>
        <v>200</v>
      </c>
      <c r="K343" s="2" t="s">
        <v>20</v>
      </c>
      <c r="L343" s="2">
        <f>I343-J343</f>
        <v>560</v>
      </c>
      <c r="M343" s="2">
        <v>8.4</v>
      </c>
      <c r="N343" s="9">
        <f>DATE(YEAR(C343),MONTH(C343),1)</f>
        <v>46204.0</v>
      </c>
      <c r="O343" s="2" t="str">
        <f>TEXT(N343,"yyyy-mm")</f>
        <v>2026-07</v>
      </c>
    </row>
    <row r="344" spans="1:15">
      <c r="A344" s="2" t="s">
        <v>745</v>
      </c>
      <c r="B344" s="2" t="s">
        <v>145</v>
      </c>
      <c r="C344" s="9">
        <v>46232</v>
      </c>
      <c r="D344" s="2" t="s">
        <v>369</v>
      </c>
      <c r="E344" s="2" t="s">
        <v>214</v>
      </c>
      <c r="F344" s="2">
        <v>2</v>
      </c>
      <c r="G344" s="2">
        <v>8</v>
      </c>
      <c r="H344" s="2">
        <v>95</v>
      </c>
      <c r="I344" s="2">
        <f>G344*H344</f>
        <v>760</v>
      </c>
      <c r="J344" s="2">
        <f>INDEX('Script List'!$H$2:$H$161,MATCH(B344,'Script List'!$A$2:$A$161,0))</f>
        <v>200</v>
      </c>
      <c r="K344" s="2" t="s">
        <v>20</v>
      </c>
      <c r="L344" s="2">
        <f>I344-J344</f>
        <v>560</v>
      </c>
      <c r="M344" s="2">
        <v>8.4</v>
      </c>
      <c r="N344" s="9">
        <f>DATE(YEAR(C344),MONTH(C344),1)</f>
        <v>46204.0</v>
      </c>
      <c r="O344" s="2" t="str">
        <f>TEXT(N344,"yyyy-mm")</f>
        <v>2026-07</v>
      </c>
    </row>
    <row r="345" spans="1:15">
      <c r="A345" s="2" t="s">
        <v>746</v>
      </c>
      <c r="B345" s="2" t="s">
        <v>145</v>
      </c>
      <c r="C345" s="9">
        <v>46233</v>
      </c>
      <c r="D345" s="2" t="s">
        <v>369</v>
      </c>
      <c r="E345" s="2" t="s">
        <v>214</v>
      </c>
      <c r="F345" s="2">
        <v>2</v>
      </c>
      <c r="G345" s="2">
        <v>8</v>
      </c>
      <c r="H345" s="2">
        <v>95</v>
      </c>
      <c r="I345" s="2">
        <f>G345*H345</f>
        <v>760</v>
      </c>
      <c r="J345" s="2">
        <f>INDEX('Script List'!$H$2:$H$161,MATCH(B345,'Script List'!$A$2:$A$161,0))</f>
        <v>200</v>
      </c>
      <c r="K345" s="2" t="s">
        <v>20</v>
      </c>
      <c r="L345" s="2">
        <f>I345-J345</f>
        <v>560</v>
      </c>
      <c r="M345" s="2">
        <v>8.4</v>
      </c>
      <c r="N345" s="9">
        <f>DATE(YEAR(C345),MONTH(C345),1)</f>
        <v>46204.0</v>
      </c>
      <c r="O345" s="2" t="str">
        <f>TEXT(N345,"yyyy-mm")</f>
        <v>2026-07</v>
      </c>
    </row>
    <row r="346" spans="1:15">
      <c r="A346" s="2" t="s">
        <v>747</v>
      </c>
      <c r="B346" s="2" t="s">
        <v>145</v>
      </c>
      <c r="C346" s="9">
        <v>46234</v>
      </c>
      <c r="D346" s="2" t="s">
        <v>369</v>
      </c>
      <c r="E346" s="2" t="s">
        <v>214</v>
      </c>
      <c r="F346" s="2">
        <v>2</v>
      </c>
      <c r="G346" s="2">
        <v>8</v>
      </c>
      <c r="H346" s="2">
        <v>95</v>
      </c>
      <c r="I346" s="2">
        <f>G346*H346</f>
        <v>760</v>
      </c>
      <c r="J346" s="2">
        <f>INDEX('Script List'!$H$2:$H$161,MATCH(B346,'Script List'!$A$2:$A$161,0))</f>
        <v>200</v>
      </c>
      <c r="K346" s="2" t="s">
        <v>20</v>
      </c>
      <c r="L346" s="2">
        <f>I346-J346</f>
        <v>560</v>
      </c>
      <c r="M346" s="2">
        <v>8.4</v>
      </c>
      <c r="N346" s="9">
        <f>DATE(YEAR(C346),MONTH(C346),1)</f>
        <v>46204.0</v>
      </c>
      <c r="O346" s="2" t="str">
        <f>TEXT(N346,"yyyy-mm")</f>
        <v>2026-07</v>
      </c>
    </row>
    <row r="347" spans="1:15">
      <c r="A347" s="2" t="s">
        <v>748</v>
      </c>
      <c r="B347" s="2" t="s">
        <v>145</v>
      </c>
      <c r="C347" s="9">
        <v>46235</v>
      </c>
      <c r="D347" s="2" t="s">
        <v>369</v>
      </c>
      <c r="E347" s="2" t="s">
        <v>214</v>
      </c>
      <c r="F347" s="2">
        <v>2</v>
      </c>
      <c r="G347" s="2">
        <v>8</v>
      </c>
      <c r="H347" s="2">
        <v>95</v>
      </c>
      <c r="I347" s="2">
        <f>G347*H347</f>
        <v>760</v>
      </c>
      <c r="J347" s="2">
        <f>INDEX('Script List'!$H$2:$H$161,MATCH(B347,'Script List'!$A$2:$A$161,0))</f>
        <v>200</v>
      </c>
      <c r="K347" s="2" t="s">
        <v>20</v>
      </c>
      <c r="L347" s="2">
        <f>I347-J347</f>
        <v>560</v>
      </c>
      <c r="M347" s="2">
        <v>8.4</v>
      </c>
      <c r="N347" s="9">
        <f>DATE(YEAR(C347),MONTH(C347),1)</f>
        <v>46235.0</v>
      </c>
      <c r="O347" s="2" t="str">
        <f>TEXT(N347,"yyyy-mm")</f>
        <v>2026-08</v>
      </c>
    </row>
    <row r="348" spans="1:15">
      <c r="A348" s="2" t="s">
        <v>749</v>
      </c>
      <c r="B348" s="2" t="s">
        <v>146</v>
      </c>
      <c r="C348" s="9">
        <v>46236</v>
      </c>
      <c r="D348" s="2" t="s">
        <v>370</v>
      </c>
      <c r="E348" s="2" t="s">
        <v>212</v>
      </c>
      <c r="F348" s="2">
        <v>2</v>
      </c>
      <c r="G348" s="2">
        <v>6</v>
      </c>
      <c r="H348" s="2">
        <v>138</v>
      </c>
      <c r="I348" s="2">
        <f>G348*H348</f>
        <v>828</v>
      </c>
      <c r="J348" s="2">
        <f>INDEX('Script List'!$H$2:$H$161,MATCH(B348,'Script List'!$A$2:$A$161,0))</f>
        <v>180</v>
      </c>
      <c r="K348" s="2" t="s">
        <v>22</v>
      </c>
      <c r="L348" s="2">
        <f>I348-J348</f>
        <v>648</v>
      </c>
      <c r="M348" s="2">
        <v>7</v>
      </c>
      <c r="N348" s="9">
        <f>DATE(YEAR(C348),MONTH(C348),1)</f>
        <v>46235.0</v>
      </c>
      <c r="O348" s="2" t="str">
        <f>TEXT(N348,"yyyy-mm")</f>
        <v>2026-08</v>
      </c>
    </row>
    <row r="349" spans="1:15">
      <c r="A349" s="2" t="s">
        <v>750</v>
      </c>
      <c r="B349" s="2" t="s">
        <v>147</v>
      </c>
      <c r="C349" s="9">
        <v>46237</v>
      </c>
      <c r="D349" s="2" t="s">
        <v>371</v>
      </c>
      <c r="E349" s="2" t="s">
        <v>223</v>
      </c>
      <c r="F349" s="2">
        <v>1</v>
      </c>
      <c r="G349" s="2">
        <v>6</v>
      </c>
      <c r="H349" s="2">
        <v>109</v>
      </c>
      <c r="I349" s="2">
        <f>G349*H349</f>
        <v>654</v>
      </c>
      <c r="J349" s="2">
        <f>INDEX('Script List'!$H$2:$H$161,MATCH(B349,'Script List'!$A$2:$A$161,0))</f>
        <v>172</v>
      </c>
      <c r="K349" s="2" t="s">
        <v>20</v>
      </c>
      <c r="L349" s="2">
        <f>I349-J349</f>
        <v>482</v>
      </c>
      <c r="M349" s="2">
        <v>7.7</v>
      </c>
      <c r="N349" s="9">
        <f>DATE(YEAR(C349),MONTH(C349),1)</f>
        <v>46235.0</v>
      </c>
      <c r="O349" s="2" t="str">
        <f>TEXT(N349,"yyyy-mm")</f>
        <v>2026-08</v>
      </c>
    </row>
    <row r="350" spans="1:15">
      <c r="A350" s="2" t="s">
        <v>751</v>
      </c>
      <c r="B350" s="2" t="s">
        <v>147</v>
      </c>
      <c r="C350" s="9">
        <v>46238</v>
      </c>
      <c r="D350" s="2" t="s">
        <v>371</v>
      </c>
      <c r="E350" s="2" t="s">
        <v>223</v>
      </c>
      <c r="F350" s="2">
        <v>1</v>
      </c>
      <c r="G350" s="2">
        <v>6</v>
      </c>
      <c r="H350" s="2">
        <v>109</v>
      </c>
      <c r="I350" s="2">
        <f>G350*H350</f>
        <v>654</v>
      </c>
      <c r="J350" s="2">
        <f>INDEX('Script List'!$H$2:$H$161,MATCH(B350,'Script List'!$A$2:$A$161,0))</f>
        <v>172</v>
      </c>
      <c r="K350" s="2" t="s">
        <v>20</v>
      </c>
      <c r="L350" s="2">
        <f>I350-J350</f>
        <v>482</v>
      </c>
      <c r="M350" s="2">
        <v>7.7</v>
      </c>
      <c r="N350" s="9">
        <f>DATE(YEAR(C350),MONTH(C350),1)</f>
        <v>46235.0</v>
      </c>
      <c r="O350" s="2" t="str">
        <f>TEXT(N350,"yyyy-mm")</f>
        <v>2026-08</v>
      </c>
    </row>
    <row r="351" spans="1:15">
      <c r="A351" s="2" t="s">
        <v>752</v>
      </c>
      <c r="B351" s="2" t="s">
        <v>147</v>
      </c>
      <c r="C351" s="9">
        <v>46239</v>
      </c>
      <c r="D351" s="2" t="s">
        <v>371</v>
      </c>
      <c r="E351" s="2" t="s">
        <v>223</v>
      </c>
      <c r="F351" s="2">
        <v>1</v>
      </c>
      <c r="G351" s="2">
        <v>6</v>
      </c>
      <c r="H351" s="2">
        <v>109</v>
      </c>
      <c r="I351" s="2">
        <f>G351*H351</f>
        <v>654</v>
      </c>
      <c r="J351" s="2">
        <f>INDEX('Script List'!$H$2:$H$161,MATCH(B351,'Script List'!$A$2:$A$161,0))</f>
        <v>172</v>
      </c>
      <c r="K351" s="2" t="s">
        <v>20</v>
      </c>
      <c r="L351" s="2">
        <f>I351-J351</f>
        <v>482</v>
      </c>
      <c r="M351" s="2">
        <v>7.7</v>
      </c>
      <c r="N351" s="9">
        <f>DATE(YEAR(C351),MONTH(C351),1)</f>
        <v>46235.0</v>
      </c>
      <c r="O351" s="2" t="str">
        <f>TEXT(N351,"yyyy-mm")</f>
        <v>2026-08</v>
      </c>
    </row>
    <row r="352" spans="1:15">
      <c r="A352" s="2" t="s">
        <v>753</v>
      </c>
      <c r="B352" s="2" t="s">
        <v>148</v>
      </c>
      <c r="C352" s="9">
        <v>46240</v>
      </c>
      <c r="D352" s="2" t="s">
        <v>372</v>
      </c>
      <c r="E352" s="2" t="s">
        <v>214</v>
      </c>
      <c r="F352" s="2">
        <v>1</v>
      </c>
      <c r="G352" s="2">
        <v>6</v>
      </c>
      <c r="H352" s="2">
        <v>75</v>
      </c>
      <c r="I352" s="2">
        <f>G352*H352</f>
        <v>450</v>
      </c>
      <c r="J352" s="2">
        <f>INDEX('Script List'!$H$2:$H$161,MATCH(B352,'Script List'!$A$2:$A$161,0))</f>
        <v>118</v>
      </c>
      <c r="K352" s="2" t="s">
        <v>22</v>
      </c>
      <c r="L352" s="2">
        <f>I352-J352</f>
        <v>332</v>
      </c>
      <c r="M352" s="2">
        <v>8.4</v>
      </c>
      <c r="N352" s="9">
        <f>DATE(YEAR(C352),MONTH(C352),1)</f>
        <v>46235.0</v>
      </c>
      <c r="O352" s="2" t="str">
        <f>TEXT(N352,"yyyy-mm")</f>
        <v>2026-08</v>
      </c>
    </row>
    <row r="353" spans="1:15">
      <c r="A353" s="2" t="s">
        <v>754</v>
      </c>
      <c r="B353" s="2" t="s">
        <v>148</v>
      </c>
      <c r="C353" s="9">
        <v>46241</v>
      </c>
      <c r="D353" s="2" t="s">
        <v>372</v>
      </c>
      <c r="E353" s="2" t="s">
        <v>214</v>
      </c>
      <c r="F353" s="2">
        <v>1</v>
      </c>
      <c r="G353" s="2">
        <v>6</v>
      </c>
      <c r="H353" s="2">
        <v>75</v>
      </c>
      <c r="I353" s="2">
        <f>G353*H353</f>
        <v>450</v>
      </c>
      <c r="J353" s="2">
        <f>INDEX('Script List'!$H$2:$H$161,MATCH(B353,'Script List'!$A$2:$A$161,0))</f>
        <v>118</v>
      </c>
      <c r="K353" s="2" t="s">
        <v>22</v>
      </c>
      <c r="L353" s="2">
        <f>I353-J353</f>
        <v>332</v>
      </c>
      <c r="M353" s="2">
        <v>8.4</v>
      </c>
      <c r="N353" s="9">
        <f>DATE(YEAR(C353),MONTH(C353),1)</f>
        <v>46235.0</v>
      </c>
      <c r="O353" s="2" t="str">
        <f>TEXT(N353,"yyyy-mm")</f>
        <v>2026-08</v>
      </c>
    </row>
    <row r="354" spans="1:15">
      <c r="A354" s="2" t="s">
        <v>755</v>
      </c>
      <c r="B354" s="2" t="s">
        <v>148</v>
      </c>
      <c r="C354" s="9">
        <v>46242</v>
      </c>
      <c r="D354" s="2" t="s">
        <v>372</v>
      </c>
      <c r="E354" s="2" t="s">
        <v>214</v>
      </c>
      <c r="F354" s="2">
        <v>1</v>
      </c>
      <c r="G354" s="2">
        <v>6</v>
      </c>
      <c r="H354" s="2">
        <v>75</v>
      </c>
      <c r="I354" s="2">
        <f>G354*H354</f>
        <v>450</v>
      </c>
      <c r="J354" s="2">
        <f>INDEX('Script List'!$H$2:$H$161,MATCH(B354,'Script List'!$A$2:$A$161,0))</f>
        <v>118</v>
      </c>
      <c r="K354" s="2" t="s">
        <v>22</v>
      </c>
      <c r="L354" s="2">
        <f>I354-J354</f>
        <v>332</v>
      </c>
      <c r="M354" s="2">
        <v>8.4</v>
      </c>
      <c r="N354" s="9">
        <f>DATE(YEAR(C354),MONTH(C354),1)</f>
        <v>46235.0</v>
      </c>
      <c r="O354" s="2" t="str">
        <f>TEXT(N354,"yyyy-mm")</f>
        <v>2026-08</v>
      </c>
    </row>
    <row r="355" spans="1:15">
      <c r="A355" s="2" t="s">
        <v>756</v>
      </c>
      <c r="B355" s="2" t="s">
        <v>148</v>
      </c>
      <c r="C355" s="9">
        <v>46243</v>
      </c>
      <c r="D355" s="2" t="s">
        <v>372</v>
      </c>
      <c r="E355" s="2" t="s">
        <v>214</v>
      </c>
      <c r="F355" s="2">
        <v>1</v>
      </c>
      <c r="G355" s="2">
        <v>6</v>
      </c>
      <c r="H355" s="2">
        <v>75</v>
      </c>
      <c r="I355" s="2">
        <f>G355*H355</f>
        <v>450</v>
      </c>
      <c r="J355" s="2">
        <f>INDEX('Script List'!$H$2:$H$161,MATCH(B355,'Script List'!$A$2:$A$161,0))</f>
        <v>118</v>
      </c>
      <c r="K355" s="2" t="s">
        <v>22</v>
      </c>
      <c r="L355" s="2">
        <f>I355-J355</f>
        <v>332</v>
      </c>
      <c r="M355" s="2">
        <v>8.4</v>
      </c>
      <c r="N355" s="9">
        <f>DATE(YEAR(C355),MONTH(C355),1)</f>
        <v>46235.0</v>
      </c>
      <c r="O355" s="2" t="str">
        <f>TEXT(N355,"yyyy-mm")</f>
        <v>2026-08</v>
      </c>
    </row>
    <row r="356" spans="1:15">
      <c r="A356" s="2" t="s">
        <v>757</v>
      </c>
      <c r="B356" s="2" t="s">
        <v>148</v>
      </c>
      <c r="C356" s="9">
        <v>46244</v>
      </c>
      <c r="D356" s="2" t="s">
        <v>372</v>
      </c>
      <c r="E356" s="2" t="s">
        <v>214</v>
      </c>
      <c r="F356" s="2">
        <v>1</v>
      </c>
      <c r="G356" s="2">
        <v>6</v>
      </c>
      <c r="H356" s="2">
        <v>75</v>
      </c>
      <c r="I356" s="2">
        <f>G356*H356</f>
        <v>450</v>
      </c>
      <c r="J356" s="2">
        <f>INDEX('Script List'!$H$2:$H$161,MATCH(B356,'Script List'!$A$2:$A$161,0))</f>
        <v>118</v>
      </c>
      <c r="K356" s="2" t="s">
        <v>22</v>
      </c>
      <c r="L356" s="2">
        <f>I356-J356</f>
        <v>332</v>
      </c>
      <c r="M356" s="2">
        <v>8.4</v>
      </c>
      <c r="N356" s="9">
        <f>DATE(YEAR(C356),MONTH(C356),1)</f>
        <v>46235.0</v>
      </c>
      <c r="O356" s="2" t="str">
        <f>TEXT(N356,"yyyy-mm")</f>
        <v>2026-08</v>
      </c>
    </row>
    <row r="357" spans="1:15">
      <c r="A357" s="2" t="s">
        <v>758</v>
      </c>
      <c r="B357" s="2" t="s">
        <v>148</v>
      </c>
      <c r="C357" s="9">
        <v>46245</v>
      </c>
      <c r="D357" s="2" t="s">
        <v>372</v>
      </c>
      <c r="E357" s="2" t="s">
        <v>214</v>
      </c>
      <c r="F357" s="2">
        <v>1</v>
      </c>
      <c r="G357" s="2">
        <v>6</v>
      </c>
      <c r="H357" s="2">
        <v>75</v>
      </c>
      <c r="I357" s="2">
        <f>G357*H357</f>
        <v>450</v>
      </c>
      <c r="J357" s="2">
        <f>INDEX('Script List'!$H$2:$H$161,MATCH(B357,'Script List'!$A$2:$A$161,0))</f>
        <v>118</v>
      </c>
      <c r="K357" s="2" t="s">
        <v>22</v>
      </c>
      <c r="L357" s="2">
        <f>I357-J357</f>
        <v>332</v>
      </c>
      <c r="M357" s="2">
        <v>8.4</v>
      </c>
      <c r="N357" s="9">
        <f>DATE(YEAR(C357),MONTH(C357),1)</f>
        <v>46235.0</v>
      </c>
      <c r="O357" s="2" t="str">
        <f>TEXT(N357,"yyyy-mm")</f>
        <v>2026-08</v>
      </c>
    </row>
    <row r="358" spans="1:15">
      <c r="A358" s="2" t="s">
        <v>759</v>
      </c>
      <c r="B358" s="2" t="s">
        <v>148</v>
      </c>
      <c r="C358" s="9">
        <v>46246</v>
      </c>
      <c r="D358" s="2" t="s">
        <v>372</v>
      </c>
      <c r="E358" s="2" t="s">
        <v>214</v>
      </c>
      <c r="F358" s="2">
        <v>1</v>
      </c>
      <c r="G358" s="2">
        <v>6</v>
      </c>
      <c r="H358" s="2">
        <v>75</v>
      </c>
      <c r="I358" s="2">
        <f>G358*H358</f>
        <v>450</v>
      </c>
      <c r="J358" s="2">
        <f>INDEX('Script List'!$H$2:$H$161,MATCH(B358,'Script List'!$A$2:$A$161,0))</f>
        <v>118</v>
      </c>
      <c r="K358" s="2" t="s">
        <v>22</v>
      </c>
      <c r="L358" s="2">
        <f>I358-J358</f>
        <v>332</v>
      </c>
      <c r="M358" s="2">
        <v>8.4</v>
      </c>
      <c r="N358" s="9">
        <f>DATE(YEAR(C358),MONTH(C358),1)</f>
        <v>46235.0</v>
      </c>
      <c r="O358" s="2" t="str">
        <f>TEXT(N358,"yyyy-mm")</f>
        <v>2026-08</v>
      </c>
    </row>
    <row r="359" spans="1:15">
      <c r="A359" s="2" t="s">
        <v>760</v>
      </c>
      <c r="B359" s="2" t="s">
        <v>148</v>
      </c>
      <c r="C359" s="9">
        <v>46247</v>
      </c>
      <c r="D359" s="2" t="s">
        <v>372</v>
      </c>
      <c r="E359" s="2" t="s">
        <v>214</v>
      </c>
      <c r="F359" s="2">
        <v>1</v>
      </c>
      <c r="G359" s="2">
        <v>6</v>
      </c>
      <c r="H359" s="2">
        <v>75</v>
      </c>
      <c r="I359" s="2">
        <f>G359*H359</f>
        <v>450</v>
      </c>
      <c r="J359" s="2">
        <f>INDEX('Script List'!$H$2:$H$161,MATCH(B359,'Script List'!$A$2:$A$161,0))</f>
        <v>118</v>
      </c>
      <c r="K359" s="2" t="s">
        <v>22</v>
      </c>
      <c r="L359" s="2">
        <f>I359-J359</f>
        <v>332</v>
      </c>
      <c r="M359" s="2">
        <v>8.4</v>
      </c>
      <c r="N359" s="9">
        <f>DATE(YEAR(C359),MONTH(C359),1)</f>
        <v>46235.0</v>
      </c>
      <c r="O359" s="2" t="str">
        <f>TEXT(N359,"yyyy-mm")</f>
        <v>2026-08</v>
      </c>
    </row>
    <row r="360" spans="1:15">
      <c r="A360" s="2" t="s">
        <v>761</v>
      </c>
      <c r="B360" s="2" t="s">
        <v>148</v>
      </c>
      <c r="C360" s="9">
        <v>46248</v>
      </c>
      <c r="D360" s="2" t="s">
        <v>372</v>
      </c>
      <c r="E360" s="2" t="s">
        <v>214</v>
      </c>
      <c r="F360" s="2">
        <v>1</v>
      </c>
      <c r="G360" s="2">
        <v>6</v>
      </c>
      <c r="H360" s="2">
        <v>75</v>
      </c>
      <c r="I360" s="2">
        <f>G360*H360</f>
        <v>450</v>
      </c>
      <c r="J360" s="2">
        <f>INDEX('Script List'!$H$2:$H$161,MATCH(B360,'Script List'!$A$2:$A$161,0))</f>
        <v>118</v>
      </c>
      <c r="K360" s="2" t="s">
        <v>22</v>
      </c>
      <c r="L360" s="2">
        <f>I360-J360</f>
        <v>332</v>
      </c>
      <c r="M360" s="2">
        <v>8.4</v>
      </c>
      <c r="N360" s="9">
        <f>DATE(YEAR(C360),MONTH(C360),1)</f>
        <v>46235.0</v>
      </c>
      <c r="O360" s="2" t="str">
        <f>TEXT(N360,"yyyy-mm")</f>
        <v>2026-08</v>
      </c>
    </row>
    <row r="361" spans="1:15">
      <c r="A361" s="2" t="s">
        <v>762</v>
      </c>
      <c r="B361" s="2" t="s">
        <v>148</v>
      </c>
      <c r="C361" s="9">
        <v>46249</v>
      </c>
      <c r="D361" s="2" t="s">
        <v>372</v>
      </c>
      <c r="E361" s="2" t="s">
        <v>214</v>
      </c>
      <c r="F361" s="2">
        <v>1</v>
      </c>
      <c r="G361" s="2">
        <v>6</v>
      </c>
      <c r="H361" s="2">
        <v>75</v>
      </c>
      <c r="I361" s="2">
        <f>G361*H361</f>
        <v>450</v>
      </c>
      <c r="J361" s="2">
        <f>INDEX('Script List'!$H$2:$H$161,MATCH(B361,'Script List'!$A$2:$A$161,0))</f>
        <v>118</v>
      </c>
      <c r="K361" s="2" t="s">
        <v>22</v>
      </c>
      <c r="L361" s="2">
        <f>I361-J361</f>
        <v>332</v>
      </c>
      <c r="M361" s="2">
        <v>8.4</v>
      </c>
      <c r="N361" s="9">
        <f>DATE(YEAR(C361),MONTH(C361),1)</f>
        <v>46235.0</v>
      </c>
      <c r="O361" s="2" t="str">
        <f>TEXT(N361,"yyyy-mm")</f>
        <v>2026-08</v>
      </c>
    </row>
    <row r="362" spans="1:15">
      <c r="A362" s="2" t="s">
        <v>763</v>
      </c>
      <c r="B362" s="2" t="s">
        <v>149</v>
      </c>
      <c r="C362" s="9">
        <v>46250</v>
      </c>
      <c r="D362" s="2" t="s">
        <v>373</v>
      </c>
      <c r="E362" s="2" t="s">
        <v>218</v>
      </c>
      <c r="F362" s="2">
        <v>3</v>
      </c>
      <c r="G362" s="2">
        <v>7</v>
      </c>
      <c r="H362" s="2">
        <v>118</v>
      </c>
      <c r="I362" s="2">
        <f>G362*H362</f>
        <v>826</v>
      </c>
      <c r="J362" s="2">
        <f>INDEX('Script List'!$H$2:$H$161,MATCH(B362,'Script List'!$A$2:$A$161,0))</f>
        <v>217</v>
      </c>
      <c r="K362" s="2" t="s">
        <v>21</v>
      </c>
      <c r="L362" s="2">
        <f>I362-J362</f>
        <v>609</v>
      </c>
      <c r="M362" s="2">
        <v>7</v>
      </c>
      <c r="N362" s="9">
        <f>DATE(YEAR(C362),MONTH(C362),1)</f>
        <v>46235.0</v>
      </c>
      <c r="O362" s="2" t="str">
        <f>TEXT(N362,"yyyy-mm")</f>
        <v>2026-08</v>
      </c>
    </row>
    <row r="363" spans="1:15">
      <c r="A363" s="2" t="s">
        <v>764</v>
      </c>
      <c r="B363" s="2" t="s">
        <v>150</v>
      </c>
      <c r="C363" s="9">
        <v>46251</v>
      </c>
      <c r="D363" s="2" t="s">
        <v>374</v>
      </c>
      <c r="E363" s="2" t="s">
        <v>212</v>
      </c>
      <c r="F363" s="2">
        <v>6</v>
      </c>
      <c r="G363" s="2">
        <v>8</v>
      </c>
      <c r="H363" s="2">
        <v>138</v>
      </c>
      <c r="I363" s="2">
        <f>G363*H363</f>
        <v>1104</v>
      </c>
      <c r="J363" s="2">
        <f>INDEX('Script List'!$H$2:$H$161,MATCH(B363,'Script List'!$A$2:$A$161,0))</f>
        <v>540</v>
      </c>
      <c r="K363" s="2" t="s">
        <v>22</v>
      </c>
      <c r="L363" s="2">
        <f>I363-J363</f>
        <v>564</v>
      </c>
      <c r="M363" s="2">
        <v>7.7</v>
      </c>
      <c r="N363" s="9">
        <f>DATE(YEAR(C363),MONTH(C363),1)</f>
        <v>46235.0</v>
      </c>
      <c r="O363" s="2" t="str">
        <f>TEXT(N363,"yyyy-mm")</f>
        <v>2026-08</v>
      </c>
    </row>
    <row r="364" spans="1:15">
      <c r="A364" s="2" t="s">
        <v>765</v>
      </c>
      <c r="B364" s="2" t="s">
        <v>150</v>
      </c>
      <c r="C364" s="9">
        <v>46252</v>
      </c>
      <c r="D364" s="2" t="s">
        <v>374</v>
      </c>
      <c r="E364" s="2" t="s">
        <v>212</v>
      </c>
      <c r="F364" s="2">
        <v>6</v>
      </c>
      <c r="G364" s="2">
        <v>8</v>
      </c>
      <c r="H364" s="2">
        <v>138</v>
      </c>
      <c r="I364" s="2">
        <f>G364*H364</f>
        <v>1104</v>
      </c>
      <c r="J364" s="2">
        <f>INDEX('Script List'!$H$2:$H$161,MATCH(B364,'Script List'!$A$2:$A$161,0))</f>
        <v>540</v>
      </c>
      <c r="K364" s="2" t="s">
        <v>22</v>
      </c>
      <c r="L364" s="2">
        <f>I364-J364</f>
        <v>564</v>
      </c>
      <c r="M364" s="2">
        <v>7.7</v>
      </c>
      <c r="N364" s="9">
        <f>DATE(YEAR(C364),MONTH(C364),1)</f>
        <v>46235.0</v>
      </c>
      <c r="O364" s="2" t="str">
        <f>TEXT(N364,"yyyy-mm")</f>
        <v>2026-08</v>
      </c>
    </row>
    <row r="365" spans="1:15">
      <c r="A365" s="2" t="s">
        <v>766</v>
      </c>
      <c r="B365" s="2" t="s">
        <v>150</v>
      </c>
      <c r="C365" s="9">
        <v>46253</v>
      </c>
      <c r="D365" s="2" t="s">
        <v>374</v>
      </c>
      <c r="E365" s="2" t="s">
        <v>212</v>
      </c>
      <c r="F365" s="2">
        <v>6</v>
      </c>
      <c r="G365" s="2">
        <v>8</v>
      </c>
      <c r="H365" s="2">
        <v>138</v>
      </c>
      <c r="I365" s="2">
        <f>G365*H365</f>
        <v>1104</v>
      </c>
      <c r="J365" s="2">
        <f>INDEX('Script List'!$H$2:$H$161,MATCH(B365,'Script List'!$A$2:$A$161,0))</f>
        <v>540</v>
      </c>
      <c r="K365" s="2" t="s">
        <v>22</v>
      </c>
      <c r="L365" s="2">
        <f>I365-J365</f>
        <v>564</v>
      </c>
      <c r="M365" s="2">
        <v>7.7</v>
      </c>
      <c r="N365" s="9">
        <f>DATE(YEAR(C365),MONTH(C365),1)</f>
        <v>46235.0</v>
      </c>
      <c r="O365" s="2" t="str">
        <f>TEXT(N365,"yyyy-mm")</f>
        <v>2026-08</v>
      </c>
    </row>
    <row r="366" spans="1:15">
      <c r="A366" s="2" t="s">
        <v>767</v>
      </c>
      <c r="B366" s="2" t="s">
        <v>151</v>
      </c>
      <c r="C366" s="9">
        <v>46254</v>
      </c>
      <c r="D366" s="2" t="s">
        <v>377</v>
      </c>
      <c r="E366" s="2" t="s">
        <v>214</v>
      </c>
      <c r="F366" s="2">
        <v>1</v>
      </c>
      <c r="G366" s="2">
        <v>6</v>
      </c>
      <c r="H366" s="2">
        <v>75</v>
      </c>
      <c r="I366" s="2">
        <f>G366*H366</f>
        <v>450</v>
      </c>
      <c r="J366" s="2">
        <f>INDEX('Script List'!$H$2:$H$161,MATCH(B366,'Script List'!$A$2:$A$161,0))</f>
        <v>118</v>
      </c>
      <c r="K366" s="2" t="s">
        <v>20</v>
      </c>
      <c r="L366" s="2">
        <f>I366-J366</f>
        <v>332</v>
      </c>
      <c r="M366" s="2">
        <v>7</v>
      </c>
      <c r="N366" s="9">
        <f>DATE(YEAR(C366),MONTH(C366),1)</f>
        <v>46235.0</v>
      </c>
      <c r="O366" s="2" t="str">
        <f>TEXT(N366,"yyyy-mm")</f>
        <v>2026-08</v>
      </c>
    </row>
    <row r="367" spans="1:15">
      <c r="A367" s="2" t="s">
        <v>768</v>
      </c>
      <c r="B367" s="2" t="s">
        <v>152</v>
      </c>
      <c r="C367" s="9">
        <v>46255</v>
      </c>
      <c r="D367" s="2" t="s">
        <v>378</v>
      </c>
      <c r="E367" s="2" t="s">
        <v>212</v>
      </c>
      <c r="F367" s="2">
        <v>3</v>
      </c>
      <c r="G367" s="2">
        <v>6</v>
      </c>
      <c r="H367" s="2">
        <v>118</v>
      </c>
      <c r="I367" s="2">
        <f>G367*H367</f>
        <v>708</v>
      </c>
      <c r="J367" s="2">
        <f>INDEX('Script List'!$H$2:$H$161,MATCH(B367,'Script List'!$A$2:$A$161,0))</f>
        <v>270</v>
      </c>
      <c r="K367" s="2" t="s">
        <v>22</v>
      </c>
      <c r="L367" s="2">
        <f>I367-J367</f>
        <v>438</v>
      </c>
      <c r="M367" s="2">
        <v>7.7</v>
      </c>
      <c r="N367" s="9">
        <f>DATE(YEAR(C367),MONTH(C367),1)</f>
        <v>46235.0</v>
      </c>
      <c r="O367" s="2" t="str">
        <f>TEXT(N367,"yyyy-mm")</f>
        <v>2026-08</v>
      </c>
    </row>
    <row r="368" spans="1:15">
      <c r="A368" s="2" t="s">
        <v>769</v>
      </c>
      <c r="B368" s="2" t="s">
        <v>152</v>
      </c>
      <c r="C368" s="9">
        <v>46256</v>
      </c>
      <c r="D368" s="2" t="s">
        <v>378</v>
      </c>
      <c r="E368" s="2" t="s">
        <v>212</v>
      </c>
      <c r="F368" s="2">
        <v>3</v>
      </c>
      <c r="G368" s="2">
        <v>6</v>
      </c>
      <c r="H368" s="2">
        <v>118</v>
      </c>
      <c r="I368" s="2">
        <f>G368*H368</f>
        <v>708</v>
      </c>
      <c r="J368" s="2">
        <f>INDEX('Script List'!$H$2:$H$161,MATCH(B368,'Script List'!$A$2:$A$161,0))</f>
        <v>270</v>
      </c>
      <c r="K368" s="2" t="s">
        <v>22</v>
      </c>
      <c r="L368" s="2">
        <f>I368-J368</f>
        <v>438</v>
      </c>
      <c r="M368" s="2">
        <v>7.7</v>
      </c>
      <c r="N368" s="9">
        <f>DATE(YEAR(C368),MONTH(C368),1)</f>
        <v>46235.0</v>
      </c>
      <c r="O368" s="2" t="str">
        <f>TEXT(N368,"yyyy-mm")</f>
        <v>2026-08</v>
      </c>
    </row>
    <row r="369" spans="1:15">
      <c r="A369" s="2" t="s">
        <v>770</v>
      </c>
      <c r="B369" s="2" t="s">
        <v>152</v>
      </c>
      <c r="C369" s="9">
        <v>46257</v>
      </c>
      <c r="D369" s="2" t="s">
        <v>378</v>
      </c>
      <c r="E369" s="2" t="s">
        <v>212</v>
      </c>
      <c r="F369" s="2">
        <v>3</v>
      </c>
      <c r="G369" s="2">
        <v>6</v>
      </c>
      <c r="H369" s="2">
        <v>118</v>
      </c>
      <c r="I369" s="2">
        <f>G369*H369</f>
        <v>708</v>
      </c>
      <c r="J369" s="2">
        <f>INDEX('Script List'!$H$2:$H$161,MATCH(B369,'Script List'!$A$2:$A$161,0))</f>
        <v>270</v>
      </c>
      <c r="K369" s="2" t="s">
        <v>22</v>
      </c>
      <c r="L369" s="2">
        <f>I369-J369</f>
        <v>438</v>
      </c>
      <c r="M369" s="2">
        <v>7.7</v>
      </c>
      <c r="N369" s="9">
        <f>DATE(YEAR(C369),MONTH(C369),1)</f>
        <v>46235.0</v>
      </c>
      <c r="O369" s="2" t="str">
        <f>TEXT(N369,"yyyy-mm")</f>
        <v>2026-08</v>
      </c>
    </row>
    <row r="370" spans="1:15">
      <c r="A370" s="2" t="s">
        <v>771</v>
      </c>
      <c r="B370" s="2" t="s">
        <v>153</v>
      </c>
      <c r="C370" s="9">
        <v>46257</v>
      </c>
      <c r="D370" s="2" t="s">
        <v>381</v>
      </c>
      <c r="E370" s="2" t="s">
        <v>214</v>
      </c>
      <c r="F370" s="2">
        <v>2</v>
      </c>
      <c r="G370" s="2">
        <v>8</v>
      </c>
      <c r="H370" s="2">
        <v>65</v>
      </c>
      <c r="I370" s="2">
        <f>G370*H370</f>
        <v>520</v>
      </c>
      <c r="J370" s="2">
        <f>INDEX('Script List'!$H$2:$H$161,MATCH(B370,'Script List'!$A$2:$A$161,0))</f>
        <v>137</v>
      </c>
      <c r="K370" s="2" t="s">
        <v>20</v>
      </c>
      <c r="L370" s="2">
        <f>I370-J370</f>
        <v>383</v>
      </c>
      <c r="M370" s="2">
        <v>7</v>
      </c>
      <c r="N370" s="9">
        <f>DATE(YEAR(C370),MONTH(C370),1)</f>
        <v>46235.0</v>
      </c>
      <c r="O370" s="2" t="str">
        <f>TEXT(N370,"yyyy-mm")</f>
        <v>2026-08</v>
      </c>
    </row>
    <row r="371" spans="1:15">
      <c r="A371" s="2" t="s">
        <v>772</v>
      </c>
      <c r="B371" s="2" t="s">
        <v>153</v>
      </c>
      <c r="C371" s="9">
        <v>46258</v>
      </c>
      <c r="D371" s="2" t="s">
        <v>381</v>
      </c>
      <c r="E371" s="2" t="s">
        <v>214</v>
      </c>
      <c r="F371" s="2">
        <v>2</v>
      </c>
      <c r="G371" s="2">
        <v>8</v>
      </c>
      <c r="H371" s="2">
        <v>65</v>
      </c>
      <c r="I371" s="2">
        <f>G371*H371</f>
        <v>520</v>
      </c>
      <c r="J371" s="2">
        <f>INDEX('Script List'!$H$2:$H$161,MATCH(B371,'Script List'!$A$2:$A$161,0))</f>
        <v>137</v>
      </c>
      <c r="K371" s="2" t="s">
        <v>20</v>
      </c>
      <c r="L371" s="2">
        <f>I371-J371</f>
        <v>383</v>
      </c>
      <c r="M371" s="2">
        <v>7</v>
      </c>
      <c r="N371" s="9">
        <f>DATE(YEAR(C371),MONTH(C371),1)</f>
        <v>46235.0</v>
      </c>
      <c r="O371" s="2" t="str">
        <f>TEXT(N371,"yyyy-mm")</f>
        <v>2026-08</v>
      </c>
    </row>
    <row r="372" spans="1:15">
      <c r="A372" s="2" t="s">
        <v>773</v>
      </c>
      <c r="B372" s="2" t="s">
        <v>154</v>
      </c>
      <c r="C372" s="9">
        <v>46259</v>
      </c>
      <c r="D372" s="2" t="s">
        <v>382</v>
      </c>
      <c r="E372" s="2" t="s">
        <v>212</v>
      </c>
      <c r="F372" s="2">
        <v>2</v>
      </c>
      <c r="G372" s="2">
        <v>6</v>
      </c>
      <c r="H372" s="2">
        <v>109</v>
      </c>
      <c r="I372" s="2">
        <f>G372*H372</f>
        <v>654</v>
      </c>
      <c r="J372" s="2">
        <f>INDEX('Script List'!$H$2:$H$161,MATCH(B372,'Script List'!$A$2:$A$161,0))</f>
        <v>180</v>
      </c>
      <c r="K372" s="2" t="s">
        <v>22</v>
      </c>
      <c r="L372" s="2">
        <f>I372-J372</f>
        <v>474</v>
      </c>
      <c r="M372" s="2">
        <v>7.7</v>
      </c>
      <c r="N372" s="9">
        <f>DATE(YEAR(C372),MONTH(C372),1)</f>
        <v>46235.0</v>
      </c>
      <c r="O372" s="2" t="str">
        <f>TEXT(N372,"yyyy-mm")</f>
        <v>2026-08</v>
      </c>
    </row>
    <row r="373" spans="1:15">
      <c r="A373" s="2" t="s">
        <v>774</v>
      </c>
      <c r="B373" s="2" t="s">
        <v>154</v>
      </c>
      <c r="C373" s="9">
        <v>46260</v>
      </c>
      <c r="D373" s="2" t="s">
        <v>382</v>
      </c>
      <c r="E373" s="2" t="s">
        <v>212</v>
      </c>
      <c r="F373" s="2">
        <v>2</v>
      </c>
      <c r="G373" s="2">
        <v>6</v>
      </c>
      <c r="H373" s="2">
        <v>109</v>
      </c>
      <c r="I373" s="2">
        <f>G373*H373</f>
        <v>654</v>
      </c>
      <c r="J373" s="2">
        <f>INDEX('Script List'!$H$2:$H$161,MATCH(B373,'Script List'!$A$2:$A$161,0))</f>
        <v>180</v>
      </c>
      <c r="K373" s="2" t="s">
        <v>22</v>
      </c>
      <c r="L373" s="2">
        <f>I373-J373</f>
        <v>474</v>
      </c>
      <c r="M373" s="2">
        <v>7.7</v>
      </c>
      <c r="N373" s="9">
        <f>DATE(YEAR(C373),MONTH(C373),1)</f>
        <v>46235.0</v>
      </c>
      <c r="O373" s="2" t="str">
        <f>TEXT(N373,"yyyy-mm")</f>
        <v>2026-08</v>
      </c>
    </row>
    <row r="374" spans="1:15">
      <c r="A374" s="2" t="s">
        <v>775</v>
      </c>
      <c r="B374" s="2" t="s">
        <v>154</v>
      </c>
      <c r="C374" s="9">
        <v>46261</v>
      </c>
      <c r="D374" s="2" t="s">
        <v>382</v>
      </c>
      <c r="E374" s="2" t="s">
        <v>212</v>
      </c>
      <c r="F374" s="2">
        <v>2</v>
      </c>
      <c r="G374" s="2">
        <v>6</v>
      </c>
      <c r="H374" s="2">
        <v>109</v>
      </c>
      <c r="I374" s="2">
        <f>G374*H374</f>
        <v>654</v>
      </c>
      <c r="J374" s="2">
        <f>INDEX('Script List'!$H$2:$H$161,MATCH(B374,'Script List'!$A$2:$A$161,0))</f>
        <v>180</v>
      </c>
      <c r="K374" s="2" t="s">
        <v>22</v>
      </c>
      <c r="L374" s="2">
        <f>I374-J374</f>
        <v>474</v>
      </c>
      <c r="M374" s="2">
        <v>7.7</v>
      </c>
      <c r="N374" s="9">
        <f>DATE(YEAR(C374),MONTH(C374),1)</f>
        <v>46235.0</v>
      </c>
      <c r="O374" s="2" t="str">
        <f>TEXT(N374,"yyyy-mm")</f>
        <v>2026-08</v>
      </c>
    </row>
    <row r="375" spans="1:15">
      <c r="A375" s="2" t="s">
        <v>776</v>
      </c>
      <c r="B375" s="2" t="s">
        <v>154</v>
      </c>
      <c r="C375" s="9">
        <v>46262</v>
      </c>
      <c r="D375" s="2" t="s">
        <v>382</v>
      </c>
      <c r="E375" s="2" t="s">
        <v>212</v>
      </c>
      <c r="F375" s="2">
        <v>2</v>
      </c>
      <c r="G375" s="2">
        <v>6</v>
      </c>
      <c r="H375" s="2">
        <v>109</v>
      </c>
      <c r="I375" s="2">
        <f>G375*H375</f>
        <v>654</v>
      </c>
      <c r="J375" s="2">
        <f>INDEX('Script List'!$H$2:$H$161,MATCH(B375,'Script List'!$A$2:$A$161,0))</f>
        <v>180</v>
      </c>
      <c r="K375" s="2" t="s">
        <v>22</v>
      </c>
      <c r="L375" s="2">
        <f>I375-J375</f>
        <v>474</v>
      </c>
      <c r="M375" s="2">
        <v>7.7</v>
      </c>
      <c r="N375" s="9">
        <f>DATE(YEAR(C375),MONTH(C375),1)</f>
        <v>46235.0</v>
      </c>
      <c r="O375" s="2" t="str">
        <f>TEXT(N375,"yyyy-mm")</f>
        <v>2026-08</v>
      </c>
    </row>
    <row r="376" spans="1:15">
      <c r="A376" s="2" t="s">
        <v>777</v>
      </c>
      <c r="B376" s="2" t="s">
        <v>155</v>
      </c>
      <c r="C376" s="9">
        <v>46263</v>
      </c>
      <c r="D376" s="2" t="s">
        <v>385</v>
      </c>
      <c r="E376" s="2" t="s">
        <v>214</v>
      </c>
      <c r="F376" s="2">
        <v>1</v>
      </c>
      <c r="G376" s="2">
        <v>6</v>
      </c>
      <c r="H376" s="2">
        <v>119</v>
      </c>
      <c r="I376" s="2">
        <f>G376*H376</f>
        <v>714</v>
      </c>
      <c r="J376" s="2">
        <f>INDEX('Script List'!$H$2:$H$161,MATCH(B376,'Script List'!$A$2:$A$161,0))</f>
        <v>187</v>
      </c>
      <c r="K376" s="2" t="s">
        <v>22</v>
      </c>
      <c r="L376" s="2">
        <f>I376-J376</f>
        <v>527</v>
      </c>
      <c r="M376" s="2">
        <v>7</v>
      </c>
      <c r="N376" s="9">
        <f>DATE(YEAR(C376),MONTH(C376),1)</f>
        <v>46235.0</v>
      </c>
      <c r="O376" s="2" t="str">
        <f>TEXT(N376,"yyyy-mm")</f>
        <v>2026-08</v>
      </c>
    </row>
    <row r="377" spans="1:15">
      <c r="A377" s="2" t="s">
        <v>778</v>
      </c>
      <c r="B377" s="2" t="s">
        <v>155</v>
      </c>
      <c r="C377" s="9">
        <v>46264</v>
      </c>
      <c r="D377" s="2" t="s">
        <v>385</v>
      </c>
      <c r="E377" s="2" t="s">
        <v>214</v>
      </c>
      <c r="F377" s="2">
        <v>1</v>
      </c>
      <c r="G377" s="2">
        <v>6</v>
      </c>
      <c r="H377" s="2">
        <v>119</v>
      </c>
      <c r="I377" s="2">
        <f>G377*H377</f>
        <v>714</v>
      </c>
      <c r="J377" s="2">
        <f>INDEX('Script List'!$H$2:$H$161,MATCH(B377,'Script List'!$A$2:$A$161,0))</f>
        <v>187</v>
      </c>
      <c r="K377" s="2" t="s">
        <v>22</v>
      </c>
      <c r="L377" s="2">
        <f>I377-J377</f>
        <v>527</v>
      </c>
      <c r="M377" s="2">
        <v>7</v>
      </c>
      <c r="N377" s="9">
        <f>DATE(YEAR(C377),MONTH(C377),1)</f>
        <v>46235.0</v>
      </c>
      <c r="O377" s="2" t="str">
        <f>TEXT(N377,"yyyy-mm")</f>
        <v>2026-08</v>
      </c>
    </row>
    <row r="378" spans="1:15">
      <c r="A378" s="2" t="s">
        <v>779</v>
      </c>
      <c r="B378" s="2" t="s">
        <v>156</v>
      </c>
      <c r="C378" s="9">
        <v>46265</v>
      </c>
      <c r="D378" s="2" t="s">
        <v>386</v>
      </c>
      <c r="E378" s="2" t="s">
        <v>218</v>
      </c>
      <c r="F378" s="2">
        <v>3</v>
      </c>
      <c r="G378" s="2">
        <v>7</v>
      </c>
      <c r="H378" s="2">
        <v>95</v>
      </c>
      <c r="I378" s="2">
        <f>G378*H378</f>
        <v>665</v>
      </c>
      <c r="J378" s="2">
        <f>INDEX('Script List'!$H$2:$H$161,MATCH(B378,'Script List'!$A$2:$A$161,0))</f>
        <v>175</v>
      </c>
      <c r="K378" s="2" t="s">
        <v>21</v>
      </c>
      <c r="L378" s="2">
        <f>I378-J378</f>
        <v>490</v>
      </c>
      <c r="M378" s="2">
        <v>7.7</v>
      </c>
      <c r="N378" s="9">
        <f>DATE(YEAR(C378),MONTH(C378),1)</f>
        <v>46235.0</v>
      </c>
      <c r="O378" s="2" t="str">
        <f>TEXT(N378,"yyyy-mm")</f>
        <v>2026-08</v>
      </c>
    </row>
    <row r="379" spans="1:15">
      <c r="A379" s="2" t="s">
        <v>780</v>
      </c>
      <c r="B379" s="2" t="s">
        <v>156</v>
      </c>
      <c r="C379" s="9">
        <v>46266</v>
      </c>
      <c r="D379" s="2" t="s">
        <v>386</v>
      </c>
      <c r="E379" s="2" t="s">
        <v>218</v>
      </c>
      <c r="F379" s="2">
        <v>3</v>
      </c>
      <c r="G379" s="2">
        <v>7</v>
      </c>
      <c r="H379" s="2">
        <v>95</v>
      </c>
      <c r="I379" s="2">
        <f>G379*H379</f>
        <v>665</v>
      </c>
      <c r="J379" s="2">
        <f>INDEX('Script List'!$H$2:$H$161,MATCH(B379,'Script List'!$A$2:$A$161,0))</f>
        <v>175</v>
      </c>
      <c r="K379" s="2" t="s">
        <v>21</v>
      </c>
      <c r="L379" s="2">
        <f>I379-J379</f>
        <v>490</v>
      </c>
      <c r="M379" s="2">
        <v>7.7</v>
      </c>
      <c r="N379" s="9">
        <f>DATE(YEAR(C379),MONTH(C379),1)</f>
        <v>46266.0</v>
      </c>
      <c r="O379" s="2" t="str">
        <f>TEXT(N379,"yyyy-mm")</f>
        <v>2026-09</v>
      </c>
    </row>
    <row r="380" spans="1:15">
      <c r="A380" s="2" t="s">
        <v>781</v>
      </c>
      <c r="B380" s="2" t="s">
        <v>156</v>
      </c>
      <c r="C380" s="9">
        <v>46267</v>
      </c>
      <c r="D380" s="2" t="s">
        <v>386</v>
      </c>
      <c r="E380" s="2" t="s">
        <v>218</v>
      </c>
      <c r="F380" s="2">
        <v>3</v>
      </c>
      <c r="G380" s="2">
        <v>7</v>
      </c>
      <c r="H380" s="2">
        <v>95</v>
      </c>
      <c r="I380" s="2">
        <f>G380*H380</f>
        <v>665</v>
      </c>
      <c r="J380" s="2">
        <f>INDEX('Script List'!$H$2:$H$161,MATCH(B380,'Script List'!$A$2:$A$161,0))</f>
        <v>175</v>
      </c>
      <c r="K380" s="2" t="s">
        <v>21</v>
      </c>
      <c r="L380" s="2">
        <f>I380-J380</f>
        <v>490</v>
      </c>
      <c r="M380" s="2">
        <v>7.7</v>
      </c>
      <c r="N380" s="9">
        <f>DATE(YEAR(C380),MONTH(C380),1)</f>
        <v>46266.0</v>
      </c>
      <c r="O380" s="2" t="str">
        <f>TEXT(N380,"yyyy-mm")</f>
        <v>2026-09</v>
      </c>
    </row>
    <row r="381" spans="1:15">
      <c r="A381" s="2" t="s">
        <v>782</v>
      </c>
      <c r="B381" s="2" t="s">
        <v>156</v>
      </c>
      <c r="C381" s="9">
        <v>46268</v>
      </c>
      <c r="D381" s="2" t="s">
        <v>386</v>
      </c>
      <c r="E381" s="2" t="s">
        <v>218</v>
      </c>
      <c r="F381" s="2">
        <v>3</v>
      </c>
      <c r="G381" s="2">
        <v>7</v>
      </c>
      <c r="H381" s="2">
        <v>95</v>
      </c>
      <c r="I381" s="2">
        <f>G381*H381</f>
        <v>665</v>
      </c>
      <c r="J381" s="2">
        <f>INDEX('Script List'!$H$2:$H$161,MATCH(B381,'Script List'!$A$2:$A$161,0))</f>
        <v>175</v>
      </c>
      <c r="K381" s="2" t="s">
        <v>21</v>
      </c>
      <c r="L381" s="2">
        <f>I381-J381</f>
        <v>490</v>
      </c>
      <c r="M381" s="2">
        <v>7.7</v>
      </c>
      <c r="N381" s="9">
        <f>DATE(YEAR(C381),MONTH(C381),1)</f>
        <v>46266.0</v>
      </c>
      <c r="O381" s="2" t="str">
        <f>TEXT(N381,"yyyy-mm")</f>
        <v>2026-09</v>
      </c>
    </row>
    <row r="382" spans="1:15">
      <c r="A382" s="2" t="s">
        <v>783</v>
      </c>
      <c r="B382" s="2" t="s">
        <v>157</v>
      </c>
      <c r="C382" s="9">
        <v>46269</v>
      </c>
      <c r="D382" s="2" t="s">
        <v>387</v>
      </c>
      <c r="E382" s="2" t="s">
        <v>212</v>
      </c>
      <c r="F382" s="2">
        <v>6</v>
      </c>
      <c r="G382" s="2">
        <v>8</v>
      </c>
      <c r="H382" s="2">
        <v>109</v>
      </c>
      <c r="I382" s="2">
        <f>G382*H382</f>
        <v>872</v>
      </c>
      <c r="J382" s="2">
        <f>INDEX('Script List'!$H$2:$H$161,MATCH(B382,'Script List'!$A$2:$A$161,0))</f>
        <v>540</v>
      </c>
      <c r="K382" s="2" t="s">
        <v>22</v>
      </c>
      <c r="L382" s="2">
        <f>I382-J382</f>
        <v>332</v>
      </c>
      <c r="M382" s="2">
        <v>8.4</v>
      </c>
      <c r="N382" s="9">
        <f>DATE(YEAR(C382),MONTH(C382),1)</f>
        <v>46266.0</v>
      </c>
      <c r="O382" s="2" t="str">
        <f>TEXT(N382,"yyyy-mm")</f>
        <v>2026-09</v>
      </c>
    </row>
    <row r="383" spans="1:15">
      <c r="A383" s="2" t="s">
        <v>784</v>
      </c>
      <c r="B383" s="2" t="s">
        <v>158</v>
      </c>
      <c r="C383" s="9">
        <v>46270</v>
      </c>
      <c r="D383" s="2" t="s">
        <v>388</v>
      </c>
      <c r="E383" s="2" t="s">
        <v>212</v>
      </c>
      <c r="F383" s="2">
        <v>2</v>
      </c>
      <c r="G383" s="2">
        <v>6</v>
      </c>
      <c r="H383" s="2">
        <v>118</v>
      </c>
      <c r="I383" s="2">
        <f>G383*H383</f>
        <v>708</v>
      </c>
      <c r="J383" s="2">
        <f>INDEX('Script List'!$H$2:$H$161,MATCH(B383,'Script List'!$A$2:$A$161,0))</f>
        <v>180</v>
      </c>
      <c r="K383" s="2" t="s">
        <v>22</v>
      </c>
      <c r="L383" s="2">
        <f>I383-J383</f>
        <v>528</v>
      </c>
      <c r="M383" s="2">
        <v>7</v>
      </c>
      <c r="N383" s="9">
        <f>DATE(YEAR(C383),MONTH(C383),1)</f>
        <v>46266.0</v>
      </c>
      <c r="O383" s="2" t="str">
        <f>TEXT(N383,"yyyy-mm")</f>
        <v>2026-09</v>
      </c>
    </row>
    <row r="384" spans="1:15">
      <c r="A384" s="2" t="s">
        <v>785</v>
      </c>
      <c r="B384" s="2" t="s">
        <v>158</v>
      </c>
      <c r="C384" s="9">
        <v>46271</v>
      </c>
      <c r="D384" s="2" t="s">
        <v>388</v>
      </c>
      <c r="E384" s="2" t="s">
        <v>212</v>
      </c>
      <c r="F384" s="2">
        <v>2</v>
      </c>
      <c r="G384" s="2">
        <v>6</v>
      </c>
      <c r="H384" s="2">
        <v>118</v>
      </c>
      <c r="I384" s="2">
        <f>G384*H384</f>
        <v>708</v>
      </c>
      <c r="J384" s="2">
        <f>INDEX('Script List'!$H$2:$H$161,MATCH(B384,'Script List'!$A$2:$A$161,0))</f>
        <v>180</v>
      </c>
      <c r="K384" s="2" t="s">
        <v>22</v>
      </c>
      <c r="L384" s="2">
        <f>I384-J384</f>
        <v>528</v>
      </c>
      <c r="M384" s="2">
        <v>7</v>
      </c>
      <c r="N384" s="9">
        <f>DATE(YEAR(C384),MONTH(C384),1)</f>
        <v>46266.0</v>
      </c>
      <c r="O384" s="2" t="str">
        <f>TEXT(N384,"yyyy-mm")</f>
        <v>2026-09</v>
      </c>
    </row>
    <row r="385" spans="1:15">
      <c r="A385" s="2" t="s">
        <v>786</v>
      </c>
      <c r="B385" s="2" t="s">
        <v>159</v>
      </c>
      <c r="C385" s="9">
        <v>46272</v>
      </c>
      <c r="D385" s="2" t="s">
        <v>389</v>
      </c>
      <c r="E385" s="2" t="s">
        <v>214</v>
      </c>
      <c r="F385" s="2">
        <v>1</v>
      </c>
      <c r="G385" s="2">
        <v>6</v>
      </c>
      <c r="H385" s="2">
        <v>119</v>
      </c>
      <c r="I385" s="2">
        <f>G385*H385</f>
        <v>714</v>
      </c>
      <c r="J385" s="2">
        <f>INDEX('Script List'!$H$2:$H$161,MATCH(B385,'Script List'!$A$2:$A$161,0))</f>
        <v>187</v>
      </c>
      <c r="K385" s="2" t="s">
        <v>20</v>
      </c>
      <c r="L385" s="2">
        <f>I385-J385</f>
        <v>527</v>
      </c>
      <c r="M385" s="2">
        <v>7.7</v>
      </c>
      <c r="N385" s="9">
        <f>DATE(YEAR(C385),MONTH(C385),1)</f>
        <v>46266.0</v>
      </c>
      <c r="O385" s="2" t="str">
        <f>TEXT(N385,"yyyy-mm")</f>
        <v>2026-09</v>
      </c>
    </row>
    <row r="386" spans="1:15">
      <c r="A386" s="2" t="s">
        <v>787</v>
      </c>
      <c r="B386" s="2" t="s">
        <v>159</v>
      </c>
      <c r="C386" s="9">
        <v>46273</v>
      </c>
      <c r="D386" s="2" t="s">
        <v>389</v>
      </c>
      <c r="E386" s="2" t="s">
        <v>214</v>
      </c>
      <c r="F386" s="2">
        <v>1</v>
      </c>
      <c r="G386" s="2">
        <v>6</v>
      </c>
      <c r="H386" s="2">
        <v>119</v>
      </c>
      <c r="I386" s="2">
        <f>G386*H386</f>
        <v>714</v>
      </c>
      <c r="J386" s="2">
        <f>INDEX('Script List'!$H$2:$H$161,MATCH(B386,'Script List'!$A$2:$A$161,0))</f>
        <v>187</v>
      </c>
      <c r="K386" s="2" t="s">
        <v>20</v>
      </c>
      <c r="L386" s="2">
        <f>I386-J386</f>
        <v>527</v>
      </c>
      <c r="M386" s="2">
        <v>7.7</v>
      </c>
      <c r="N386" s="9">
        <f>DATE(YEAR(C386),MONTH(C386),1)</f>
        <v>46266.0</v>
      </c>
      <c r="O386" s="2" t="str">
        <f>TEXT(N386,"yyyy-mm")</f>
        <v>2026-09</v>
      </c>
    </row>
    <row r="387" spans="1:15">
      <c r="A387" s="2" t="s">
        <v>788</v>
      </c>
      <c r="B387" s="2" t="s">
        <v>159</v>
      </c>
      <c r="C387" s="9">
        <v>46274</v>
      </c>
      <c r="D387" s="2" t="s">
        <v>389</v>
      </c>
      <c r="E387" s="2" t="s">
        <v>214</v>
      </c>
      <c r="F387" s="2">
        <v>1</v>
      </c>
      <c r="G387" s="2">
        <v>6</v>
      </c>
      <c r="H387" s="2">
        <v>119</v>
      </c>
      <c r="I387" s="2">
        <f>G387*H387</f>
        <v>714</v>
      </c>
      <c r="J387" s="2">
        <f>INDEX('Script List'!$H$2:$H$161,MATCH(B387,'Script List'!$A$2:$A$161,0))</f>
        <v>187</v>
      </c>
      <c r="K387" s="2" t="s">
        <v>20</v>
      </c>
      <c r="L387" s="2">
        <f>I387-J387</f>
        <v>527</v>
      </c>
      <c r="M387" s="2">
        <v>7.7</v>
      </c>
      <c r="N387" s="9">
        <f>DATE(YEAR(C387),MONTH(C387),1)</f>
        <v>46266.0</v>
      </c>
      <c r="O387" s="2" t="str">
        <f>TEXT(N387,"yyyy-mm")</f>
        <v>2026-09</v>
      </c>
    </row>
    <row r="388" spans="1:15">
      <c r="A388" s="2" t="s">
        <v>789</v>
      </c>
      <c r="B388" s="2" t="s">
        <v>159</v>
      </c>
      <c r="C388" s="9">
        <v>46275</v>
      </c>
      <c r="D388" s="2" t="s">
        <v>389</v>
      </c>
      <c r="E388" s="2" t="s">
        <v>214</v>
      </c>
      <c r="F388" s="2">
        <v>1</v>
      </c>
      <c r="G388" s="2">
        <v>6</v>
      </c>
      <c r="H388" s="2">
        <v>119</v>
      </c>
      <c r="I388" s="2">
        <f>G388*H388</f>
        <v>714</v>
      </c>
      <c r="J388" s="2">
        <f>INDEX('Script List'!$H$2:$H$161,MATCH(B388,'Script List'!$A$2:$A$161,0))</f>
        <v>187</v>
      </c>
      <c r="K388" s="2" t="s">
        <v>20</v>
      </c>
      <c r="L388" s="2">
        <f>I388-J388</f>
        <v>527</v>
      </c>
      <c r="M388" s="2">
        <v>7.7</v>
      </c>
      <c r="N388" s="9">
        <f>DATE(YEAR(C388),MONTH(C388),1)</f>
        <v>46266.0</v>
      </c>
      <c r="O388" s="2" t="str">
        <f>TEXT(N388,"yyyy-mm")</f>
        <v>2026-09</v>
      </c>
    </row>
    <row r="389" spans="1:15">
      <c r="A389" s="2" t="s">
        <v>790</v>
      </c>
      <c r="B389" s="2" t="s">
        <v>159</v>
      </c>
      <c r="C389" s="9">
        <v>46276</v>
      </c>
      <c r="D389" s="2" t="s">
        <v>389</v>
      </c>
      <c r="E389" s="2" t="s">
        <v>214</v>
      </c>
      <c r="F389" s="2">
        <v>1</v>
      </c>
      <c r="G389" s="2">
        <v>6</v>
      </c>
      <c r="H389" s="2">
        <v>119</v>
      </c>
      <c r="I389" s="2">
        <f>G389*H389</f>
        <v>714</v>
      </c>
      <c r="J389" s="2">
        <f>INDEX('Script List'!$H$2:$H$161,MATCH(B389,'Script List'!$A$2:$A$161,0))</f>
        <v>187</v>
      </c>
      <c r="K389" s="2" t="s">
        <v>20</v>
      </c>
      <c r="L389" s="2">
        <f>I389-J389</f>
        <v>527</v>
      </c>
      <c r="M389" s="2">
        <v>7.7</v>
      </c>
      <c r="N389" s="9">
        <f>DATE(YEAR(C389),MONTH(C389),1)</f>
        <v>46266.0</v>
      </c>
      <c r="O389" s="2" t="str">
        <f>TEXT(N389,"yyyy-mm")</f>
        <v>2026-09</v>
      </c>
    </row>
    <row r="390" spans="1:15">
      <c r="A390" s="2" t="s">
        <v>791</v>
      </c>
      <c r="B390" s="2" t="s">
        <v>160</v>
      </c>
      <c r="C390" s="9">
        <v>46277</v>
      </c>
      <c r="D390" s="2" t="s">
        <v>390</v>
      </c>
      <c r="E390" s="2" t="s">
        <v>212</v>
      </c>
      <c r="F390" s="2">
        <v>3</v>
      </c>
      <c r="G390" s="2">
        <v>6</v>
      </c>
      <c r="H390" s="2">
        <v>99</v>
      </c>
      <c r="I390" s="2">
        <f>G390*H390</f>
        <v>594</v>
      </c>
      <c r="J390" s="2">
        <f>INDEX('Script List'!$H$2:$H$161,MATCH(B390,'Script List'!$A$2:$A$161,0))</f>
        <v>270</v>
      </c>
      <c r="K390" s="2" t="s">
        <v>22</v>
      </c>
      <c r="L390" s="2">
        <f>I390-J390</f>
        <v>324</v>
      </c>
      <c r="M390" s="2">
        <v>8.4</v>
      </c>
      <c r="N390" s="9">
        <f>DATE(YEAR(C390),MONTH(C390),1)</f>
        <v>46266.0</v>
      </c>
      <c r="O390" s="2" t="str">
        <f>TEXT(N390,"yyyy-mm")</f>
        <v>2026-09</v>
      </c>
    </row>
    <row r="391" spans="1:15">
      <c r="A391" s="2" t="s">
        <v>792</v>
      </c>
      <c r="B391" s="2" t="s">
        <v>161</v>
      </c>
      <c r="C391" s="9">
        <v>46278</v>
      </c>
      <c r="D391" s="2" t="s">
        <v>391</v>
      </c>
      <c r="E391" s="2" t="s">
        <v>218</v>
      </c>
      <c r="F391" s="2">
        <v>3</v>
      </c>
      <c r="G391" s="2">
        <v>7</v>
      </c>
      <c r="H391" s="2">
        <v>109</v>
      </c>
      <c r="I391" s="2">
        <f>G391*H391</f>
        <v>763</v>
      </c>
      <c r="J391" s="2">
        <f>INDEX('Script List'!$H$2:$H$161,MATCH(B391,'Script List'!$A$2:$A$161,0))</f>
        <v>200</v>
      </c>
      <c r="K391" s="2" t="s">
        <v>21</v>
      </c>
      <c r="L391" s="2">
        <f>I391-J391</f>
        <v>563</v>
      </c>
      <c r="M391" s="2">
        <v>7</v>
      </c>
      <c r="N391" s="9">
        <f>DATE(YEAR(C391),MONTH(C391),1)</f>
        <v>46266.0</v>
      </c>
      <c r="O391" s="2" t="str">
        <f>TEXT(N391,"yyyy-mm")</f>
        <v>2026-09</v>
      </c>
    </row>
    <row r="392" spans="1:15">
      <c r="A392" s="2" t="s">
        <v>793</v>
      </c>
      <c r="B392" s="2" t="s">
        <v>161</v>
      </c>
      <c r="C392" s="9">
        <v>46279</v>
      </c>
      <c r="D392" s="2" t="s">
        <v>391</v>
      </c>
      <c r="E392" s="2" t="s">
        <v>218</v>
      </c>
      <c r="F392" s="2">
        <v>3</v>
      </c>
      <c r="G392" s="2">
        <v>7</v>
      </c>
      <c r="H392" s="2">
        <v>109</v>
      </c>
      <c r="I392" s="2">
        <f>G392*H392</f>
        <v>763</v>
      </c>
      <c r="J392" s="2">
        <f>INDEX('Script List'!$H$2:$H$161,MATCH(B392,'Script List'!$A$2:$A$161,0))</f>
        <v>200</v>
      </c>
      <c r="K392" s="2" t="s">
        <v>21</v>
      </c>
      <c r="L392" s="2">
        <f>I392-J392</f>
        <v>563</v>
      </c>
      <c r="M392" s="2">
        <v>7</v>
      </c>
      <c r="N392" s="9">
        <f>DATE(YEAR(C392),MONTH(C392),1)</f>
        <v>46266.0</v>
      </c>
      <c r="O392" s="2" t="str">
        <f>TEXT(N392,"yyyy-mm")</f>
        <v>2026-09</v>
      </c>
    </row>
    <row r="393" spans="1:15">
      <c r="A393" s="2" t="s">
        <v>794</v>
      </c>
      <c r="B393" s="2" t="s">
        <v>162</v>
      </c>
      <c r="C393" s="9">
        <v>46280</v>
      </c>
      <c r="D393" s="2" t="s">
        <v>392</v>
      </c>
      <c r="E393" s="2" t="s">
        <v>214</v>
      </c>
      <c r="F393" s="2">
        <v>2</v>
      </c>
      <c r="G393" s="2">
        <v>8</v>
      </c>
      <c r="H393" s="2">
        <v>95</v>
      </c>
      <c r="I393" s="2">
        <f>G393*H393</f>
        <v>760</v>
      </c>
      <c r="J393" s="2">
        <f>INDEX('Script List'!$H$2:$H$161,MATCH(B393,'Script List'!$A$2:$A$161,0))</f>
        <v>200</v>
      </c>
      <c r="K393" s="2" t="s">
        <v>20</v>
      </c>
      <c r="L393" s="2">
        <f>I393-J393</f>
        <v>560</v>
      </c>
      <c r="M393" s="2">
        <v>7.7</v>
      </c>
      <c r="N393" s="9">
        <f>DATE(YEAR(C393),MONTH(C393),1)</f>
        <v>46266.0</v>
      </c>
      <c r="O393" s="2" t="str">
        <f>TEXT(N393,"yyyy-mm")</f>
        <v>2026-09</v>
      </c>
    </row>
    <row r="394" spans="1:15">
      <c r="A394" s="2" t="s">
        <v>795</v>
      </c>
      <c r="B394" s="2" t="s">
        <v>162</v>
      </c>
      <c r="C394" s="9">
        <v>46281</v>
      </c>
      <c r="D394" s="2" t="s">
        <v>392</v>
      </c>
      <c r="E394" s="2" t="s">
        <v>214</v>
      </c>
      <c r="F394" s="2">
        <v>2</v>
      </c>
      <c r="G394" s="2">
        <v>8</v>
      </c>
      <c r="H394" s="2">
        <v>95</v>
      </c>
      <c r="I394" s="2">
        <f>G394*H394</f>
        <v>760</v>
      </c>
      <c r="J394" s="2">
        <f>INDEX('Script List'!$H$2:$H$161,MATCH(B394,'Script List'!$A$2:$A$161,0))</f>
        <v>200</v>
      </c>
      <c r="K394" s="2" t="s">
        <v>20</v>
      </c>
      <c r="L394" s="2">
        <f>I394-J394</f>
        <v>560</v>
      </c>
      <c r="M394" s="2">
        <v>7.7</v>
      </c>
      <c r="N394" s="9">
        <f>DATE(YEAR(C394),MONTH(C394),1)</f>
        <v>46266.0</v>
      </c>
      <c r="O394" s="2" t="str">
        <f>TEXT(N394,"yyyy-mm")</f>
        <v>2026-09</v>
      </c>
    </row>
    <row r="395" spans="1:15">
      <c r="A395" s="2" t="s">
        <v>796</v>
      </c>
      <c r="B395" s="2" t="s">
        <v>162</v>
      </c>
      <c r="C395" s="9">
        <v>46282</v>
      </c>
      <c r="D395" s="2" t="s">
        <v>392</v>
      </c>
      <c r="E395" s="2" t="s">
        <v>214</v>
      </c>
      <c r="F395" s="2">
        <v>2</v>
      </c>
      <c r="G395" s="2">
        <v>8</v>
      </c>
      <c r="H395" s="2">
        <v>95</v>
      </c>
      <c r="I395" s="2">
        <f>G395*H395</f>
        <v>760</v>
      </c>
      <c r="J395" s="2">
        <f>INDEX('Script List'!$H$2:$H$161,MATCH(B395,'Script List'!$A$2:$A$161,0))</f>
        <v>200</v>
      </c>
      <c r="K395" s="2" t="s">
        <v>20</v>
      </c>
      <c r="L395" s="2">
        <f>I395-J395</f>
        <v>560</v>
      </c>
      <c r="M395" s="2">
        <v>7.7</v>
      </c>
      <c r="N395" s="9">
        <f>DATE(YEAR(C395),MONTH(C395),1)</f>
        <v>46266.0</v>
      </c>
      <c r="O395" s="2" t="str">
        <f>TEXT(N395,"yyyy-mm")</f>
        <v>2026-09</v>
      </c>
    </row>
    <row r="396" spans="1:15">
      <c r="A396" s="2" t="s">
        <v>797</v>
      </c>
      <c r="B396" s="2" t="s">
        <v>162</v>
      </c>
      <c r="C396" s="9">
        <v>46283</v>
      </c>
      <c r="D396" s="2" t="s">
        <v>392</v>
      </c>
      <c r="E396" s="2" t="s">
        <v>214</v>
      </c>
      <c r="F396" s="2">
        <v>2</v>
      </c>
      <c r="G396" s="2">
        <v>8</v>
      </c>
      <c r="H396" s="2">
        <v>95</v>
      </c>
      <c r="I396" s="2">
        <f>G396*H396</f>
        <v>760</v>
      </c>
      <c r="J396" s="2">
        <f>INDEX('Script List'!$H$2:$H$161,MATCH(B396,'Script List'!$A$2:$A$161,0))</f>
        <v>200</v>
      </c>
      <c r="K396" s="2" t="s">
        <v>20</v>
      </c>
      <c r="L396" s="2">
        <f>I396-J396</f>
        <v>560</v>
      </c>
      <c r="M396" s="2">
        <v>7.7</v>
      </c>
      <c r="N396" s="9">
        <f>DATE(YEAR(C396),MONTH(C396),1)</f>
        <v>46266.0</v>
      </c>
      <c r="O396" s="2" t="str">
        <f>TEXT(N396,"yyyy-mm")</f>
        <v>2026-09</v>
      </c>
    </row>
    <row r="397" spans="1:15">
      <c r="A397" s="2" t="s">
        <v>798</v>
      </c>
      <c r="B397" s="2" t="s">
        <v>162</v>
      </c>
      <c r="C397" s="9">
        <v>46284</v>
      </c>
      <c r="D397" s="2" t="s">
        <v>392</v>
      </c>
      <c r="E397" s="2" t="s">
        <v>214</v>
      </c>
      <c r="F397" s="2">
        <v>2</v>
      </c>
      <c r="G397" s="2">
        <v>8</v>
      </c>
      <c r="H397" s="2">
        <v>95</v>
      </c>
      <c r="I397" s="2">
        <f>G397*H397</f>
        <v>760</v>
      </c>
      <c r="J397" s="2">
        <f>INDEX('Script List'!$H$2:$H$161,MATCH(B397,'Script List'!$A$2:$A$161,0))</f>
        <v>200</v>
      </c>
      <c r="K397" s="2" t="s">
        <v>20</v>
      </c>
      <c r="L397" s="2">
        <f>I397-J397</f>
        <v>560</v>
      </c>
      <c r="M397" s="2">
        <v>7.7</v>
      </c>
      <c r="N397" s="9">
        <f>DATE(YEAR(C397),MONTH(C397),1)</f>
        <v>46266.0</v>
      </c>
      <c r="O397" s="2" t="str">
        <f>TEXT(N397,"yyyy-mm")</f>
        <v>2026-09</v>
      </c>
    </row>
    <row r="398" spans="1:15">
      <c r="A398" s="2" t="s">
        <v>799</v>
      </c>
      <c r="B398" s="2" t="s">
        <v>162</v>
      </c>
      <c r="C398" s="9">
        <v>46285</v>
      </c>
      <c r="D398" s="2" t="s">
        <v>392</v>
      </c>
      <c r="E398" s="2" t="s">
        <v>214</v>
      </c>
      <c r="F398" s="2">
        <v>2</v>
      </c>
      <c r="G398" s="2">
        <v>8</v>
      </c>
      <c r="H398" s="2">
        <v>95</v>
      </c>
      <c r="I398" s="2">
        <f>G398*H398</f>
        <v>760</v>
      </c>
      <c r="J398" s="2">
        <f>INDEX('Script List'!$H$2:$H$161,MATCH(B398,'Script List'!$A$2:$A$161,0))</f>
        <v>200</v>
      </c>
      <c r="K398" s="2" t="s">
        <v>20</v>
      </c>
      <c r="L398" s="2">
        <f>I398-J398</f>
        <v>560</v>
      </c>
      <c r="M398" s="2">
        <v>7.7</v>
      </c>
      <c r="N398" s="9">
        <f>DATE(YEAR(C398),MONTH(C398),1)</f>
        <v>46266.0</v>
      </c>
      <c r="O398" s="2" t="str">
        <f>TEXT(N398,"yyyy-mm")</f>
        <v>2026-09</v>
      </c>
    </row>
    <row r="399" spans="1:15">
      <c r="A399" s="2" t="s">
        <v>800</v>
      </c>
      <c r="B399" s="2" t="s">
        <v>162</v>
      </c>
      <c r="C399" s="9">
        <v>46286</v>
      </c>
      <c r="D399" s="2" t="s">
        <v>392</v>
      </c>
      <c r="E399" s="2" t="s">
        <v>214</v>
      </c>
      <c r="F399" s="2">
        <v>2</v>
      </c>
      <c r="G399" s="2">
        <v>8</v>
      </c>
      <c r="H399" s="2">
        <v>95</v>
      </c>
      <c r="I399" s="2">
        <f>G399*H399</f>
        <v>760</v>
      </c>
      <c r="J399" s="2">
        <f>INDEX('Script List'!$H$2:$H$161,MATCH(B399,'Script List'!$A$2:$A$161,0))</f>
        <v>200</v>
      </c>
      <c r="K399" s="2" t="s">
        <v>20</v>
      </c>
      <c r="L399" s="2">
        <f>I399-J399</f>
        <v>560</v>
      </c>
      <c r="M399" s="2">
        <v>7.7</v>
      </c>
      <c r="N399" s="9">
        <f>DATE(YEAR(C399),MONTH(C399),1)</f>
        <v>46266.0</v>
      </c>
      <c r="O399" s="2" t="str">
        <f>TEXT(N399,"yyyy-mm")</f>
        <v>2026-09</v>
      </c>
    </row>
    <row r="400" spans="1:15">
      <c r="A400" s="2" t="s">
        <v>801</v>
      </c>
      <c r="B400" s="2" t="s">
        <v>163</v>
      </c>
      <c r="C400" s="9">
        <v>46287</v>
      </c>
      <c r="D400" s="2" t="s">
        <v>393</v>
      </c>
      <c r="E400" s="2" t="s">
        <v>212</v>
      </c>
      <c r="F400" s="2">
        <v>2</v>
      </c>
      <c r="G400" s="2">
        <v>6</v>
      </c>
      <c r="H400" s="2">
        <v>138</v>
      </c>
      <c r="I400" s="2">
        <f>G400*H400</f>
        <v>828</v>
      </c>
      <c r="J400" s="2">
        <f>INDEX('Script List'!$H$2:$H$161,MATCH(B400,'Script List'!$A$2:$A$161,0))</f>
        <v>180</v>
      </c>
      <c r="K400" s="2" t="s">
        <v>22</v>
      </c>
      <c r="L400" s="2">
        <f>I400-J400</f>
        <v>648</v>
      </c>
      <c r="M400" s="2">
        <v>8.4</v>
      </c>
      <c r="N400" s="9">
        <f>DATE(YEAR(C400),MONTH(C400),1)</f>
        <v>46266.0</v>
      </c>
      <c r="O400" s="2" t="str">
        <f>TEXT(N400,"yyyy-mm")</f>
        <v>2026-09</v>
      </c>
    </row>
    <row r="401" spans="1:15">
      <c r="A401" s="2" t="s">
        <v>802</v>
      </c>
      <c r="B401" s="2" t="s">
        <v>164</v>
      </c>
      <c r="C401" s="9">
        <v>46288</v>
      </c>
      <c r="D401" s="2" t="s">
        <v>394</v>
      </c>
      <c r="E401" s="2" t="s">
        <v>223</v>
      </c>
      <c r="F401" s="2">
        <v>1</v>
      </c>
      <c r="G401" s="2">
        <v>6</v>
      </c>
      <c r="H401" s="2">
        <v>109</v>
      </c>
      <c r="I401" s="2">
        <f>G401*H401</f>
        <v>654</v>
      </c>
      <c r="J401" s="2">
        <f>INDEX('Script List'!$H$2:$H$161,MATCH(B401,'Script List'!$A$2:$A$161,0))</f>
        <v>172</v>
      </c>
      <c r="K401" s="2" t="s">
        <v>20</v>
      </c>
      <c r="L401" s="2">
        <f>I401-J401</f>
        <v>482</v>
      </c>
      <c r="M401" s="2">
        <v>7</v>
      </c>
      <c r="N401" s="9">
        <f>DATE(YEAR(C401),MONTH(C401),1)</f>
        <v>46266.0</v>
      </c>
      <c r="O401" s="2" t="str">
        <f>TEXT(N401,"yyyy-mm")</f>
        <v>2026-09</v>
      </c>
    </row>
    <row r="402" spans="1:15">
      <c r="A402" s="2" t="s">
        <v>803</v>
      </c>
      <c r="B402" s="2" t="s">
        <v>164</v>
      </c>
      <c r="C402" s="9">
        <v>46288</v>
      </c>
      <c r="D402" s="2" t="s">
        <v>394</v>
      </c>
      <c r="E402" s="2" t="s">
        <v>223</v>
      </c>
      <c r="F402" s="2">
        <v>1</v>
      </c>
      <c r="G402" s="2">
        <v>6</v>
      </c>
      <c r="H402" s="2">
        <v>109</v>
      </c>
      <c r="I402" s="2">
        <f>G402*H402</f>
        <v>654</v>
      </c>
      <c r="J402" s="2">
        <f>INDEX('Script List'!$H$2:$H$161,MATCH(B402,'Script List'!$A$2:$A$161,0))</f>
        <v>172</v>
      </c>
      <c r="K402" s="2" t="s">
        <v>20</v>
      </c>
      <c r="L402" s="2">
        <f>I402-J402</f>
        <v>482</v>
      </c>
      <c r="M402" s="2">
        <v>7</v>
      </c>
      <c r="N402" s="9">
        <f>DATE(YEAR(C402),MONTH(C402),1)</f>
        <v>46266.0</v>
      </c>
      <c r="O402" s="2" t="str">
        <f>TEXT(N402,"yyyy-mm")</f>
        <v>2026-09</v>
      </c>
    </row>
    <row r="403" spans="1:15">
      <c r="A403" s="2" t="s">
        <v>804</v>
      </c>
      <c r="B403" s="2" t="s">
        <v>164</v>
      </c>
      <c r="C403" s="9">
        <v>46289</v>
      </c>
      <c r="D403" s="2" t="s">
        <v>394</v>
      </c>
      <c r="E403" s="2" t="s">
        <v>223</v>
      </c>
      <c r="F403" s="2">
        <v>1</v>
      </c>
      <c r="G403" s="2">
        <v>6</v>
      </c>
      <c r="H403" s="2">
        <v>109</v>
      </c>
      <c r="I403" s="2">
        <f>G403*H403</f>
        <v>654</v>
      </c>
      <c r="J403" s="2">
        <f>INDEX('Script List'!$H$2:$H$161,MATCH(B403,'Script List'!$A$2:$A$161,0))</f>
        <v>172</v>
      </c>
      <c r="K403" s="2" t="s">
        <v>20</v>
      </c>
      <c r="L403" s="2">
        <f>I403-J403</f>
        <v>482</v>
      </c>
      <c r="M403" s="2">
        <v>7</v>
      </c>
      <c r="N403" s="9">
        <f>DATE(YEAR(C403),MONTH(C403),1)</f>
        <v>46266.0</v>
      </c>
      <c r="O403" s="2" t="str">
        <f>TEXT(N403,"yyyy-mm")</f>
        <v>2026-09</v>
      </c>
    </row>
    <row r="404" spans="1:15">
      <c r="A404" s="2" t="s">
        <v>805</v>
      </c>
      <c r="B404" s="2" t="s">
        <v>165</v>
      </c>
      <c r="C404" s="9">
        <v>46290</v>
      </c>
      <c r="D404" s="2" t="s">
        <v>395</v>
      </c>
      <c r="E404" s="2" t="s">
        <v>214</v>
      </c>
      <c r="F404" s="2">
        <v>1</v>
      </c>
      <c r="G404" s="2">
        <v>6</v>
      </c>
      <c r="H404" s="2">
        <v>75</v>
      </c>
      <c r="I404" s="2">
        <f>G404*H404</f>
        <v>450</v>
      </c>
      <c r="J404" s="2">
        <f>INDEX('Script List'!$H$2:$H$161,MATCH(B404,'Script List'!$A$2:$A$161,0))</f>
        <v>118</v>
      </c>
      <c r="K404" s="2" t="s">
        <v>22</v>
      </c>
      <c r="L404" s="2">
        <f>I404-J404</f>
        <v>332</v>
      </c>
      <c r="M404" s="2">
        <v>7.7</v>
      </c>
      <c r="N404" s="9">
        <f>DATE(YEAR(C404),MONTH(C404),1)</f>
        <v>46266.0</v>
      </c>
      <c r="O404" s="2" t="str">
        <f>TEXT(N404,"yyyy-mm")</f>
        <v>2026-09</v>
      </c>
    </row>
    <row r="405" spans="1:15">
      <c r="A405" s="2" t="s">
        <v>806</v>
      </c>
      <c r="B405" s="2" t="s">
        <v>165</v>
      </c>
      <c r="C405" s="9">
        <v>46291</v>
      </c>
      <c r="D405" s="2" t="s">
        <v>395</v>
      </c>
      <c r="E405" s="2" t="s">
        <v>214</v>
      </c>
      <c r="F405" s="2">
        <v>1</v>
      </c>
      <c r="G405" s="2">
        <v>6</v>
      </c>
      <c r="H405" s="2">
        <v>75</v>
      </c>
      <c r="I405" s="2">
        <f>G405*H405</f>
        <v>450</v>
      </c>
      <c r="J405" s="2">
        <f>INDEX('Script List'!$H$2:$H$161,MATCH(B405,'Script List'!$A$2:$A$161,0))</f>
        <v>118</v>
      </c>
      <c r="K405" s="2" t="s">
        <v>22</v>
      </c>
      <c r="L405" s="2">
        <f>I405-J405</f>
        <v>332</v>
      </c>
      <c r="M405" s="2">
        <v>7.7</v>
      </c>
      <c r="N405" s="9">
        <f>DATE(YEAR(C405),MONTH(C405),1)</f>
        <v>46266.0</v>
      </c>
      <c r="O405" s="2" t="str">
        <f>TEXT(N405,"yyyy-mm")</f>
        <v>2026-09</v>
      </c>
    </row>
    <row r="406" spans="1:15">
      <c r="A406" s="2" t="s">
        <v>807</v>
      </c>
      <c r="B406" s="2" t="s">
        <v>165</v>
      </c>
      <c r="C406" s="9">
        <v>46292</v>
      </c>
      <c r="D406" s="2" t="s">
        <v>395</v>
      </c>
      <c r="E406" s="2" t="s">
        <v>214</v>
      </c>
      <c r="F406" s="2">
        <v>1</v>
      </c>
      <c r="G406" s="2">
        <v>6</v>
      </c>
      <c r="H406" s="2">
        <v>75</v>
      </c>
      <c r="I406" s="2">
        <f>G406*H406</f>
        <v>450</v>
      </c>
      <c r="J406" s="2">
        <f>INDEX('Script List'!$H$2:$H$161,MATCH(B406,'Script List'!$A$2:$A$161,0))</f>
        <v>118</v>
      </c>
      <c r="K406" s="2" t="s">
        <v>22</v>
      </c>
      <c r="L406" s="2">
        <f>I406-J406</f>
        <v>332</v>
      </c>
      <c r="M406" s="2">
        <v>7.7</v>
      </c>
      <c r="N406" s="9">
        <f>DATE(YEAR(C406),MONTH(C406),1)</f>
        <v>46266.0</v>
      </c>
      <c r="O406" s="2" t="str">
        <f>TEXT(N406,"yyyy-mm")</f>
        <v>2026-09</v>
      </c>
    </row>
    <row r="407" spans="1:15">
      <c r="A407" s="2" t="s">
        <v>808</v>
      </c>
      <c r="B407" s="2" t="s">
        <v>165</v>
      </c>
      <c r="C407" s="9">
        <v>46293</v>
      </c>
      <c r="D407" s="2" t="s">
        <v>395</v>
      </c>
      <c r="E407" s="2" t="s">
        <v>214</v>
      </c>
      <c r="F407" s="2">
        <v>1</v>
      </c>
      <c r="G407" s="2">
        <v>6</v>
      </c>
      <c r="H407" s="2">
        <v>75</v>
      </c>
      <c r="I407" s="2">
        <f>G407*H407</f>
        <v>450</v>
      </c>
      <c r="J407" s="2">
        <f>INDEX('Script List'!$H$2:$H$161,MATCH(B407,'Script List'!$A$2:$A$161,0))</f>
        <v>118</v>
      </c>
      <c r="K407" s="2" t="s">
        <v>22</v>
      </c>
      <c r="L407" s="2">
        <f>I407-J407</f>
        <v>332</v>
      </c>
      <c r="M407" s="2">
        <v>7.7</v>
      </c>
      <c r="N407" s="9">
        <f>DATE(YEAR(C407),MONTH(C407),1)</f>
        <v>46266.0</v>
      </c>
      <c r="O407" s="2" t="str">
        <f>TEXT(N407,"yyyy-mm")</f>
        <v>2026-09</v>
      </c>
    </row>
    <row r="408" spans="1:15">
      <c r="A408" s="2" t="s">
        <v>809</v>
      </c>
      <c r="B408" s="2" t="s">
        <v>165</v>
      </c>
      <c r="C408" s="9">
        <v>46294</v>
      </c>
      <c r="D408" s="2" t="s">
        <v>395</v>
      </c>
      <c r="E408" s="2" t="s">
        <v>214</v>
      </c>
      <c r="F408" s="2">
        <v>1</v>
      </c>
      <c r="G408" s="2">
        <v>6</v>
      </c>
      <c r="H408" s="2">
        <v>75</v>
      </c>
      <c r="I408" s="2">
        <f>G408*H408</f>
        <v>450</v>
      </c>
      <c r="J408" s="2">
        <f>INDEX('Script List'!$H$2:$H$161,MATCH(B408,'Script List'!$A$2:$A$161,0))</f>
        <v>118</v>
      </c>
      <c r="K408" s="2" t="s">
        <v>22</v>
      </c>
      <c r="L408" s="2">
        <f>I408-J408</f>
        <v>332</v>
      </c>
      <c r="M408" s="2">
        <v>7.7</v>
      </c>
      <c r="N408" s="9">
        <f>DATE(YEAR(C408),MONTH(C408),1)</f>
        <v>46266.0</v>
      </c>
      <c r="O408" s="2" t="str">
        <f>TEXT(N408,"yyyy-mm")</f>
        <v>2026-09</v>
      </c>
    </row>
    <row r="409" spans="1:15">
      <c r="A409" s="2" t="s">
        <v>810</v>
      </c>
      <c r="B409" s="2" t="s">
        <v>165</v>
      </c>
      <c r="C409" s="9">
        <v>46295</v>
      </c>
      <c r="D409" s="2" t="s">
        <v>395</v>
      </c>
      <c r="E409" s="2" t="s">
        <v>214</v>
      </c>
      <c r="F409" s="2">
        <v>1</v>
      </c>
      <c r="G409" s="2">
        <v>6</v>
      </c>
      <c r="H409" s="2">
        <v>75</v>
      </c>
      <c r="I409" s="2">
        <f>G409*H409</f>
        <v>450</v>
      </c>
      <c r="J409" s="2">
        <f>INDEX('Script List'!$H$2:$H$161,MATCH(B409,'Script List'!$A$2:$A$161,0))</f>
        <v>118</v>
      </c>
      <c r="K409" s="2" t="s">
        <v>22</v>
      </c>
      <c r="L409" s="2">
        <f>I409-J409</f>
        <v>332</v>
      </c>
      <c r="M409" s="2">
        <v>7.7</v>
      </c>
      <c r="N409" s="9">
        <f>DATE(YEAR(C409),MONTH(C409),1)</f>
        <v>46266.0</v>
      </c>
      <c r="O409" s="2" t="str">
        <f>TEXT(N409,"yyyy-mm")</f>
        <v>2026-09</v>
      </c>
    </row>
    <row r="410" spans="1:15">
      <c r="A410" s="2" t="s">
        <v>811</v>
      </c>
      <c r="B410" s="2" t="s">
        <v>165</v>
      </c>
      <c r="C410" s="9">
        <v>46296</v>
      </c>
      <c r="D410" s="2" t="s">
        <v>395</v>
      </c>
      <c r="E410" s="2" t="s">
        <v>214</v>
      </c>
      <c r="F410" s="2">
        <v>1</v>
      </c>
      <c r="G410" s="2">
        <v>6</v>
      </c>
      <c r="H410" s="2">
        <v>75</v>
      </c>
      <c r="I410" s="2">
        <f>G410*H410</f>
        <v>450</v>
      </c>
      <c r="J410" s="2">
        <f>INDEX('Script List'!$H$2:$H$161,MATCH(B410,'Script List'!$A$2:$A$161,0))</f>
        <v>118</v>
      </c>
      <c r="K410" s="2" t="s">
        <v>22</v>
      </c>
      <c r="L410" s="2">
        <f>I410-J410</f>
        <v>332</v>
      </c>
      <c r="M410" s="2">
        <v>7.7</v>
      </c>
      <c r="N410" s="9">
        <f>DATE(YEAR(C410),MONTH(C410),1)</f>
        <v>46296.0</v>
      </c>
      <c r="O410" s="2" t="str">
        <f>TEXT(N410,"yyyy-mm")</f>
        <v>2026-10</v>
      </c>
    </row>
    <row r="411" spans="1:15">
      <c r="A411" s="2" t="s">
        <v>812</v>
      </c>
      <c r="B411" s="2" t="s">
        <v>165</v>
      </c>
      <c r="C411" s="9">
        <v>46297</v>
      </c>
      <c r="D411" s="2" t="s">
        <v>395</v>
      </c>
      <c r="E411" s="2" t="s">
        <v>214</v>
      </c>
      <c r="F411" s="2">
        <v>1</v>
      </c>
      <c r="G411" s="2">
        <v>6</v>
      </c>
      <c r="H411" s="2">
        <v>75</v>
      </c>
      <c r="I411" s="2">
        <f>G411*H411</f>
        <v>450</v>
      </c>
      <c r="J411" s="2">
        <f>INDEX('Script List'!$H$2:$H$161,MATCH(B411,'Script List'!$A$2:$A$161,0))</f>
        <v>118</v>
      </c>
      <c r="K411" s="2" t="s">
        <v>22</v>
      </c>
      <c r="L411" s="2">
        <f>I411-J411</f>
        <v>332</v>
      </c>
      <c r="M411" s="2">
        <v>7.7</v>
      </c>
      <c r="N411" s="9">
        <f>DATE(YEAR(C411),MONTH(C411),1)</f>
        <v>46296.0</v>
      </c>
      <c r="O411" s="2" t="str">
        <f>TEXT(N411,"yyyy-mm")</f>
        <v>2026-10</v>
      </c>
    </row>
    <row r="412" spans="1:15">
      <c r="A412" s="2" t="s">
        <v>813</v>
      </c>
      <c r="B412" s="2" t="s">
        <v>165</v>
      </c>
      <c r="C412" s="9">
        <v>46298</v>
      </c>
      <c r="D412" s="2" t="s">
        <v>395</v>
      </c>
      <c r="E412" s="2" t="s">
        <v>214</v>
      </c>
      <c r="F412" s="2">
        <v>1</v>
      </c>
      <c r="G412" s="2">
        <v>6</v>
      </c>
      <c r="H412" s="2">
        <v>75</v>
      </c>
      <c r="I412" s="2">
        <f>G412*H412</f>
        <v>450</v>
      </c>
      <c r="J412" s="2">
        <f>INDEX('Script List'!$H$2:$H$161,MATCH(B412,'Script List'!$A$2:$A$161,0))</f>
        <v>118</v>
      </c>
      <c r="K412" s="2" t="s">
        <v>22</v>
      </c>
      <c r="L412" s="2">
        <f>I412-J412</f>
        <v>332</v>
      </c>
      <c r="M412" s="2">
        <v>7.7</v>
      </c>
      <c r="N412" s="9">
        <f>DATE(YEAR(C412),MONTH(C412),1)</f>
        <v>46296.0</v>
      </c>
      <c r="O412" s="2" t="str">
        <f>TEXT(N412,"yyyy-mm")</f>
        <v>2026-10</v>
      </c>
    </row>
    <row r="413" spans="1:15">
      <c r="A413" s="2" t="s">
        <v>814</v>
      </c>
      <c r="B413" s="2" t="s">
        <v>165</v>
      </c>
      <c r="C413" s="9">
        <v>46299</v>
      </c>
      <c r="D413" s="2" t="s">
        <v>395</v>
      </c>
      <c r="E413" s="2" t="s">
        <v>214</v>
      </c>
      <c r="F413" s="2">
        <v>1</v>
      </c>
      <c r="G413" s="2">
        <v>6</v>
      </c>
      <c r="H413" s="2">
        <v>75</v>
      </c>
      <c r="I413" s="2">
        <f>G413*H413</f>
        <v>450</v>
      </c>
      <c r="J413" s="2">
        <f>INDEX('Script List'!$H$2:$H$161,MATCH(B413,'Script List'!$A$2:$A$161,0))</f>
        <v>118</v>
      </c>
      <c r="K413" s="2" t="s">
        <v>22</v>
      </c>
      <c r="L413" s="2">
        <f>I413-J413</f>
        <v>332</v>
      </c>
      <c r="M413" s="2">
        <v>7.7</v>
      </c>
      <c r="N413" s="9">
        <f>DATE(YEAR(C413),MONTH(C413),1)</f>
        <v>46296.0</v>
      </c>
      <c r="O413" s="2" t="str">
        <f>TEXT(N413,"yyyy-mm")</f>
        <v>2026-10</v>
      </c>
    </row>
    <row r="414" spans="1:15">
      <c r="A414" s="2" t="s">
        <v>815</v>
      </c>
      <c r="B414" s="2" t="s">
        <v>166</v>
      </c>
      <c r="C414" s="9">
        <v>46300</v>
      </c>
      <c r="D414" s="2" t="s">
        <v>396</v>
      </c>
      <c r="E414" s="2" t="s">
        <v>218</v>
      </c>
      <c r="F414" s="2">
        <v>3</v>
      </c>
      <c r="G414" s="2">
        <v>7</v>
      </c>
      <c r="H414" s="2">
        <v>118</v>
      </c>
      <c r="I414" s="2">
        <f>G414*H414</f>
        <v>826</v>
      </c>
      <c r="J414" s="2">
        <f>INDEX('Script List'!$H$2:$H$161,MATCH(B414,'Script List'!$A$2:$A$161,0))</f>
        <v>217</v>
      </c>
      <c r="K414" s="2" t="s">
        <v>21</v>
      </c>
      <c r="L414" s="2">
        <f>I414-J414</f>
        <v>609</v>
      </c>
      <c r="M414" s="2">
        <v>8.4</v>
      </c>
      <c r="N414" s="9">
        <f>DATE(YEAR(C414),MONTH(C414),1)</f>
        <v>46296.0</v>
      </c>
      <c r="O414" s="2" t="str">
        <f>TEXT(N414,"yyyy-mm")</f>
        <v>2026-10</v>
      </c>
    </row>
    <row r="415" spans="1:15">
      <c r="A415" s="2" t="s">
        <v>816</v>
      </c>
      <c r="B415" s="2" t="s">
        <v>167</v>
      </c>
      <c r="C415" s="9">
        <v>46301</v>
      </c>
      <c r="D415" s="2" t="s">
        <v>397</v>
      </c>
      <c r="E415" s="2" t="s">
        <v>212</v>
      </c>
      <c r="F415" s="2">
        <v>6</v>
      </c>
      <c r="G415" s="2">
        <v>8</v>
      </c>
      <c r="H415" s="2">
        <v>138</v>
      </c>
      <c r="I415" s="2">
        <f>G415*H415</f>
        <v>1104</v>
      </c>
      <c r="J415" s="2">
        <f>INDEX('Script List'!$H$2:$H$161,MATCH(B415,'Script List'!$A$2:$A$161,0))</f>
        <v>540</v>
      </c>
      <c r="K415" s="2" t="s">
        <v>22</v>
      </c>
      <c r="L415" s="2">
        <f>I415-J415</f>
        <v>564</v>
      </c>
      <c r="M415" s="2">
        <v>7</v>
      </c>
      <c r="N415" s="9">
        <f>DATE(YEAR(C415),MONTH(C415),1)</f>
        <v>46296.0</v>
      </c>
      <c r="O415" s="2" t="str">
        <f>TEXT(N415,"yyyy-mm")</f>
        <v>2026-10</v>
      </c>
    </row>
    <row r="416" spans="1:15">
      <c r="A416" s="2" t="s">
        <v>817</v>
      </c>
      <c r="B416" s="2" t="s">
        <v>167</v>
      </c>
      <c r="C416" s="9">
        <v>46302</v>
      </c>
      <c r="D416" s="2" t="s">
        <v>397</v>
      </c>
      <c r="E416" s="2" t="s">
        <v>212</v>
      </c>
      <c r="F416" s="2">
        <v>6</v>
      </c>
      <c r="G416" s="2">
        <v>8</v>
      </c>
      <c r="H416" s="2">
        <v>138</v>
      </c>
      <c r="I416" s="2">
        <f>G416*H416</f>
        <v>1104</v>
      </c>
      <c r="J416" s="2">
        <f>INDEX('Script List'!$H$2:$H$161,MATCH(B416,'Script List'!$A$2:$A$161,0))</f>
        <v>540</v>
      </c>
      <c r="K416" s="2" t="s">
        <v>22</v>
      </c>
      <c r="L416" s="2">
        <f>I416-J416</f>
        <v>564</v>
      </c>
      <c r="M416" s="2">
        <v>7</v>
      </c>
      <c r="N416" s="9">
        <f>DATE(YEAR(C416),MONTH(C416),1)</f>
        <v>46296.0</v>
      </c>
      <c r="O416" s="2" t="str">
        <f>TEXT(N416,"yyyy-mm")</f>
        <v>2026-10</v>
      </c>
    </row>
    <row r="417" spans="1:15">
      <c r="A417" s="2" t="s">
        <v>818</v>
      </c>
      <c r="B417" s="2" t="s">
        <v>167</v>
      </c>
      <c r="C417" s="9">
        <v>46303</v>
      </c>
      <c r="D417" s="2" t="s">
        <v>397</v>
      </c>
      <c r="E417" s="2" t="s">
        <v>212</v>
      </c>
      <c r="F417" s="2">
        <v>6</v>
      </c>
      <c r="G417" s="2">
        <v>8</v>
      </c>
      <c r="H417" s="2">
        <v>138</v>
      </c>
      <c r="I417" s="2">
        <f>G417*H417</f>
        <v>1104</v>
      </c>
      <c r="J417" s="2">
        <f>INDEX('Script List'!$H$2:$H$161,MATCH(B417,'Script List'!$A$2:$A$161,0))</f>
        <v>540</v>
      </c>
      <c r="K417" s="2" t="s">
        <v>22</v>
      </c>
      <c r="L417" s="2">
        <f>I417-J417</f>
        <v>564</v>
      </c>
      <c r="M417" s="2">
        <v>7</v>
      </c>
      <c r="N417" s="9">
        <f>DATE(YEAR(C417),MONTH(C417),1)</f>
        <v>46296.0</v>
      </c>
      <c r="O417" s="2" t="str">
        <f>TEXT(N417,"yyyy-mm")</f>
        <v>2026-10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137"/>
  <sheetViews>
    <sheetView showGridLines="0" workbookViewId="0"/>
  </sheetViews>
  <sheetFormatPr defaultRowHeight="15"/>
  <cols>
    <col min="1" max="15" width="20.7109375" style="2" customWidth="1"/>
  </cols>
  <sheetData>
    <row r="1" spans="1:15" ht="44" customHeight="1">
      <c r="A1" s="1" t="s">
        <v>864</v>
      </c>
      <c r="M1" s="3" t="s">
        <v>820</v>
      </c>
      <c r="N1" s="3" t="s">
        <v>821</v>
      </c>
      <c r="O1" s="3" t="s">
        <v>822</v>
      </c>
    </row>
    <row r="2" spans="1:15">
      <c r="M2" s="2" t="s">
        <v>27</v>
      </c>
      <c r="N2" s="2">
        <f>INDEX('Script List'!$R$2:$R$161,MATCH(M2,'Script List'!$A$2:$A$161,0))</f>
        <v>1</v>
      </c>
      <c r="O2" s="8">
        <f>INDEX('Script List'!$X$2:$X$161,MATCH(M2,'Script List'!$A$2:$A$161,0))</f>
        <v>332.0</v>
      </c>
    </row>
    <row r="3" spans="1:15">
      <c r="A3" s="2" t="s">
        <v>823</v>
      </c>
      <c r="B3" s="2" t="s">
        <v>821</v>
      </c>
      <c r="E3" s="2" t="s">
        <v>186</v>
      </c>
      <c r="F3" s="2" t="s">
        <v>824</v>
      </c>
      <c r="G3" s="2" t="s">
        <v>14</v>
      </c>
      <c r="H3" s="2" t="s">
        <v>15</v>
      </c>
      <c r="I3" s="2" t="s">
        <v>19</v>
      </c>
      <c r="M3" s="2" t="s">
        <v>28</v>
      </c>
      <c r="N3" s="2">
        <f>INDEX('Script List'!$R$2:$R$161,MATCH(M3,'Script List'!$A$2:$A$161,0))</f>
        <v>3</v>
      </c>
      <c r="O3" s="8">
        <f>INDEX('Script List'!$X$2:$X$161,MATCH(M3,'Script List'!$A$2:$A$161,0))</f>
        <v>438.0</v>
      </c>
    </row>
    <row r="4" spans="1:15">
      <c r="A4" s="2" t="s">
        <v>234</v>
      </c>
      <c r="B4" s="2">
        <v>10</v>
      </c>
      <c r="E4" s="2" t="s">
        <v>212</v>
      </c>
      <c r="F4" s="8">
        <f>COUNTIF('Raw Data'!$E$2:$E$417,E4)</f>
        <v>120</v>
      </c>
      <c r="G4" s="8">
        <f>SUMIF('Raw Data'!$E$2:$E$417,E4,'Raw Data'!$I$2:$I$417)</f>
        <v>94096</v>
      </c>
      <c r="H4" s="8">
        <f>SUMIF('Raw Data'!$E$2:$E$417,E4,'Raw Data'!$L$2:$L$417)</f>
        <v>58096</v>
      </c>
      <c r="I4" s="8">
        <f>H4/F4</f>
        <v>484.1333333333333</v>
      </c>
      <c r="M4" s="2" t="s">
        <v>29</v>
      </c>
      <c r="N4" s="2">
        <f>INDEX('Script List'!$R$2:$R$161,MATCH(M4,'Script List'!$A$2:$A$161,0))</f>
        <v>2</v>
      </c>
      <c r="O4" s="8">
        <f>INDEX('Script List'!$X$2:$X$161,MATCH(M4,'Script List'!$A$2:$A$161,0))</f>
        <v>383.0</v>
      </c>
    </row>
    <row r="5" spans="1:15">
      <c r="A5" s="2" t="s">
        <v>257</v>
      </c>
      <c r="B5" s="2">
        <v>10</v>
      </c>
      <c r="E5" s="2" t="s">
        <v>214</v>
      </c>
      <c r="F5" s="8">
        <f>COUNTIF('Raw Data'!$E$2:$E$417,E5)</f>
        <v>216</v>
      </c>
      <c r="G5" s="8">
        <f>SUMIF('Raw Data'!$E$2:$E$417,E5,'Raw Data'!$I$2:$I$417)</f>
        <v>130464</v>
      </c>
      <c r="H5" s="8">
        <f>SUMIF('Raw Data'!$E$2:$E$417,E5,'Raw Data'!$L$2:$L$417)</f>
        <v>96216</v>
      </c>
      <c r="I5" s="8">
        <f>H5/F5</f>
        <v>445.4444444444445</v>
      </c>
      <c r="M5" s="2" t="s">
        <v>30</v>
      </c>
      <c r="N5" s="2">
        <f>INDEX('Script List'!$R$2:$R$161,MATCH(M5,'Script List'!$A$2:$A$161,0))</f>
        <v>4</v>
      </c>
      <c r="O5" s="8">
        <f>INDEX('Script List'!$X$2:$X$161,MATCH(M5,'Script List'!$A$2:$A$161,0))</f>
        <v>474.0</v>
      </c>
    </row>
    <row r="6" spans="1:15">
      <c r="A6" s="2" t="s">
        <v>280</v>
      </c>
      <c r="B6" s="2">
        <v>10</v>
      </c>
      <c r="E6" s="2" t="s">
        <v>223</v>
      </c>
      <c r="F6" s="8">
        <f>COUNTIF('Raw Data'!$E$2:$E$417,E6)</f>
        <v>24</v>
      </c>
      <c r="G6" s="8">
        <f>SUMIF('Raw Data'!$E$2:$E$417,E6,'Raw Data'!$I$2:$I$417)</f>
        <v>15696</v>
      </c>
      <c r="H6" s="8">
        <f>SUMIF('Raw Data'!$E$2:$E$417,E6,'Raw Data'!$L$2:$L$417)</f>
        <v>11568</v>
      </c>
      <c r="I6" s="8">
        <f>H6/F6</f>
        <v>482</v>
      </c>
      <c r="M6" s="2" t="s">
        <v>31</v>
      </c>
      <c r="N6" s="2">
        <f>INDEX('Script List'!$R$2:$R$161,MATCH(M6,'Script List'!$A$2:$A$161,0))</f>
        <v>2</v>
      </c>
      <c r="O6" s="8">
        <f>INDEX('Script List'!$X$2:$X$161,MATCH(M6,'Script List'!$A$2:$A$161,0))</f>
        <v>527.0</v>
      </c>
    </row>
    <row r="7" spans="1:15">
      <c r="A7" s="2" t="s">
        <v>303</v>
      </c>
      <c r="B7" s="2">
        <v>10</v>
      </c>
      <c r="E7" s="2" t="s">
        <v>218</v>
      </c>
      <c r="F7" s="8">
        <f>COUNTIF('Raw Data'!$E$2:$E$417,E7)</f>
        <v>56</v>
      </c>
      <c r="G7" s="8">
        <f>SUMIF('Raw Data'!$E$2:$E$417,E7,'Raw Data'!$I$2:$I$417)</f>
        <v>40096</v>
      </c>
      <c r="H7" s="8">
        <f>SUMIF('Raw Data'!$E$2:$E$417,E7,'Raw Data'!$L$2:$L$417)</f>
        <v>29560</v>
      </c>
      <c r="I7" s="8">
        <f>H7/F7</f>
        <v>527.8571428571429</v>
      </c>
      <c r="M7" s="2" t="s">
        <v>32</v>
      </c>
      <c r="N7" s="2">
        <f>INDEX('Script List'!$R$2:$R$161,MATCH(M7,'Script List'!$A$2:$A$161,0))</f>
        <v>4</v>
      </c>
      <c r="O7" s="8">
        <f>INDEX('Script List'!$X$2:$X$161,MATCH(M7,'Script List'!$A$2:$A$161,0))</f>
        <v>490.0</v>
      </c>
    </row>
    <row r="8" spans="1:15">
      <c r="A8" s="2" t="s">
        <v>326</v>
      </c>
      <c r="B8" s="2">
        <v>10</v>
      </c>
      <c r="E8" s="2" t="s">
        <v>825</v>
      </c>
      <c r="F8" s="8">
        <f>COUNTA('Raw Data'!$A$2:$A$417)</f>
        <v>416</v>
      </c>
      <c r="G8" s="8">
        <f>SUM('Raw Data'!$I$2:$I$417)</f>
        <v>280352</v>
      </c>
      <c r="H8" s="8">
        <f>SUM('Raw Data'!$L$2:$L$417)</f>
        <v>195440</v>
      </c>
      <c r="I8" s="8">
        <f>H8/F8</f>
        <v>469.8076923076923</v>
      </c>
      <c r="M8" s="2" t="s">
        <v>33</v>
      </c>
      <c r="N8" s="2">
        <f>INDEX('Script List'!$R$2:$R$161,MATCH(M8,'Script List'!$A$2:$A$161,0))</f>
        <v>1</v>
      </c>
      <c r="O8" s="8">
        <f>INDEX('Script List'!$X$2:$X$161,MATCH(M8,'Script List'!$A$2:$A$161,0))</f>
        <v>332.0</v>
      </c>
    </row>
    <row r="9" spans="1:15">
      <c r="A9" s="2" t="s">
        <v>349</v>
      </c>
      <c r="B9" s="2">
        <v>10</v>
      </c>
      <c r="M9" s="2" t="s">
        <v>34</v>
      </c>
      <c r="N9" s="2">
        <f>INDEX('Script List'!$R$2:$R$161,MATCH(M9,'Script List'!$A$2:$A$161,0))</f>
        <v>2</v>
      </c>
      <c r="O9" s="8">
        <f>INDEX('Script List'!$X$2:$X$161,MATCH(M9,'Script List'!$A$2:$A$161,0))</f>
        <v>528.0</v>
      </c>
    </row>
    <row r="10" spans="1:15">
      <c r="A10" s="2" t="s">
        <v>372</v>
      </c>
      <c r="B10" s="2">
        <v>10</v>
      </c>
      <c r="M10" s="2" t="s">
        <v>35</v>
      </c>
      <c r="N10" s="2">
        <f>INDEX('Script List'!$R$2:$R$161,MATCH(M10,'Script List'!$A$2:$A$161,0))</f>
        <v>5</v>
      </c>
      <c r="O10" s="8">
        <f>INDEX('Script List'!$X$2:$X$161,MATCH(M10,'Script List'!$A$2:$A$161,0))</f>
        <v>527.0</v>
      </c>
    </row>
    <row r="11" spans="1:15">
      <c r="A11" s="2" t="s">
        <v>395</v>
      </c>
      <c r="B11" s="2">
        <v>10</v>
      </c>
      <c r="M11" s="2" t="s">
        <v>36</v>
      </c>
      <c r="N11" s="2">
        <f>INDEX('Script List'!$R$2:$R$161,MATCH(M11,'Script List'!$A$2:$A$161,0))</f>
        <v>1</v>
      </c>
      <c r="O11" s="8">
        <f>INDEX('Script List'!$X$2:$X$161,MATCH(M11,'Script List'!$A$2:$A$161,0))</f>
        <v>324.0</v>
      </c>
    </row>
    <row r="12" spans="1:15">
      <c r="A12" s="2" t="s">
        <v>231</v>
      </c>
      <c r="B12" s="2">
        <v>7</v>
      </c>
      <c r="M12" s="2" t="s">
        <v>37</v>
      </c>
      <c r="N12" s="2">
        <f>INDEX('Script List'!$R$2:$R$161,MATCH(M12,'Script List'!$A$2:$A$161,0))</f>
        <v>2</v>
      </c>
      <c r="O12" s="8">
        <f>INDEX('Script List'!$X$2:$X$161,MATCH(M12,'Script List'!$A$2:$A$161,0))</f>
        <v>563.0</v>
      </c>
    </row>
    <row r="13" spans="1:15">
      <c r="A13" s="2" t="s">
        <v>254</v>
      </c>
      <c r="B13" s="2">
        <v>7</v>
      </c>
      <c r="M13" s="2" t="s">
        <v>38</v>
      </c>
      <c r="N13" s="2">
        <f>INDEX('Script List'!$R$2:$R$161,MATCH(M13,'Script List'!$A$2:$A$161,0))</f>
        <v>7</v>
      </c>
      <c r="O13" s="8">
        <f>INDEX('Script List'!$X$2:$X$161,MATCH(M13,'Script List'!$A$2:$A$161,0))</f>
        <v>560.0</v>
      </c>
    </row>
    <row r="14" spans="1:15">
      <c r="A14" s="2" t="s">
        <v>277</v>
      </c>
      <c r="B14" s="2">
        <v>7</v>
      </c>
      <c r="M14" s="2" t="s">
        <v>40</v>
      </c>
      <c r="N14" s="2">
        <f>INDEX('Script List'!$R$2:$R$161,MATCH(M14,'Script List'!$A$2:$A$161,0))</f>
        <v>1</v>
      </c>
      <c r="O14" s="8">
        <f>INDEX('Script List'!$X$2:$X$161,MATCH(M14,'Script List'!$A$2:$A$161,0))</f>
        <v>648.0</v>
      </c>
    </row>
    <row r="15" spans="1:15">
      <c r="A15" s="2" t="s">
        <v>300</v>
      </c>
      <c r="B15" s="2">
        <v>7</v>
      </c>
      <c r="M15" s="2" t="s">
        <v>42</v>
      </c>
      <c r="N15" s="2">
        <f>INDEX('Script List'!$R$2:$R$161,MATCH(M15,'Script List'!$A$2:$A$161,0))</f>
        <v>3</v>
      </c>
      <c r="O15" s="8">
        <f>INDEX('Script List'!$X$2:$X$161,MATCH(M15,'Script List'!$A$2:$A$161,0))</f>
        <v>482.0</v>
      </c>
    </row>
    <row r="16" spans="1:15">
      <c r="A16" s="2" t="s">
        <v>323</v>
      </c>
      <c r="B16" s="2">
        <v>7</v>
      </c>
      <c r="M16" s="2" t="s">
        <v>44</v>
      </c>
      <c r="N16" s="2">
        <f>INDEX('Script List'!$R$2:$R$161,MATCH(M16,'Script List'!$A$2:$A$161,0))</f>
        <v>10</v>
      </c>
      <c r="O16" s="8">
        <f>INDEX('Script List'!$X$2:$X$161,MATCH(M16,'Script List'!$A$2:$A$161,0))</f>
        <v>332.0</v>
      </c>
    </row>
    <row r="17" spans="1:15">
      <c r="A17" s="2" t="s">
        <v>346</v>
      </c>
      <c r="B17" s="2">
        <v>7</v>
      </c>
      <c r="M17" s="2" t="s">
        <v>46</v>
      </c>
      <c r="N17" s="2">
        <f>INDEX('Script List'!$R$2:$R$161,MATCH(M17,'Script List'!$A$2:$A$161,0))</f>
        <v>1</v>
      </c>
      <c r="O17" s="8">
        <f>INDEX('Script List'!$X$2:$X$161,MATCH(M17,'Script List'!$A$2:$A$161,0))</f>
        <v>609.0</v>
      </c>
    </row>
    <row r="18" spans="1:15">
      <c r="A18" s="2" t="s">
        <v>369</v>
      </c>
      <c r="B18" s="2">
        <v>7</v>
      </c>
      <c r="M18" s="2" t="s">
        <v>47</v>
      </c>
      <c r="N18" s="2">
        <f>INDEX('Script List'!$R$2:$R$161,MATCH(M18,'Script List'!$A$2:$A$161,0))</f>
        <v>3</v>
      </c>
      <c r="O18" s="8">
        <f>INDEX('Script List'!$X$2:$X$161,MATCH(M18,'Script List'!$A$2:$A$161,0))</f>
        <v>564.0</v>
      </c>
    </row>
    <row r="19" spans="1:15">
      <c r="A19" s="2" t="s">
        <v>392</v>
      </c>
      <c r="B19" s="2">
        <v>7</v>
      </c>
      <c r="M19" s="2" t="s">
        <v>49</v>
      </c>
      <c r="N19" s="2">
        <f>INDEX('Script List'!$R$2:$R$161,MATCH(M19,'Script List'!$A$2:$A$161,0))</f>
        <v>1</v>
      </c>
      <c r="O19" s="8">
        <f>INDEX('Script List'!$X$2:$X$161,MATCH(M19,'Script List'!$A$2:$A$161,0))</f>
        <v>332.0</v>
      </c>
    </row>
    <row r="20" spans="1:15">
      <c r="A20" s="2" t="s">
        <v>228</v>
      </c>
      <c r="B20" s="2">
        <v>5</v>
      </c>
      <c r="M20" s="2" t="s">
        <v>50</v>
      </c>
      <c r="N20" s="2">
        <f>INDEX('Script List'!$R$2:$R$161,MATCH(M20,'Script List'!$A$2:$A$161,0))</f>
        <v>3</v>
      </c>
      <c r="O20" s="8">
        <f>INDEX('Script List'!$X$2:$X$161,MATCH(M20,'Script List'!$A$2:$A$161,0))</f>
        <v>438.0</v>
      </c>
    </row>
    <row r="21" spans="1:15">
      <c r="A21" s="2" t="s">
        <v>251</v>
      </c>
      <c r="B21" s="2">
        <v>5</v>
      </c>
      <c r="M21" s="2" t="s">
        <v>51</v>
      </c>
      <c r="N21" s="2">
        <f>INDEX('Script List'!$R$2:$R$161,MATCH(M21,'Script List'!$A$2:$A$161,0))</f>
        <v>2</v>
      </c>
      <c r="O21" s="8">
        <f>INDEX('Script List'!$X$2:$X$161,MATCH(M21,'Script List'!$A$2:$A$161,0))</f>
        <v>383.0</v>
      </c>
    </row>
    <row r="22" spans="1:15">
      <c r="A22" s="2" t="s">
        <v>274</v>
      </c>
      <c r="B22" s="2">
        <v>5</v>
      </c>
      <c r="M22" s="2" t="s">
        <v>52</v>
      </c>
      <c r="N22" s="2">
        <f>INDEX('Script List'!$R$2:$R$161,MATCH(M22,'Script List'!$A$2:$A$161,0))</f>
        <v>4</v>
      </c>
      <c r="O22" s="8">
        <f>INDEX('Script List'!$X$2:$X$161,MATCH(M22,'Script List'!$A$2:$A$161,0))</f>
        <v>474.0</v>
      </c>
    </row>
    <row r="23" spans="1:15">
      <c r="A23" s="2" t="s">
        <v>297</v>
      </c>
      <c r="B23" s="2">
        <v>5</v>
      </c>
      <c r="M23" s="2" t="s">
        <v>53</v>
      </c>
      <c r="N23" s="2">
        <f>INDEX('Script List'!$R$2:$R$161,MATCH(M23,'Script List'!$A$2:$A$161,0))</f>
        <v>2</v>
      </c>
      <c r="O23" s="8">
        <f>INDEX('Script List'!$X$2:$X$161,MATCH(M23,'Script List'!$A$2:$A$161,0))</f>
        <v>527.0</v>
      </c>
    </row>
    <row r="24" spans="1:15">
      <c r="M24" s="2" t="s">
        <v>54</v>
      </c>
      <c r="N24" s="2">
        <f>INDEX('Script List'!$R$2:$R$161,MATCH(M24,'Script List'!$A$2:$A$161,0))</f>
        <v>4</v>
      </c>
      <c r="O24" s="8">
        <f>INDEX('Script List'!$X$2:$X$161,MATCH(M24,'Script List'!$A$2:$A$161,0))</f>
        <v>490.0</v>
      </c>
    </row>
    <row r="25" spans="1:15">
      <c r="M25" s="2" t="s">
        <v>55</v>
      </c>
      <c r="N25" s="2">
        <f>INDEX('Script List'!$R$2:$R$161,MATCH(M25,'Script List'!$A$2:$A$161,0))</f>
        <v>1</v>
      </c>
      <c r="O25" s="8">
        <f>INDEX('Script List'!$X$2:$X$161,MATCH(M25,'Script List'!$A$2:$A$161,0))</f>
        <v>332.0</v>
      </c>
    </row>
    <row r="26" spans="1:15">
      <c r="M26" s="2" t="s">
        <v>56</v>
      </c>
      <c r="N26" s="2">
        <f>INDEX('Script List'!$R$2:$R$161,MATCH(M26,'Script List'!$A$2:$A$161,0))</f>
        <v>2</v>
      </c>
      <c r="O26" s="8">
        <f>INDEX('Script List'!$X$2:$X$161,MATCH(M26,'Script List'!$A$2:$A$161,0))</f>
        <v>528.0</v>
      </c>
    </row>
    <row r="27" spans="1:15">
      <c r="M27" s="2" t="s">
        <v>57</v>
      </c>
      <c r="N27" s="2">
        <f>INDEX('Script List'!$R$2:$R$161,MATCH(M27,'Script List'!$A$2:$A$161,0))</f>
        <v>5</v>
      </c>
      <c r="O27" s="8">
        <f>INDEX('Script List'!$X$2:$X$161,MATCH(M27,'Script List'!$A$2:$A$161,0))</f>
        <v>527.0</v>
      </c>
    </row>
    <row r="28" spans="1:15">
      <c r="M28" s="2" t="s">
        <v>58</v>
      </c>
      <c r="N28" s="2">
        <f>INDEX('Script List'!$R$2:$R$161,MATCH(M28,'Script List'!$A$2:$A$161,0))</f>
        <v>1</v>
      </c>
      <c r="O28" s="8">
        <f>INDEX('Script List'!$X$2:$X$161,MATCH(M28,'Script List'!$A$2:$A$161,0))</f>
        <v>324.0</v>
      </c>
    </row>
    <row r="29" spans="1:15">
      <c r="M29" s="2" t="s">
        <v>59</v>
      </c>
      <c r="N29" s="2">
        <f>INDEX('Script List'!$R$2:$R$161,MATCH(M29,'Script List'!$A$2:$A$161,0))</f>
        <v>2</v>
      </c>
      <c r="O29" s="8">
        <f>INDEX('Script List'!$X$2:$X$161,MATCH(M29,'Script List'!$A$2:$A$161,0))</f>
        <v>563.0</v>
      </c>
    </row>
    <row r="30" spans="1:15">
      <c r="M30" s="2" t="s">
        <v>60</v>
      </c>
      <c r="N30" s="2">
        <f>INDEX('Script List'!$R$2:$R$161,MATCH(M30,'Script List'!$A$2:$A$161,0))</f>
        <v>7</v>
      </c>
      <c r="O30" s="8">
        <f>INDEX('Script List'!$X$2:$X$161,MATCH(M30,'Script List'!$A$2:$A$161,0))</f>
        <v>560.0</v>
      </c>
    </row>
    <row r="31" spans="1:15">
      <c r="M31" s="2" t="s">
        <v>61</v>
      </c>
      <c r="N31" s="2">
        <f>INDEX('Script List'!$R$2:$R$161,MATCH(M31,'Script List'!$A$2:$A$161,0))</f>
        <v>1</v>
      </c>
      <c r="O31" s="8">
        <f>INDEX('Script List'!$X$2:$X$161,MATCH(M31,'Script List'!$A$2:$A$161,0))</f>
        <v>648.0</v>
      </c>
    </row>
    <row r="32" spans="1:15">
      <c r="M32" s="2" t="s">
        <v>62</v>
      </c>
      <c r="N32" s="2">
        <f>INDEX('Script List'!$R$2:$R$161,MATCH(M32,'Script List'!$A$2:$A$161,0))</f>
        <v>3</v>
      </c>
      <c r="O32" s="8">
        <f>INDEX('Script List'!$X$2:$X$161,MATCH(M32,'Script List'!$A$2:$A$161,0))</f>
        <v>482.0</v>
      </c>
    </row>
    <row r="33" spans="1:15">
      <c r="M33" s="2" t="s">
        <v>63</v>
      </c>
      <c r="N33" s="2">
        <f>INDEX('Script List'!$R$2:$R$161,MATCH(M33,'Script List'!$A$2:$A$161,0))</f>
        <v>10</v>
      </c>
      <c r="O33" s="8">
        <f>INDEX('Script List'!$X$2:$X$161,MATCH(M33,'Script List'!$A$2:$A$161,0))</f>
        <v>332.0</v>
      </c>
    </row>
    <row r="34" spans="1:15">
      <c r="M34" s="2" t="s">
        <v>64</v>
      </c>
      <c r="N34" s="2">
        <f>INDEX('Script List'!$R$2:$R$161,MATCH(M34,'Script List'!$A$2:$A$161,0))</f>
        <v>1</v>
      </c>
      <c r="O34" s="8">
        <f>INDEX('Script List'!$X$2:$X$161,MATCH(M34,'Script List'!$A$2:$A$161,0))</f>
        <v>609.0</v>
      </c>
    </row>
    <row r="35" spans="1:15">
      <c r="A35" s="2" t="s">
        <v>402</v>
      </c>
      <c r="B35" s="2" t="s">
        <v>824</v>
      </c>
      <c r="F35" s="2" t="s">
        <v>192</v>
      </c>
      <c r="G35" s="2" t="s">
        <v>19</v>
      </c>
      <c r="H35" s="2" t="s">
        <v>824</v>
      </c>
      <c r="M35" s="2" t="s">
        <v>65</v>
      </c>
      <c r="N35" s="2">
        <f>INDEX('Script List'!$R$2:$R$161,MATCH(M35,'Script List'!$A$2:$A$161,0))</f>
        <v>3</v>
      </c>
      <c r="O35" s="8">
        <f>INDEX('Script List'!$X$2:$X$161,MATCH(M35,'Script List'!$A$2:$A$161,0))</f>
        <v>564.0</v>
      </c>
    </row>
    <row r="36" spans="1:15">
      <c r="A36" s="2" t="s">
        <v>826</v>
      </c>
      <c r="B36" s="2">
        <f>COUNTIF('Raw Data'!$O$2:$O$417,A36)</f>
        <v>31</v>
      </c>
      <c r="F36" s="2" t="s">
        <v>20</v>
      </c>
      <c r="G36" s="8">
        <f>AVERAGEIF('Raw Data'!$K$2:$K$417,F36,'Raw Data'!$L$2:$L$417)</f>
        <v>505.5</v>
      </c>
      <c r="H36" s="8">
        <f>COUNTIF('Raw Data'!$K$2:$K$417,F36)</f>
        <v>144</v>
      </c>
      <c r="M36" s="2" t="s">
        <v>66</v>
      </c>
      <c r="N36" s="2">
        <f>INDEX('Script List'!$R$2:$R$161,MATCH(M36,'Script List'!$A$2:$A$161,0))</f>
        <v>1</v>
      </c>
      <c r="O36" s="8">
        <f>INDEX('Script List'!$X$2:$X$161,MATCH(M36,'Script List'!$A$2:$A$161,0))</f>
        <v>332.0</v>
      </c>
    </row>
    <row r="37" spans="1:15">
      <c r="A37" s="2" t="s">
        <v>827</v>
      </c>
      <c r="B37" s="2">
        <f>COUNTIF('Raw Data'!$O$2:$O$417,A37)</f>
        <v>32</v>
      </c>
      <c r="F37" s="2" t="s">
        <v>21</v>
      </c>
      <c r="G37" s="8">
        <f>AVERAGEIF('Raw Data'!$K$2:$K$417,F37,'Raw Data'!$L$2:$L$417)</f>
        <v>527.8571428571429</v>
      </c>
      <c r="H37" s="8">
        <f>COUNTIF('Raw Data'!$K$2:$K$417,F37)</f>
        <v>56</v>
      </c>
      <c r="M37" s="2" t="s">
        <v>67</v>
      </c>
      <c r="N37" s="2">
        <f>INDEX('Script List'!$R$2:$R$161,MATCH(M37,'Script List'!$A$2:$A$161,0))</f>
        <v>3</v>
      </c>
      <c r="O37" s="8">
        <f>INDEX('Script List'!$X$2:$X$161,MATCH(M37,'Script List'!$A$2:$A$161,0))</f>
        <v>438.0</v>
      </c>
    </row>
    <row r="38" spans="1:15">
      <c r="A38" s="2" t="s">
        <v>828</v>
      </c>
      <c r="B38" s="2">
        <f>COUNTIF('Raw Data'!$O$2:$O$417,A38)</f>
        <v>31</v>
      </c>
      <c r="F38" s="2" t="s">
        <v>22</v>
      </c>
      <c r="G38" s="8">
        <f>AVERAGEIF('Raw Data'!$K$2:$K$417,F38,'Raw Data'!$L$2:$L$417)</f>
        <v>430.962962962963</v>
      </c>
      <c r="H38" s="8">
        <f>COUNTIF('Raw Data'!$K$2:$K$417,F38)</f>
        <v>216</v>
      </c>
      <c r="M38" s="2" t="s">
        <v>68</v>
      </c>
      <c r="N38" s="2">
        <f>INDEX('Script List'!$R$2:$R$161,MATCH(M38,'Script List'!$A$2:$A$161,0))</f>
        <v>2</v>
      </c>
      <c r="O38" s="8">
        <f>INDEX('Script List'!$X$2:$X$161,MATCH(M38,'Script List'!$A$2:$A$161,0))</f>
        <v>383.0</v>
      </c>
    </row>
    <row r="39" spans="1:15">
      <c r="A39" s="2" t="s">
        <v>829</v>
      </c>
      <c r="B39" s="2">
        <f>COUNTIF('Raw Data'!$O$2:$O$417,A39)</f>
        <v>32</v>
      </c>
      <c r="F39" s="2" t="s">
        <v>825</v>
      </c>
      <c r="G39" s="8">
        <f>AVERAGE('Raw Data'!$L$2:$L$417)</f>
        <v>469.8076923076923</v>
      </c>
      <c r="H39" s="8">
        <f>COUNTA('Raw Data'!$A$2:$A$417)</f>
        <v>416</v>
      </c>
      <c r="M39" s="2" t="s">
        <v>69</v>
      </c>
      <c r="N39" s="2">
        <f>INDEX('Script List'!$R$2:$R$161,MATCH(M39,'Script List'!$A$2:$A$161,0))</f>
        <v>4</v>
      </c>
      <c r="O39" s="8">
        <f>INDEX('Script List'!$X$2:$X$161,MATCH(M39,'Script List'!$A$2:$A$161,0))</f>
        <v>474.0</v>
      </c>
    </row>
    <row r="40" spans="1:15">
      <c r="A40" s="2" t="s">
        <v>830</v>
      </c>
      <c r="B40" s="2">
        <f>COUNTIF('Raw Data'!$O$2:$O$417,A40)</f>
        <v>32</v>
      </c>
      <c r="M40" s="2" t="s">
        <v>70</v>
      </c>
      <c r="N40" s="2">
        <f>INDEX('Script List'!$R$2:$R$161,MATCH(M40,'Script List'!$A$2:$A$161,0))</f>
        <v>2</v>
      </c>
      <c r="O40" s="8">
        <f>INDEX('Script List'!$X$2:$X$161,MATCH(M40,'Script List'!$A$2:$A$161,0))</f>
        <v>527.0</v>
      </c>
    </row>
    <row r="41" spans="1:15">
      <c r="A41" s="2" t="s">
        <v>831</v>
      </c>
      <c r="B41" s="2">
        <f>COUNTIF('Raw Data'!$O$2:$O$417,A41)</f>
        <v>29</v>
      </c>
      <c r="M41" s="2" t="s">
        <v>71</v>
      </c>
      <c r="N41" s="2">
        <f>INDEX('Script List'!$R$2:$R$161,MATCH(M41,'Script List'!$A$2:$A$161,0))</f>
        <v>4</v>
      </c>
      <c r="O41" s="8">
        <f>INDEX('Script List'!$X$2:$X$161,MATCH(M41,'Script List'!$A$2:$A$161,0))</f>
        <v>490.0</v>
      </c>
    </row>
    <row r="42" spans="1:15">
      <c r="A42" s="2" t="s">
        <v>832</v>
      </c>
      <c r="B42" s="2">
        <f>COUNTIF('Raw Data'!$O$2:$O$417,A42)</f>
        <v>32</v>
      </c>
      <c r="M42" s="2" t="s">
        <v>72</v>
      </c>
      <c r="N42" s="2">
        <f>INDEX('Script List'!$R$2:$R$161,MATCH(M42,'Script List'!$A$2:$A$161,0))</f>
        <v>1</v>
      </c>
      <c r="O42" s="8">
        <f>INDEX('Script List'!$X$2:$X$161,MATCH(M42,'Script List'!$A$2:$A$161,0))</f>
        <v>332.0</v>
      </c>
    </row>
    <row r="43" spans="1:15">
      <c r="A43" s="2" t="s">
        <v>833</v>
      </c>
      <c r="B43" s="2">
        <f>COUNTIF('Raw Data'!$O$2:$O$417,A43)</f>
        <v>31</v>
      </c>
      <c r="M43" s="2" t="s">
        <v>73</v>
      </c>
      <c r="N43" s="2">
        <f>INDEX('Script List'!$R$2:$R$161,MATCH(M43,'Script List'!$A$2:$A$161,0))</f>
        <v>2</v>
      </c>
      <c r="O43" s="8">
        <f>INDEX('Script List'!$X$2:$X$161,MATCH(M43,'Script List'!$A$2:$A$161,0))</f>
        <v>528.0</v>
      </c>
    </row>
    <row r="44" spans="1:15">
      <c r="A44" s="2" t="s">
        <v>834</v>
      </c>
      <c r="B44" s="2">
        <f>COUNTIF('Raw Data'!$O$2:$O$417,A44)</f>
        <v>32</v>
      </c>
      <c r="M44" s="2" t="s">
        <v>74</v>
      </c>
      <c r="N44" s="2">
        <f>INDEX('Script List'!$R$2:$R$161,MATCH(M44,'Script List'!$A$2:$A$161,0))</f>
        <v>5</v>
      </c>
      <c r="O44" s="8">
        <f>INDEX('Script List'!$X$2:$X$161,MATCH(M44,'Script List'!$A$2:$A$161,0))</f>
        <v>527.0</v>
      </c>
    </row>
    <row r="45" spans="1:15">
      <c r="A45" s="2" t="s">
        <v>835</v>
      </c>
      <c r="B45" s="2">
        <f>COUNTIF('Raw Data'!$O$2:$O$417,A45)</f>
        <v>31</v>
      </c>
      <c r="F45" s="2" t="s">
        <v>205</v>
      </c>
      <c r="G45" s="2" t="s">
        <v>836</v>
      </c>
      <c r="H45" s="2" t="s">
        <v>13</v>
      </c>
      <c r="I45" s="2" t="s">
        <v>837</v>
      </c>
      <c r="J45" s="2" t="s">
        <v>838</v>
      </c>
      <c r="M45" s="2" t="s">
        <v>75</v>
      </c>
      <c r="N45" s="2">
        <f>INDEX('Script List'!$R$2:$R$161,MATCH(M45,'Script List'!$A$2:$A$161,0))</f>
        <v>1</v>
      </c>
      <c r="O45" s="8">
        <f>INDEX('Script List'!$X$2:$X$161,MATCH(M45,'Script List'!$A$2:$A$161,0))</f>
        <v>324.0</v>
      </c>
    </row>
    <row r="46" spans="1:15">
      <c r="A46" s="2" t="s">
        <v>839</v>
      </c>
      <c r="B46" s="2">
        <f>COUNTIF('Raw Data'!$O$2:$O$417,A46)</f>
        <v>32</v>
      </c>
      <c r="F46" s="2" t="s">
        <v>840</v>
      </c>
      <c r="G46" s="8">
        <f>COUNTIF('Script List'!$W$2:$W$161,F46)</f>
        <v>24</v>
      </c>
      <c r="H46" s="8">
        <f>SUMIF('Script List'!$W$2:$W$161,F46,'Script List'!$R$2:$R$161)</f>
        <v>0</v>
      </c>
      <c r="I46" s="8">
        <f>SUMIF('Script List'!$W$2:$W$161,F46,'Script List'!$P$2:$P$161)</f>
        <v>6392</v>
      </c>
      <c r="J46" s="8">
        <f>SUMIF('Script List'!$W$2:$W$161,F46,'Script List'!$S$2:$S$161)</f>
        <v>0</v>
      </c>
      <c r="M46" s="2" t="s">
        <v>76</v>
      </c>
      <c r="N46" s="2">
        <f>INDEX('Script List'!$R$2:$R$161,MATCH(M46,'Script List'!$A$2:$A$161,0))</f>
        <v>2</v>
      </c>
      <c r="O46" s="8">
        <f>INDEX('Script List'!$X$2:$X$161,MATCH(M46,'Script List'!$A$2:$A$161,0))</f>
        <v>563.0</v>
      </c>
    </row>
    <row r="47" spans="1:15">
      <c r="A47" s="2" t="s">
        <v>841</v>
      </c>
      <c r="B47" s="2">
        <f>COUNTIF('Raw Data'!$O$2:$O$417,A47)</f>
        <v>32</v>
      </c>
      <c r="F47" s="2" t="s">
        <v>842</v>
      </c>
      <c r="G47" s="8">
        <f>COUNTIF('Script List'!$W$2:$W$161,F47)</f>
        <v>128</v>
      </c>
      <c r="H47" s="8">
        <f>SUMIF('Script List'!$W$2:$W$161,F47,'Script List'!$R$2:$R$161)</f>
        <v>408</v>
      </c>
      <c r="I47" s="8">
        <f>SUMIF('Script List'!$W$2:$W$161,F47,'Script List'!$P$2:$P$161)</f>
        <v>26392</v>
      </c>
      <c r="J47" s="8">
        <f>SUMIF('Script List'!$W$2:$W$161,F47,'Script List'!$S$2:$S$161)</f>
        <v>192784</v>
      </c>
      <c r="M47" s="2" t="s">
        <v>77</v>
      </c>
      <c r="N47" s="2">
        <f>INDEX('Script List'!$R$2:$R$161,MATCH(M47,'Script List'!$A$2:$A$161,0))</f>
        <v>7</v>
      </c>
      <c r="O47" s="8">
        <f>INDEX('Script List'!$X$2:$X$161,MATCH(M47,'Script List'!$A$2:$A$161,0))</f>
        <v>560.0</v>
      </c>
    </row>
    <row r="48" spans="1:15">
      <c r="A48" s="2" t="s">
        <v>843</v>
      </c>
      <c r="B48" s="2">
        <f>COUNTIF('Raw Data'!$O$2:$O$417,A48)</f>
        <v>31</v>
      </c>
      <c r="F48" s="2" t="s">
        <v>844</v>
      </c>
      <c r="G48" s="8">
        <f>COUNTIF('Script List'!$W$2:$W$161,F48)</f>
        <v>8</v>
      </c>
      <c r="H48" s="8">
        <f>SUMIF('Script List'!$W$2:$W$161,F48,'Script List'!$R$2:$R$161)</f>
        <v>8</v>
      </c>
      <c r="I48" s="8">
        <f>SUMIF('Script List'!$W$2:$W$161,F48,'Script List'!$P$2:$P$161)</f>
        <v>2224</v>
      </c>
      <c r="J48" s="8">
        <f>SUMIF('Script List'!$W$2:$W$161,F48,'Script List'!$S$2:$S$161)</f>
        <v>2656</v>
      </c>
      <c r="M48" s="2" t="s">
        <v>78</v>
      </c>
      <c r="N48" s="2">
        <f>INDEX('Script List'!$R$2:$R$161,MATCH(M48,'Script List'!$A$2:$A$161,0))</f>
        <v>1</v>
      </c>
      <c r="O48" s="8">
        <f>INDEX('Script List'!$X$2:$X$161,MATCH(M48,'Script List'!$A$2:$A$161,0))</f>
        <v>648.0</v>
      </c>
    </row>
    <row r="49" spans="1:15">
      <c r="A49" s="2" t="s">
        <v>845</v>
      </c>
      <c r="B49" s="2">
        <f>COUNTIF('Raw Data'!$O$2:$O$417,A49)</f>
        <v>8</v>
      </c>
      <c r="F49" s="2" t="s">
        <v>825</v>
      </c>
      <c r="G49" s="8">
        <f>COUNTA('Script List'!$A$2:$A$161)</f>
        <v>160</v>
      </c>
      <c r="H49" s="8">
        <f>SUM('Script List'!$R$2:$R$161)</f>
        <v>416</v>
      </c>
      <c r="I49" s="8">
        <f>SUM('Script List'!$P$2:$P$161)</f>
        <v>35008</v>
      </c>
      <c r="J49" s="8">
        <f>SUM('Script List'!$S$2:$S$161)</f>
        <v>195440</v>
      </c>
      <c r="M49" s="2" t="s">
        <v>79</v>
      </c>
      <c r="N49" s="2">
        <f>INDEX('Script List'!$R$2:$R$161,MATCH(M49,'Script List'!$A$2:$A$161,0))</f>
        <v>3</v>
      </c>
      <c r="O49" s="8">
        <f>INDEX('Script List'!$X$2:$X$161,MATCH(M49,'Script List'!$A$2:$A$161,0))</f>
        <v>482.0</v>
      </c>
    </row>
    <row r="50" spans="1:15">
      <c r="A50" s="2" t="s">
        <v>825</v>
      </c>
      <c r="B50" s="8">
        <f>SUM(B36:B49)</f>
        <v>416</v>
      </c>
      <c r="M50" s="2" t="s">
        <v>80</v>
      </c>
      <c r="N50" s="2">
        <f>INDEX('Script List'!$R$2:$R$161,MATCH(M50,'Script List'!$A$2:$A$161,0))</f>
        <v>10</v>
      </c>
      <c r="O50" s="8">
        <f>INDEX('Script List'!$X$2:$X$161,MATCH(M50,'Script List'!$A$2:$A$161,0))</f>
        <v>332.0</v>
      </c>
    </row>
    <row r="51" spans="1:15">
      <c r="M51" s="2" t="s">
        <v>81</v>
      </c>
      <c r="N51" s="2">
        <f>INDEX('Script List'!$R$2:$R$161,MATCH(M51,'Script List'!$A$2:$A$161,0))</f>
        <v>1</v>
      </c>
      <c r="O51" s="8">
        <f>INDEX('Script List'!$X$2:$X$161,MATCH(M51,'Script List'!$A$2:$A$161,0))</f>
        <v>609.0</v>
      </c>
    </row>
    <row r="52" spans="1:15">
      <c r="M52" s="2" t="s">
        <v>82</v>
      </c>
      <c r="N52" s="2">
        <f>INDEX('Script List'!$R$2:$R$161,MATCH(M52,'Script List'!$A$2:$A$161,0))</f>
        <v>3</v>
      </c>
      <c r="O52" s="8">
        <f>INDEX('Script List'!$X$2:$X$161,MATCH(M52,'Script List'!$A$2:$A$161,0))</f>
        <v>564.0</v>
      </c>
    </row>
    <row r="53" spans="1:15">
      <c r="M53" s="2" t="s">
        <v>83</v>
      </c>
      <c r="N53" s="2">
        <f>INDEX('Script List'!$R$2:$R$161,MATCH(M53,'Script List'!$A$2:$A$161,0))</f>
        <v>1</v>
      </c>
      <c r="O53" s="8">
        <f>INDEX('Script List'!$X$2:$X$161,MATCH(M53,'Script List'!$A$2:$A$161,0))</f>
        <v>332.0</v>
      </c>
    </row>
    <row r="54" spans="1:15">
      <c r="M54" s="2" t="s">
        <v>84</v>
      </c>
      <c r="N54" s="2">
        <f>INDEX('Script List'!$R$2:$R$161,MATCH(M54,'Script List'!$A$2:$A$161,0))</f>
        <v>3</v>
      </c>
      <c r="O54" s="8">
        <f>INDEX('Script List'!$X$2:$X$161,MATCH(M54,'Script List'!$A$2:$A$161,0))</f>
        <v>438.0</v>
      </c>
    </row>
    <row r="55" spans="1:15">
      <c r="M55" s="2" t="s">
        <v>85</v>
      </c>
      <c r="N55" s="2">
        <f>INDEX('Script List'!$R$2:$R$161,MATCH(M55,'Script List'!$A$2:$A$161,0))</f>
        <v>2</v>
      </c>
      <c r="O55" s="8">
        <f>INDEX('Script List'!$X$2:$X$161,MATCH(M55,'Script List'!$A$2:$A$161,0))</f>
        <v>383.0</v>
      </c>
    </row>
    <row r="56" spans="1:15">
      <c r="M56" s="2" t="s">
        <v>86</v>
      </c>
      <c r="N56" s="2">
        <f>INDEX('Script List'!$R$2:$R$161,MATCH(M56,'Script List'!$A$2:$A$161,0))</f>
        <v>4</v>
      </c>
      <c r="O56" s="8">
        <f>INDEX('Script List'!$X$2:$X$161,MATCH(M56,'Script List'!$A$2:$A$161,0))</f>
        <v>474.0</v>
      </c>
    </row>
    <row r="57" spans="1:15">
      <c r="M57" s="2" t="s">
        <v>87</v>
      </c>
      <c r="N57" s="2">
        <f>INDEX('Script List'!$R$2:$R$161,MATCH(M57,'Script List'!$A$2:$A$161,0))</f>
        <v>2</v>
      </c>
      <c r="O57" s="8">
        <f>INDEX('Script List'!$X$2:$X$161,MATCH(M57,'Script List'!$A$2:$A$161,0))</f>
        <v>527.0</v>
      </c>
    </row>
    <row r="58" spans="1:15">
      <c r="A58" s="2" t="s">
        <v>209</v>
      </c>
      <c r="B58" s="2" t="s">
        <v>838</v>
      </c>
      <c r="C58" s="2" t="s">
        <v>13</v>
      </c>
      <c r="D58" s="2" t="s">
        <v>836</v>
      </c>
      <c r="M58" s="2" t="s">
        <v>88</v>
      </c>
      <c r="N58" s="2">
        <f>INDEX('Script List'!$R$2:$R$161,MATCH(M58,'Script List'!$A$2:$A$161,0))</f>
        <v>4</v>
      </c>
      <c r="O58" s="8">
        <f>INDEX('Script List'!$X$2:$X$161,MATCH(M58,'Script List'!$A$2:$A$161,0))</f>
        <v>490.0</v>
      </c>
    </row>
    <row r="59" spans="1:15">
      <c r="A59" s="2" t="s">
        <v>846</v>
      </c>
      <c r="B59" s="8">
        <f>SUMIF('Script List'!$AA$2:$AA$161,A59,'Script List'!$S$2:$S$161)</f>
        <v>107544</v>
      </c>
      <c r="C59" s="8">
        <f>SUMIF('Script List'!$AA$2:$AA$161,A59,'Script List'!$R$2:$R$161)</f>
        <v>200</v>
      </c>
      <c r="D59" s="8">
        <f>COUNTIF('Script List'!$AA$2:$AA$161,A59)</f>
        <v>56</v>
      </c>
      <c r="M59" s="2" t="s">
        <v>89</v>
      </c>
      <c r="N59" s="2">
        <f>INDEX('Script List'!$R$2:$R$161,MATCH(M59,'Script List'!$A$2:$A$161,0))</f>
        <v>1</v>
      </c>
      <c r="O59" s="8">
        <f>INDEX('Script List'!$X$2:$X$161,MATCH(M59,'Script List'!$A$2:$A$161,0))</f>
        <v>332.0</v>
      </c>
    </row>
    <row r="60" spans="1:15">
      <c r="A60" s="2" t="s">
        <v>847</v>
      </c>
      <c r="B60" s="8">
        <f>SUMIF('Script List'!$AA$2:$AA$161,A60,'Script List'!$S$2:$S$161)</f>
        <v>69936</v>
      </c>
      <c r="C60" s="8">
        <f>SUMIF('Script List'!$AA$2:$AA$161,A60,'Script List'!$R$2:$R$161)</f>
        <v>176</v>
      </c>
      <c r="D60" s="8">
        <f>COUNTIF('Script List'!$AA$2:$AA$161,A60)</f>
        <v>40</v>
      </c>
      <c r="M60" s="2" t="s">
        <v>90</v>
      </c>
      <c r="N60" s="2">
        <f>INDEX('Script List'!$R$2:$R$161,MATCH(M60,'Script List'!$A$2:$A$161,0))</f>
        <v>2</v>
      </c>
      <c r="O60" s="8">
        <f>INDEX('Script List'!$X$2:$X$161,MATCH(M60,'Script List'!$A$2:$A$161,0))</f>
        <v>528.0</v>
      </c>
    </row>
    <row r="61" spans="1:15">
      <c r="A61" s="2" t="s">
        <v>848</v>
      </c>
      <c r="B61" s="8">
        <f>SUMIF('Script List'!$AA$2:$AA$161,A61,'Script List'!$S$2:$S$161)</f>
        <v>10056</v>
      </c>
      <c r="C61" s="8">
        <f>SUMIF('Script List'!$AA$2:$AA$161,A61,'Script List'!$R$2:$R$161)</f>
        <v>16</v>
      </c>
      <c r="D61" s="8">
        <f>COUNTIF('Script List'!$AA$2:$AA$161,A61)</f>
        <v>16</v>
      </c>
      <c r="M61" s="2" t="s">
        <v>91</v>
      </c>
      <c r="N61" s="2">
        <f>INDEX('Script List'!$R$2:$R$161,MATCH(M61,'Script List'!$A$2:$A$161,0))</f>
        <v>5</v>
      </c>
      <c r="O61" s="8">
        <f>INDEX('Script List'!$X$2:$X$161,MATCH(M61,'Script List'!$A$2:$A$161,0))</f>
        <v>527.0</v>
      </c>
    </row>
    <row r="62" spans="1:15">
      <c r="A62" s="2" t="s">
        <v>849</v>
      </c>
      <c r="B62" s="8">
        <f>SUMIF('Script List'!$AA$2:$AA$161,A62,'Script List'!$S$2:$S$161)</f>
        <v>7904</v>
      </c>
      <c r="C62" s="8">
        <f>SUMIF('Script List'!$AA$2:$AA$161,A62,'Script List'!$R$2:$R$161)</f>
        <v>24</v>
      </c>
      <c r="D62" s="8">
        <f>COUNTIF('Script List'!$AA$2:$AA$161,A62)</f>
        <v>24</v>
      </c>
      <c r="M62" s="2" t="s">
        <v>92</v>
      </c>
      <c r="N62" s="2">
        <f>INDEX('Script List'!$R$2:$R$161,MATCH(M62,'Script List'!$A$2:$A$161,0))</f>
        <v>1</v>
      </c>
      <c r="O62" s="8">
        <f>INDEX('Script List'!$X$2:$X$161,MATCH(M62,'Script List'!$A$2:$A$161,0))</f>
        <v>324.0</v>
      </c>
    </row>
    <row r="63" spans="1:15">
      <c r="A63" s="2" t="s">
        <v>840</v>
      </c>
      <c r="B63" s="8">
        <f>SUMIF('Script List'!$AA$2:$AA$161,A63,'Script List'!$S$2:$S$161)</f>
        <v>0</v>
      </c>
      <c r="C63" s="8">
        <f>SUMIF('Script List'!$AA$2:$AA$161,A63,'Script List'!$R$2:$R$161)</f>
        <v>0</v>
      </c>
      <c r="D63" s="8">
        <f>COUNTIF('Script List'!$AA$2:$AA$161,A63)</f>
        <v>24</v>
      </c>
      <c r="M63" s="2" t="s">
        <v>93</v>
      </c>
      <c r="N63" s="2">
        <f>INDEX('Script List'!$R$2:$R$161,MATCH(M63,'Script List'!$A$2:$A$161,0))</f>
        <v>2</v>
      </c>
      <c r="O63" s="8">
        <f>INDEX('Script List'!$X$2:$X$161,MATCH(M63,'Script List'!$A$2:$A$161,0))</f>
        <v>563.0</v>
      </c>
    </row>
    <row r="64" spans="1:15">
      <c r="A64" s="2" t="s">
        <v>825</v>
      </c>
      <c r="B64" s="8">
        <f>SUM('Script List'!$S$2:$S$161)</f>
        <v>195440</v>
      </c>
      <c r="C64" s="8">
        <f>SUM('Script List'!$R$2:$R$161)</f>
        <v>416</v>
      </c>
      <c r="D64" s="8">
        <f>COUNTA('Script List'!$A$2:$A$161)</f>
        <v>160</v>
      </c>
      <c r="M64" s="2" t="s">
        <v>94</v>
      </c>
      <c r="N64" s="2">
        <f>INDEX('Script List'!$R$2:$R$161,MATCH(M64,'Script List'!$A$2:$A$161,0))</f>
        <v>7</v>
      </c>
      <c r="O64" s="8">
        <f>INDEX('Script List'!$X$2:$X$161,MATCH(M64,'Script List'!$A$2:$A$161,0))</f>
        <v>560.0</v>
      </c>
    </row>
    <row r="65" spans="13:15">
      <c r="M65" s="2" t="s">
        <v>95</v>
      </c>
      <c r="N65" s="2">
        <f>INDEX('Script List'!$R$2:$R$161,MATCH(M65,'Script List'!$A$2:$A$161,0))</f>
        <v>1</v>
      </c>
      <c r="O65" s="8">
        <f>INDEX('Script List'!$X$2:$X$161,MATCH(M65,'Script List'!$A$2:$A$161,0))</f>
        <v>648.0</v>
      </c>
    </row>
    <row r="66" spans="13:15">
      <c r="M66" s="2" t="s">
        <v>96</v>
      </c>
      <c r="N66" s="2">
        <f>INDEX('Script List'!$R$2:$R$161,MATCH(M66,'Script List'!$A$2:$A$161,0))</f>
        <v>3</v>
      </c>
      <c r="O66" s="8">
        <f>INDEX('Script List'!$X$2:$X$161,MATCH(M66,'Script List'!$A$2:$A$161,0))</f>
        <v>482.0</v>
      </c>
    </row>
    <row r="67" spans="13:15">
      <c r="M67" s="2" t="s">
        <v>97</v>
      </c>
      <c r="N67" s="2">
        <f>INDEX('Script List'!$R$2:$R$161,MATCH(M67,'Script List'!$A$2:$A$161,0))</f>
        <v>10</v>
      </c>
      <c r="O67" s="8">
        <f>INDEX('Script List'!$X$2:$X$161,MATCH(M67,'Script List'!$A$2:$A$161,0))</f>
        <v>332.0</v>
      </c>
    </row>
    <row r="68" spans="13:15">
      <c r="M68" s="2" t="s">
        <v>98</v>
      </c>
      <c r="N68" s="2">
        <f>INDEX('Script List'!$R$2:$R$161,MATCH(M68,'Script List'!$A$2:$A$161,0))</f>
        <v>1</v>
      </c>
      <c r="O68" s="8">
        <f>INDEX('Script List'!$X$2:$X$161,MATCH(M68,'Script List'!$A$2:$A$161,0))</f>
        <v>609.0</v>
      </c>
    </row>
    <row r="69" spans="13:15">
      <c r="M69" s="2" t="s">
        <v>99</v>
      </c>
      <c r="N69" s="2">
        <f>INDEX('Script List'!$R$2:$R$161,MATCH(M69,'Script List'!$A$2:$A$161,0))</f>
        <v>3</v>
      </c>
      <c r="O69" s="8">
        <f>INDEX('Script List'!$X$2:$X$161,MATCH(M69,'Script List'!$A$2:$A$161,0))</f>
        <v>564.0</v>
      </c>
    </row>
    <row r="70" spans="13:15">
      <c r="M70" s="2" t="s">
        <v>100</v>
      </c>
      <c r="N70" s="2">
        <f>INDEX('Script List'!$R$2:$R$161,MATCH(M70,'Script List'!$A$2:$A$161,0))</f>
        <v>1</v>
      </c>
      <c r="O70" s="8">
        <f>INDEX('Script List'!$X$2:$X$161,MATCH(M70,'Script List'!$A$2:$A$161,0))</f>
        <v>332.0</v>
      </c>
    </row>
    <row r="71" spans="13:15">
      <c r="M71" s="2" t="s">
        <v>101</v>
      </c>
      <c r="N71" s="2">
        <f>INDEX('Script List'!$R$2:$R$161,MATCH(M71,'Script List'!$A$2:$A$161,0))</f>
        <v>3</v>
      </c>
      <c r="O71" s="8">
        <f>INDEX('Script List'!$X$2:$X$161,MATCH(M71,'Script List'!$A$2:$A$161,0))</f>
        <v>438.0</v>
      </c>
    </row>
    <row r="72" spans="13:15">
      <c r="M72" s="2" t="s">
        <v>102</v>
      </c>
      <c r="N72" s="2">
        <f>INDEX('Script List'!$R$2:$R$161,MATCH(M72,'Script List'!$A$2:$A$161,0))</f>
        <v>2</v>
      </c>
      <c r="O72" s="8">
        <f>INDEX('Script List'!$X$2:$X$161,MATCH(M72,'Script List'!$A$2:$A$161,0))</f>
        <v>383.0</v>
      </c>
    </row>
    <row r="73" spans="13:15">
      <c r="M73" s="2" t="s">
        <v>103</v>
      </c>
      <c r="N73" s="2">
        <f>INDEX('Script List'!$R$2:$R$161,MATCH(M73,'Script List'!$A$2:$A$161,0))</f>
        <v>4</v>
      </c>
      <c r="O73" s="8">
        <f>INDEX('Script List'!$X$2:$X$161,MATCH(M73,'Script List'!$A$2:$A$161,0))</f>
        <v>474.0</v>
      </c>
    </row>
    <row r="74" spans="13:15">
      <c r="M74" s="2" t="s">
        <v>104</v>
      </c>
      <c r="N74" s="2">
        <f>INDEX('Script List'!$R$2:$R$161,MATCH(M74,'Script List'!$A$2:$A$161,0))</f>
        <v>2</v>
      </c>
      <c r="O74" s="8">
        <f>INDEX('Script List'!$X$2:$X$161,MATCH(M74,'Script List'!$A$2:$A$161,0))</f>
        <v>527.0</v>
      </c>
    </row>
    <row r="75" spans="13:15">
      <c r="M75" s="2" t="s">
        <v>105</v>
      </c>
      <c r="N75" s="2">
        <f>INDEX('Script List'!$R$2:$R$161,MATCH(M75,'Script List'!$A$2:$A$161,0))</f>
        <v>4</v>
      </c>
      <c r="O75" s="8">
        <f>INDEX('Script List'!$X$2:$X$161,MATCH(M75,'Script List'!$A$2:$A$161,0))</f>
        <v>490.0</v>
      </c>
    </row>
    <row r="76" spans="13:15">
      <c r="M76" s="2" t="s">
        <v>106</v>
      </c>
      <c r="N76" s="2">
        <f>INDEX('Script List'!$R$2:$R$161,MATCH(M76,'Script List'!$A$2:$A$161,0))</f>
        <v>1</v>
      </c>
      <c r="O76" s="8">
        <f>INDEX('Script List'!$X$2:$X$161,MATCH(M76,'Script List'!$A$2:$A$161,0))</f>
        <v>332.0</v>
      </c>
    </row>
    <row r="77" spans="13:15">
      <c r="M77" s="2" t="s">
        <v>107</v>
      </c>
      <c r="N77" s="2">
        <f>INDEX('Script List'!$R$2:$R$161,MATCH(M77,'Script List'!$A$2:$A$161,0))</f>
        <v>2</v>
      </c>
      <c r="O77" s="8">
        <f>INDEX('Script List'!$X$2:$X$161,MATCH(M77,'Script List'!$A$2:$A$161,0))</f>
        <v>528.0</v>
      </c>
    </row>
    <row r="78" spans="13:15">
      <c r="M78" s="2" t="s">
        <v>108</v>
      </c>
      <c r="N78" s="2">
        <f>INDEX('Script List'!$R$2:$R$161,MATCH(M78,'Script List'!$A$2:$A$161,0))</f>
        <v>5</v>
      </c>
      <c r="O78" s="8">
        <f>INDEX('Script List'!$X$2:$X$161,MATCH(M78,'Script List'!$A$2:$A$161,0))</f>
        <v>527.0</v>
      </c>
    </row>
    <row r="79" spans="13:15">
      <c r="M79" s="2" t="s">
        <v>109</v>
      </c>
      <c r="N79" s="2">
        <f>INDEX('Script List'!$R$2:$R$161,MATCH(M79,'Script List'!$A$2:$A$161,0))</f>
        <v>1</v>
      </c>
      <c r="O79" s="8">
        <f>INDEX('Script List'!$X$2:$X$161,MATCH(M79,'Script List'!$A$2:$A$161,0))</f>
        <v>324.0</v>
      </c>
    </row>
    <row r="80" spans="13:15">
      <c r="M80" s="2" t="s">
        <v>110</v>
      </c>
      <c r="N80" s="2">
        <f>INDEX('Script List'!$R$2:$R$161,MATCH(M80,'Script List'!$A$2:$A$161,0))</f>
        <v>2</v>
      </c>
      <c r="O80" s="8">
        <f>INDEX('Script List'!$X$2:$X$161,MATCH(M80,'Script List'!$A$2:$A$161,0))</f>
        <v>563.0</v>
      </c>
    </row>
    <row r="81" spans="13:15">
      <c r="M81" s="2" t="s">
        <v>111</v>
      </c>
      <c r="N81" s="2">
        <f>INDEX('Script List'!$R$2:$R$161,MATCH(M81,'Script List'!$A$2:$A$161,0))</f>
        <v>7</v>
      </c>
      <c r="O81" s="8">
        <f>INDEX('Script List'!$X$2:$X$161,MATCH(M81,'Script List'!$A$2:$A$161,0))</f>
        <v>560.0</v>
      </c>
    </row>
    <row r="82" spans="13:15">
      <c r="M82" s="2" t="s">
        <v>112</v>
      </c>
      <c r="N82" s="2">
        <f>INDEX('Script List'!$R$2:$R$161,MATCH(M82,'Script List'!$A$2:$A$161,0))</f>
        <v>1</v>
      </c>
      <c r="O82" s="8">
        <f>INDEX('Script List'!$X$2:$X$161,MATCH(M82,'Script List'!$A$2:$A$161,0))</f>
        <v>648.0</v>
      </c>
    </row>
    <row r="83" spans="13:15">
      <c r="M83" s="2" t="s">
        <v>113</v>
      </c>
      <c r="N83" s="2">
        <f>INDEX('Script List'!$R$2:$R$161,MATCH(M83,'Script List'!$A$2:$A$161,0))</f>
        <v>3</v>
      </c>
      <c r="O83" s="8">
        <f>INDEX('Script List'!$X$2:$X$161,MATCH(M83,'Script List'!$A$2:$A$161,0))</f>
        <v>482.0</v>
      </c>
    </row>
    <row r="84" spans="13:15">
      <c r="M84" s="2" t="s">
        <v>114</v>
      </c>
      <c r="N84" s="2">
        <f>INDEX('Script List'!$R$2:$R$161,MATCH(M84,'Script List'!$A$2:$A$161,0))</f>
        <v>10</v>
      </c>
      <c r="O84" s="8">
        <f>INDEX('Script List'!$X$2:$X$161,MATCH(M84,'Script List'!$A$2:$A$161,0))</f>
        <v>332.0</v>
      </c>
    </row>
    <row r="85" spans="13:15">
      <c r="M85" s="2" t="s">
        <v>115</v>
      </c>
      <c r="N85" s="2">
        <f>INDEX('Script List'!$R$2:$R$161,MATCH(M85,'Script List'!$A$2:$A$161,0))</f>
        <v>1</v>
      </c>
      <c r="O85" s="8">
        <f>INDEX('Script List'!$X$2:$X$161,MATCH(M85,'Script List'!$A$2:$A$161,0))</f>
        <v>609.0</v>
      </c>
    </row>
    <row r="86" spans="13:15">
      <c r="M86" s="2" t="s">
        <v>116</v>
      </c>
      <c r="N86" s="2">
        <f>INDEX('Script List'!$R$2:$R$161,MATCH(M86,'Script List'!$A$2:$A$161,0))</f>
        <v>3</v>
      </c>
      <c r="O86" s="8">
        <f>INDEX('Script List'!$X$2:$X$161,MATCH(M86,'Script List'!$A$2:$A$161,0))</f>
        <v>564.0</v>
      </c>
    </row>
    <row r="87" spans="13:15">
      <c r="M87" s="2" t="s">
        <v>117</v>
      </c>
      <c r="N87" s="2">
        <f>INDEX('Script List'!$R$2:$R$161,MATCH(M87,'Script List'!$A$2:$A$161,0))</f>
        <v>1</v>
      </c>
      <c r="O87" s="8">
        <f>INDEX('Script List'!$X$2:$X$161,MATCH(M87,'Script List'!$A$2:$A$161,0))</f>
        <v>332.0</v>
      </c>
    </row>
    <row r="88" spans="13:15">
      <c r="M88" s="2" t="s">
        <v>118</v>
      </c>
      <c r="N88" s="2">
        <f>INDEX('Script List'!$R$2:$R$161,MATCH(M88,'Script List'!$A$2:$A$161,0))</f>
        <v>3</v>
      </c>
      <c r="O88" s="8">
        <f>INDEX('Script List'!$X$2:$X$161,MATCH(M88,'Script List'!$A$2:$A$161,0))</f>
        <v>438.0</v>
      </c>
    </row>
    <row r="89" spans="13:15">
      <c r="M89" s="2" t="s">
        <v>119</v>
      </c>
      <c r="N89" s="2">
        <f>INDEX('Script List'!$R$2:$R$161,MATCH(M89,'Script List'!$A$2:$A$161,0))</f>
        <v>2</v>
      </c>
      <c r="O89" s="8">
        <f>INDEX('Script List'!$X$2:$X$161,MATCH(M89,'Script List'!$A$2:$A$161,0))</f>
        <v>383.0</v>
      </c>
    </row>
    <row r="90" spans="13:15">
      <c r="M90" s="2" t="s">
        <v>120</v>
      </c>
      <c r="N90" s="2">
        <f>INDEX('Script List'!$R$2:$R$161,MATCH(M90,'Script List'!$A$2:$A$161,0))</f>
        <v>4</v>
      </c>
      <c r="O90" s="8">
        <f>INDEX('Script List'!$X$2:$X$161,MATCH(M90,'Script List'!$A$2:$A$161,0))</f>
        <v>474.0</v>
      </c>
    </row>
    <row r="91" spans="13:15">
      <c r="M91" s="2" t="s">
        <v>121</v>
      </c>
      <c r="N91" s="2">
        <f>INDEX('Script List'!$R$2:$R$161,MATCH(M91,'Script List'!$A$2:$A$161,0))</f>
        <v>2</v>
      </c>
      <c r="O91" s="8">
        <f>INDEX('Script List'!$X$2:$X$161,MATCH(M91,'Script List'!$A$2:$A$161,0))</f>
        <v>527.0</v>
      </c>
    </row>
    <row r="92" spans="13:15">
      <c r="M92" s="2" t="s">
        <v>122</v>
      </c>
      <c r="N92" s="2">
        <f>INDEX('Script List'!$R$2:$R$161,MATCH(M92,'Script List'!$A$2:$A$161,0))</f>
        <v>4</v>
      </c>
      <c r="O92" s="8">
        <f>INDEX('Script List'!$X$2:$X$161,MATCH(M92,'Script List'!$A$2:$A$161,0))</f>
        <v>490.0</v>
      </c>
    </row>
    <row r="93" spans="13:15">
      <c r="M93" s="2" t="s">
        <v>123</v>
      </c>
      <c r="N93" s="2">
        <f>INDEX('Script List'!$R$2:$R$161,MATCH(M93,'Script List'!$A$2:$A$161,0))</f>
        <v>1</v>
      </c>
      <c r="O93" s="8">
        <f>INDEX('Script List'!$X$2:$X$161,MATCH(M93,'Script List'!$A$2:$A$161,0))</f>
        <v>332.0</v>
      </c>
    </row>
    <row r="94" spans="13:15">
      <c r="M94" s="2" t="s">
        <v>124</v>
      </c>
      <c r="N94" s="2">
        <f>INDEX('Script List'!$R$2:$R$161,MATCH(M94,'Script List'!$A$2:$A$161,0))</f>
        <v>2</v>
      </c>
      <c r="O94" s="8">
        <f>INDEX('Script List'!$X$2:$X$161,MATCH(M94,'Script List'!$A$2:$A$161,0))</f>
        <v>528.0</v>
      </c>
    </row>
    <row r="95" spans="13:15">
      <c r="M95" s="2" t="s">
        <v>125</v>
      </c>
      <c r="N95" s="2">
        <f>INDEX('Script List'!$R$2:$R$161,MATCH(M95,'Script List'!$A$2:$A$161,0))</f>
        <v>5</v>
      </c>
      <c r="O95" s="8">
        <f>INDEX('Script List'!$X$2:$X$161,MATCH(M95,'Script List'!$A$2:$A$161,0))</f>
        <v>527.0</v>
      </c>
    </row>
    <row r="96" spans="13:15">
      <c r="M96" s="2" t="s">
        <v>126</v>
      </c>
      <c r="N96" s="2">
        <f>INDEX('Script List'!$R$2:$R$161,MATCH(M96,'Script List'!$A$2:$A$161,0))</f>
        <v>1</v>
      </c>
      <c r="O96" s="8">
        <f>INDEX('Script List'!$X$2:$X$161,MATCH(M96,'Script List'!$A$2:$A$161,0))</f>
        <v>324.0</v>
      </c>
    </row>
    <row r="97" spans="13:15">
      <c r="M97" s="2" t="s">
        <v>127</v>
      </c>
      <c r="N97" s="2">
        <f>INDEX('Script List'!$R$2:$R$161,MATCH(M97,'Script List'!$A$2:$A$161,0))</f>
        <v>2</v>
      </c>
      <c r="O97" s="8">
        <f>INDEX('Script List'!$X$2:$X$161,MATCH(M97,'Script List'!$A$2:$A$161,0))</f>
        <v>563.0</v>
      </c>
    </row>
    <row r="98" spans="13:15">
      <c r="M98" s="2" t="s">
        <v>128</v>
      </c>
      <c r="N98" s="2">
        <f>INDEX('Script List'!$R$2:$R$161,MATCH(M98,'Script List'!$A$2:$A$161,0))</f>
        <v>7</v>
      </c>
      <c r="O98" s="8">
        <f>INDEX('Script List'!$X$2:$X$161,MATCH(M98,'Script List'!$A$2:$A$161,0))</f>
        <v>560.0</v>
      </c>
    </row>
    <row r="99" spans="13:15">
      <c r="M99" s="2" t="s">
        <v>129</v>
      </c>
      <c r="N99" s="2">
        <f>INDEX('Script List'!$R$2:$R$161,MATCH(M99,'Script List'!$A$2:$A$161,0))</f>
        <v>1</v>
      </c>
      <c r="O99" s="8">
        <f>INDEX('Script List'!$X$2:$X$161,MATCH(M99,'Script List'!$A$2:$A$161,0))</f>
        <v>648.0</v>
      </c>
    </row>
    <row r="100" spans="13:15">
      <c r="M100" s="2" t="s">
        <v>130</v>
      </c>
      <c r="N100" s="2">
        <f>INDEX('Script List'!$R$2:$R$161,MATCH(M100,'Script List'!$A$2:$A$161,0))</f>
        <v>3</v>
      </c>
      <c r="O100" s="8">
        <f>INDEX('Script List'!$X$2:$X$161,MATCH(M100,'Script List'!$A$2:$A$161,0))</f>
        <v>482.0</v>
      </c>
    </row>
    <row r="101" spans="13:15">
      <c r="M101" s="2" t="s">
        <v>131</v>
      </c>
      <c r="N101" s="2">
        <f>INDEX('Script List'!$R$2:$R$161,MATCH(M101,'Script List'!$A$2:$A$161,0))</f>
        <v>10</v>
      </c>
      <c r="O101" s="8">
        <f>INDEX('Script List'!$X$2:$X$161,MATCH(M101,'Script List'!$A$2:$A$161,0))</f>
        <v>332.0</v>
      </c>
    </row>
    <row r="102" spans="13:15">
      <c r="M102" s="2" t="s">
        <v>132</v>
      </c>
      <c r="N102" s="2">
        <f>INDEX('Script List'!$R$2:$R$161,MATCH(M102,'Script List'!$A$2:$A$161,0))</f>
        <v>1</v>
      </c>
      <c r="O102" s="8">
        <f>INDEX('Script List'!$X$2:$X$161,MATCH(M102,'Script List'!$A$2:$A$161,0))</f>
        <v>609.0</v>
      </c>
    </row>
    <row r="103" spans="13:15">
      <c r="M103" s="2" t="s">
        <v>133</v>
      </c>
      <c r="N103" s="2">
        <f>INDEX('Script List'!$R$2:$R$161,MATCH(M103,'Script List'!$A$2:$A$161,0))</f>
        <v>3</v>
      </c>
      <c r="O103" s="8">
        <f>INDEX('Script List'!$X$2:$X$161,MATCH(M103,'Script List'!$A$2:$A$161,0))</f>
        <v>564.0</v>
      </c>
    </row>
    <row r="104" spans="13:15">
      <c r="M104" s="2" t="s">
        <v>134</v>
      </c>
      <c r="N104" s="2">
        <f>INDEX('Script List'!$R$2:$R$161,MATCH(M104,'Script List'!$A$2:$A$161,0))</f>
        <v>1</v>
      </c>
      <c r="O104" s="8">
        <f>INDEX('Script List'!$X$2:$X$161,MATCH(M104,'Script List'!$A$2:$A$161,0))</f>
        <v>332.0</v>
      </c>
    </row>
    <row r="105" spans="13:15">
      <c r="M105" s="2" t="s">
        <v>135</v>
      </c>
      <c r="N105" s="2">
        <f>INDEX('Script List'!$R$2:$R$161,MATCH(M105,'Script List'!$A$2:$A$161,0))</f>
        <v>3</v>
      </c>
      <c r="O105" s="8">
        <f>INDEX('Script List'!$X$2:$X$161,MATCH(M105,'Script List'!$A$2:$A$161,0))</f>
        <v>438.0</v>
      </c>
    </row>
    <row r="106" spans="13:15">
      <c r="M106" s="2" t="s">
        <v>136</v>
      </c>
      <c r="N106" s="2">
        <f>INDEX('Script List'!$R$2:$R$161,MATCH(M106,'Script List'!$A$2:$A$161,0))</f>
        <v>2</v>
      </c>
      <c r="O106" s="8">
        <f>INDEX('Script List'!$X$2:$X$161,MATCH(M106,'Script List'!$A$2:$A$161,0))</f>
        <v>383.0</v>
      </c>
    </row>
    <row r="107" spans="13:15">
      <c r="M107" s="2" t="s">
        <v>137</v>
      </c>
      <c r="N107" s="2">
        <f>INDEX('Script List'!$R$2:$R$161,MATCH(M107,'Script List'!$A$2:$A$161,0))</f>
        <v>4</v>
      </c>
      <c r="O107" s="8">
        <f>INDEX('Script List'!$X$2:$X$161,MATCH(M107,'Script List'!$A$2:$A$161,0))</f>
        <v>474.0</v>
      </c>
    </row>
    <row r="108" spans="13:15">
      <c r="M108" s="2" t="s">
        <v>138</v>
      </c>
      <c r="N108" s="2">
        <f>INDEX('Script List'!$R$2:$R$161,MATCH(M108,'Script List'!$A$2:$A$161,0))</f>
        <v>2</v>
      </c>
      <c r="O108" s="8">
        <f>INDEX('Script List'!$X$2:$X$161,MATCH(M108,'Script List'!$A$2:$A$161,0))</f>
        <v>527.0</v>
      </c>
    </row>
    <row r="109" spans="13:15">
      <c r="M109" s="2" t="s">
        <v>139</v>
      </c>
      <c r="N109" s="2">
        <f>INDEX('Script List'!$R$2:$R$161,MATCH(M109,'Script List'!$A$2:$A$161,0))</f>
        <v>4</v>
      </c>
      <c r="O109" s="8">
        <f>INDEX('Script List'!$X$2:$X$161,MATCH(M109,'Script List'!$A$2:$A$161,0))</f>
        <v>490.0</v>
      </c>
    </row>
    <row r="110" spans="13:15">
      <c r="M110" s="2" t="s">
        <v>140</v>
      </c>
      <c r="N110" s="2">
        <f>INDEX('Script List'!$R$2:$R$161,MATCH(M110,'Script List'!$A$2:$A$161,0))</f>
        <v>1</v>
      </c>
      <c r="O110" s="8">
        <f>INDEX('Script List'!$X$2:$X$161,MATCH(M110,'Script List'!$A$2:$A$161,0))</f>
        <v>332.0</v>
      </c>
    </row>
    <row r="111" spans="13:15">
      <c r="M111" s="2" t="s">
        <v>141</v>
      </c>
      <c r="N111" s="2">
        <f>INDEX('Script List'!$R$2:$R$161,MATCH(M111,'Script List'!$A$2:$A$161,0))</f>
        <v>2</v>
      </c>
      <c r="O111" s="8">
        <f>INDEX('Script List'!$X$2:$X$161,MATCH(M111,'Script List'!$A$2:$A$161,0))</f>
        <v>528.0</v>
      </c>
    </row>
    <row r="112" spans="13:15">
      <c r="M112" s="2" t="s">
        <v>142</v>
      </c>
      <c r="N112" s="2">
        <f>INDEX('Script List'!$R$2:$R$161,MATCH(M112,'Script List'!$A$2:$A$161,0))</f>
        <v>5</v>
      </c>
      <c r="O112" s="8">
        <f>INDEX('Script List'!$X$2:$X$161,MATCH(M112,'Script List'!$A$2:$A$161,0))</f>
        <v>527.0</v>
      </c>
    </row>
    <row r="113" spans="13:15">
      <c r="M113" s="2" t="s">
        <v>143</v>
      </c>
      <c r="N113" s="2">
        <f>INDEX('Script List'!$R$2:$R$161,MATCH(M113,'Script List'!$A$2:$A$161,0))</f>
        <v>1</v>
      </c>
      <c r="O113" s="8">
        <f>INDEX('Script List'!$X$2:$X$161,MATCH(M113,'Script List'!$A$2:$A$161,0))</f>
        <v>324.0</v>
      </c>
    </row>
    <row r="114" spans="13:15">
      <c r="M114" s="2" t="s">
        <v>144</v>
      </c>
      <c r="N114" s="2">
        <f>INDEX('Script List'!$R$2:$R$161,MATCH(M114,'Script List'!$A$2:$A$161,0))</f>
        <v>2</v>
      </c>
      <c r="O114" s="8">
        <f>INDEX('Script List'!$X$2:$X$161,MATCH(M114,'Script List'!$A$2:$A$161,0))</f>
        <v>563.0</v>
      </c>
    </row>
    <row r="115" spans="13:15">
      <c r="M115" s="2" t="s">
        <v>145</v>
      </c>
      <c r="N115" s="2">
        <f>INDEX('Script List'!$R$2:$R$161,MATCH(M115,'Script List'!$A$2:$A$161,0))</f>
        <v>7</v>
      </c>
      <c r="O115" s="8">
        <f>INDEX('Script List'!$X$2:$X$161,MATCH(M115,'Script List'!$A$2:$A$161,0))</f>
        <v>560.0</v>
      </c>
    </row>
    <row r="116" spans="13:15">
      <c r="M116" s="2" t="s">
        <v>146</v>
      </c>
      <c r="N116" s="2">
        <f>INDEX('Script List'!$R$2:$R$161,MATCH(M116,'Script List'!$A$2:$A$161,0))</f>
        <v>1</v>
      </c>
      <c r="O116" s="8">
        <f>INDEX('Script List'!$X$2:$X$161,MATCH(M116,'Script List'!$A$2:$A$161,0))</f>
        <v>648.0</v>
      </c>
    </row>
    <row r="117" spans="13:15">
      <c r="M117" s="2" t="s">
        <v>147</v>
      </c>
      <c r="N117" s="2">
        <f>INDEX('Script List'!$R$2:$R$161,MATCH(M117,'Script List'!$A$2:$A$161,0))</f>
        <v>3</v>
      </c>
      <c r="O117" s="8">
        <f>INDEX('Script List'!$X$2:$X$161,MATCH(M117,'Script List'!$A$2:$A$161,0))</f>
        <v>482.0</v>
      </c>
    </row>
    <row r="118" spans="13:15">
      <c r="M118" s="2" t="s">
        <v>148</v>
      </c>
      <c r="N118" s="2">
        <f>INDEX('Script List'!$R$2:$R$161,MATCH(M118,'Script List'!$A$2:$A$161,0))</f>
        <v>10</v>
      </c>
      <c r="O118" s="8">
        <f>INDEX('Script List'!$X$2:$X$161,MATCH(M118,'Script List'!$A$2:$A$161,0))</f>
        <v>332.0</v>
      </c>
    </row>
    <row r="119" spans="13:15">
      <c r="M119" s="2" t="s">
        <v>149</v>
      </c>
      <c r="N119" s="2">
        <f>INDEX('Script List'!$R$2:$R$161,MATCH(M119,'Script List'!$A$2:$A$161,0))</f>
        <v>1</v>
      </c>
      <c r="O119" s="8">
        <f>INDEX('Script List'!$X$2:$X$161,MATCH(M119,'Script List'!$A$2:$A$161,0))</f>
        <v>609.0</v>
      </c>
    </row>
    <row r="120" spans="13:15">
      <c r="M120" s="2" t="s">
        <v>150</v>
      </c>
      <c r="N120" s="2">
        <f>INDEX('Script List'!$R$2:$R$161,MATCH(M120,'Script List'!$A$2:$A$161,0))</f>
        <v>3</v>
      </c>
      <c r="O120" s="8">
        <f>INDEX('Script List'!$X$2:$X$161,MATCH(M120,'Script List'!$A$2:$A$161,0))</f>
        <v>564.0</v>
      </c>
    </row>
    <row r="121" spans="13:15">
      <c r="M121" s="2" t="s">
        <v>151</v>
      </c>
      <c r="N121" s="2">
        <f>INDEX('Script List'!$R$2:$R$161,MATCH(M121,'Script List'!$A$2:$A$161,0))</f>
        <v>1</v>
      </c>
      <c r="O121" s="8">
        <f>INDEX('Script List'!$X$2:$X$161,MATCH(M121,'Script List'!$A$2:$A$161,0))</f>
        <v>332.0</v>
      </c>
    </row>
    <row r="122" spans="13:15">
      <c r="M122" s="2" t="s">
        <v>152</v>
      </c>
      <c r="N122" s="2">
        <f>INDEX('Script List'!$R$2:$R$161,MATCH(M122,'Script List'!$A$2:$A$161,0))</f>
        <v>3</v>
      </c>
      <c r="O122" s="8">
        <f>INDEX('Script List'!$X$2:$X$161,MATCH(M122,'Script List'!$A$2:$A$161,0))</f>
        <v>438.0</v>
      </c>
    </row>
    <row r="123" spans="13:15">
      <c r="M123" s="2" t="s">
        <v>153</v>
      </c>
      <c r="N123" s="2">
        <f>INDEX('Script List'!$R$2:$R$161,MATCH(M123,'Script List'!$A$2:$A$161,0))</f>
        <v>2</v>
      </c>
      <c r="O123" s="8">
        <f>INDEX('Script List'!$X$2:$X$161,MATCH(M123,'Script List'!$A$2:$A$161,0))</f>
        <v>383.0</v>
      </c>
    </row>
    <row r="124" spans="13:15">
      <c r="M124" s="2" t="s">
        <v>154</v>
      </c>
      <c r="N124" s="2">
        <f>INDEX('Script List'!$R$2:$R$161,MATCH(M124,'Script List'!$A$2:$A$161,0))</f>
        <v>4</v>
      </c>
      <c r="O124" s="8">
        <f>INDEX('Script List'!$X$2:$X$161,MATCH(M124,'Script List'!$A$2:$A$161,0))</f>
        <v>474.0</v>
      </c>
    </row>
    <row r="125" spans="13:15">
      <c r="M125" s="2" t="s">
        <v>155</v>
      </c>
      <c r="N125" s="2">
        <f>INDEX('Script List'!$R$2:$R$161,MATCH(M125,'Script List'!$A$2:$A$161,0))</f>
        <v>2</v>
      </c>
      <c r="O125" s="8">
        <f>INDEX('Script List'!$X$2:$X$161,MATCH(M125,'Script List'!$A$2:$A$161,0))</f>
        <v>527.0</v>
      </c>
    </row>
    <row r="126" spans="13:15">
      <c r="M126" s="2" t="s">
        <v>156</v>
      </c>
      <c r="N126" s="2">
        <f>INDEX('Script List'!$R$2:$R$161,MATCH(M126,'Script List'!$A$2:$A$161,0))</f>
        <v>4</v>
      </c>
      <c r="O126" s="8">
        <f>INDEX('Script List'!$X$2:$X$161,MATCH(M126,'Script List'!$A$2:$A$161,0))</f>
        <v>490.0</v>
      </c>
    </row>
    <row r="127" spans="13:15">
      <c r="M127" s="2" t="s">
        <v>157</v>
      </c>
      <c r="N127" s="2">
        <f>INDEX('Script List'!$R$2:$R$161,MATCH(M127,'Script List'!$A$2:$A$161,0))</f>
        <v>1</v>
      </c>
      <c r="O127" s="8">
        <f>INDEX('Script List'!$X$2:$X$161,MATCH(M127,'Script List'!$A$2:$A$161,0))</f>
        <v>332.0</v>
      </c>
    </row>
    <row r="128" spans="13:15">
      <c r="M128" s="2" t="s">
        <v>158</v>
      </c>
      <c r="N128" s="2">
        <f>INDEX('Script List'!$R$2:$R$161,MATCH(M128,'Script List'!$A$2:$A$161,0))</f>
        <v>2</v>
      </c>
      <c r="O128" s="8">
        <f>INDEX('Script List'!$X$2:$X$161,MATCH(M128,'Script List'!$A$2:$A$161,0))</f>
        <v>528.0</v>
      </c>
    </row>
    <row r="129" spans="13:15">
      <c r="M129" s="2" t="s">
        <v>159</v>
      </c>
      <c r="N129" s="2">
        <f>INDEX('Script List'!$R$2:$R$161,MATCH(M129,'Script List'!$A$2:$A$161,0))</f>
        <v>5</v>
      </c>
      <c r="O129" s="8">
        <f>INDEX('Script List'!$X$2:$X$161,MATCH(M129,'Script List'!$A$2:$A$161,0))</f>
        <v>527.0</v>
      </c>
    </row>
    <row r="130" spans="13:15">
      <c r="M130" s="2" t="s">
        <v>160</v>
      </c>
      <c r="N130" s="2">
        <f>INDEX('Script List'!$R$2:$R$161,MATCH(M130,'Script List'!$A$2:$A$161,0))</f>
        <v>1</v>
      </c>
      <c r="O130" s="8">
        <f>INDEX('Script List'!$X$2:$X$161,MATCH(M130,'Script List'!$A$2:$A$161,0))</f>
        <v>324.0</v>
      </c>
    </row>
    <row r="131" spans="13:15">
      <c r="M131" s="2" t="s">
        <v>161</v>
      </c>
      <c r="N131" s="2">
        <f>INDEX('Script List'!$R$2:$R$161,MATCH(M131,'Script List'!$A$2:$A$161,0))</f>
        <v>2</v>
      </c>
      <c r="O131" s="8">
        <f>INDEX('Script List'!$X$2:$X$161,MATCH(M131,'Script List'!$A$2:$A$161,0))</f>
        <v>563.0</v>
      </c>
    </row>
    <row r="132" spans="13:15">
      <c r="M132" s="2" t="s">
        <v>162</v>
      </c>
      <c r="N132" s="2">
        <f>INDEX('Script List'!$R$2:$R$161,MATCH(M132,'Script List'!$A$2:$A$161,0))</f>
        <v>7</v>
      </c>
      <c r="O132" s="8">
        <f>INDEX('Script List'!$X$2:$X$161,MATCH(M132,'Script List'!$A$2:$A$161,0))</f>
        <v>560.0</v>
      </c>
    </row>
    <row r="133" spans="13:15">
      <c r="M133" s="2" t="s">
        <v>163</v>
      </c>
      <c r="N133" s="2">
        <f>INDEX('Script List'!$R$2:$R$161,MATCH(M133,'Script List'!$A$2:$A$161,0))</f>
        <v>1</v>
      </c>
      <c r="O133" s="8">
        <f>INDEX('Script List'!$X$2:$X$161,MATCH(M133,'Script List'!$A$2:$A$161,0))</f>
        <v>648.0</v>
      </c>
    </row>
    <row r="134" spans="13:15">
      <c r="M134" s="2" t="s">
        <v>164</v>
      </c>
      <c r="N134" s="2">
        <f>INDEX('Script List'!$R$2:$R$161,MATCH(M134,'Script List'!$A$2:$A$161,0))</f>
        <v>3</v>
      </c>
      <c r="O134" s="8">
        <f>INDEX('Script List'!$X$2:$X$161,MATCH(M134,'Script List'!$A$2:$A$161,0))</f>
        <v>482.0</v>
      </c>
    </row>
    <row r="135" spans="13:15">
      <c r="M135" s="2" t="s">
        <v>165</v>
      </c>
      <c r="N135" s="2">
        <f>INDEX('Script List'!$R$2:$R$161,MATCH(M135,'Script List'!$A$2:$A$161,0))</f>
        <v>10</v>
      </c>
      <c r="O135" s="8">
        <f>INDEX('Script List'!$X$2:$X$161,MATCH(M135,'Script List'!$A$2:$A$161,0))</f>
        <v>332.0</v>
      </c>
    </row>
    <row r="136" spans="13:15">
      <c r="M136" s="2" t="s">
        <v>166</v>
      </c>
      <c r="N136" s="2">
        <f>INDEX('Script List'!$R$2:$R$161,MATCH(M136,'Script List'!$A$2:$A$161,0))</f>
        <v>1</v>
      </c>
      <c r="O136" s="8">
        <f>INDEX('Script List'!$X$2:$X$161,MATCH(M136,'Script List'!$A$2:$A$161,0))</f>
        <v>609.0</v>
      </c>
    </row>
    <row r="137" spans="13:15">
      <c r="M137" s="2" t="s">
        <v>167</v>
      </c>
      <c r="N137" s="2">
        <f>INDEX('Script List'!$R$2:$R$161,MATCH(M137,'Script List'!$A$2:$A$161,0))</f>
        <v>3</v>
      </c>
      <c r="O137" s="8">
        <f>INDEX('Script List'!$X$2:$X$161,MATCH(M137,'Script List'!$A$2:$A$161,0))</f>
        <v>564.0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417"/>
  <sheetViews>
    <sheetView showGridLines="0" workbookViewId="0"/>
  </sheetViews>
  <sheetFormatPr defaultRowHeight="15"/>
  <cols>
    <col min="1" max="1" width="43.7109375" customWidth="1"/>
    <col min="2" max="8" width="20.7109375" style="2" customWidth="1"/>
  </cols>
  <sheetData>
    <row r="1" spans="1:8" ht="44" customHeight="1">
      <c r="A1" s="3" t="s">
        <v>850</v>
      </c>
      <c r="B1" s="3" t="s">
        <v>851</v>
      </c>
      <c r="C1" s="3" t="s">
        <v>852</v>
      </c>
      <c r="D1" s="3" t="s">
        <v>853</v>
      </c>
      <c r="F1" s="3" t="s">
        <v>398</v>
      </c>
      <c r="G1" s="3" t="s">
        <v>854</v>
      </c>
      <c r="H1" s="3" t="s">
        <v>855</v>
      </c>
    </row>
    <row r="2" spans="1:8">
      <c r="A2" s="2" t="s">
        <v>856</v>
      </c>
      <c r="B2" s="2">
        <f>COUNTA('Raw Data'!$A$2:$A$417)</f>
        <v>416</v>
      </c>
      <c r="C2" s="2">
        <v>416</v>
      </c>
      <c r="D2" s="2">
        <f>B2-C2</f>
        <v>0</v>
      </c>
      <c r="F2" s="2" t="s">
        <v>403</v>
      </c>
      <c r="G2" s="2">
        <f>IF(COUNTIF('Script List'!$A$2:$A$161,'Raw Data'!B2)=1,0,1)</f>
        <v>0</v>
      </c>
      <c r="H2" s="2">
        <f>IF(COUNTIF('Raw Data'!$A$2:$A$417,F2)=1,0,1)</f>
        <v>0</v>
      </c>
    </row>
    <row r="3" spans="1:8">
      <c r="A3" s="2" t="s">
        <v>857</v>
      </c>
      <c r="B3" s="2">
        <f>SUM('Raw Data'!$I$2:$I$417)</f>
        <v>280352</v>
      </c>
      <c r="C3" s="2">
        <v>280352</v>
      </c>
      <c r="D3" s="2">
        <f>B3-C3</f>
        <v>0</v>
      </c>
      <c r="F3" s="2" t="s">
        <v>404</v>
      </c>
      <c r="G3" s="2">
        <f>IF(COUNTIF('Script List'!$A$2:$A$161,'Raw Data'!B3)=1,0,1)</f>
        <v>0</v>
      </c>
      <c r="H3" s="2">
        <f>IF(COUNTIF('Raw Data'!$A$2:$A$417,F3)=1,0,1)</f>
        <v>0</v>
      </c>
    </row>
    <row r="4" spans="1:8">
      <c r="A4" s="2" t="s">
        <v>838</v>
      </c>
      <c r="B4" s="2">
        <f>SUM('Raw Data'!$L$2:$L$417)</f>
        <v>195440</v>
      </c>
      <c r="C4" s="2">
        <v>195440</v>
      </c>
      <c r="D4" s="2">
        <f>B4-C4</f>
        <v>0</v>
      </c>
      <c r="F4" s="2" t="s">
        <v>405</v>
      </c>
      <c r="G4" s="2">
        <f>IF(COUNTIF('Script List'!$A$2:$A$161,'Raw Data'!B4)=1,0,1)</f>
        <v>0</v>
      </c>
      <c r="H4" s="2">
        <f>IF(COUNTIF('Raw Data'!$A$2:$A$417,F4)=1,0,1)</f>
        <v>0</v>
      </c>
    </row>
    <row r="5" spans="1:8">
      <c r="A5" s="2" t="s">
        <v>858</v>
      </c>
      <c r="B5" s="2">
        <f>COUNTA('Script List'!$A$2:$A$161)</f>
        <v>160</v>
      </c>
      <c r="C5" s="2">
        <v>160</v>
      </c>
      <c r="D5" s="2">
        <f>B5-C5</f>
        <v>0</v>
      </c>
      <c r="F5" s="2" t="s">
        <v>406</v>
      </c>
      <c r="G5" s="2">
        <f>IF(COUNTIF('Script List'!$A$2:$A$161,'Raw Data'!B5)=1,0,1)</f>
        <v>0</v>
      </c>
      <c r="H5" s="2">
        <f>IF(COUNTIF('Raw Data'!$A$2:$A$417,F5)=1,0,1)</f>
        <v>0</v>
      </c>
    </row>
    <row r="6" spans="1:8">
      <c r="A6" s="2" t="s">
        <v>859</v>
      </c>
      <c r="B6" s="2">
        <f>COUNTIF('Script List'!$R$2:$R$161,"&gt;0")</f>
        <v>136</v>
      </c>
      <c r="C6" s="2">
        <v>136</v>
      </c>
      <c r="D6" s="2">
        <f>B6-C6</f>
        <v>0</v>
      </c>
      <c r="F6" s="2" t="s">
        <v>407</v>
      </c>
      <c r="G6" s="2">
        <f>IF(COUNTIF('Script List'!$A$2:$A$161,'Raw Data'!B6)=1,0,1)</f>
        <v>0</v>
      </c>
      <c r="H6" s="2">
        <f>IF(COUNTIF('Raw Data'!$A$2:$A$417,F6)=1,0,1)</f>
        <v>0</v>
      </c>
    </row>
    <row r="7" spans="1:8">
      <c r="A7" s="2" t="s">
        <v>860</v>
      </c>
      <c r="B7" s="2">
        <f>SUM(Checks!G2:G417)</f>
        <v>0</v>
      </c>
      <c r="C7" s="2">
        <v>0</v>
      </c>
      <c r="D7" s="2">
        <f>B7-C7</f>
        <v>0</v>
      </c>
      <c r="F7" s="2" t="s">
        <v>408</v>
      </c>
      <c r="G7" s="2">
        <f>IF(COUNTIF('Script List'!$A$2:$A$161,'Raw Data'!B7)=1,0,1)</f>
        <v>0</v>
      </c>
      <c r="H7" s="2">
        <f>IF(COUNTIF('Raw Data'!$A$2:$A$417,F7)=1,0,1)</f>
        <v>0</v>
      </c>
    </row>
    <row r="8" spans="1:8">
      <c r="A8" s="2" t="s">
        <v>861</v>
      </c>
      <c r="B8" s="2">
        <f>SUM(Checks!H2:H417)</f>
        <v>0</v>
      </c>
      <c r="C8" s="2">
        <v>0</v>
      </c>
      <c r="D8" s="2">
        <f>B8-C8</f>
        <v>0</v>
      </c>
      <c r="F8" s="2" t="s">
        <v>409</v>
      </c>
      <c r="G8" s="2">
        <f>IF(COUNTIF('Script List'!$A$2:$A$161,'Raw Data'!B8)=1,0,1)</f>
        <v>0</v>
      </c>
      <c r="H8" s="2">
        <f>IF(COUNTIF('Raw Data'!$A$2:$A$417,F8)=1,0,1)</f>
        <v>0</v>
      </c>
    </row>
    <row r="9" spans="1:8">
      <c r="A9" s="2" t="s">
        <v>862</v>
      </c>
      <c r="B9" s="2">
        <f>SUM('Script List'!$R$2:$R$161)-COUNTA('Raw Data'!$A$2:$A$417)</f>
        <v>0</v>
      </c>
      <c r="C9" s="2">
        <v>0</v>
      </c>
      <c r="D9" s="2">
        <f>B9-C9</f>
        <v>0</v>
      </c>
      <c r="F9" s="2" t="s">
        <v>410</v>
      </c>
      <c r="G9" s="2">
        <f>IF(COUNTIF('Script List'!$A$2:$A$161,'Raw Data'!B9)=1,0,1)</f>
        <v>0</v>
      </c>
      <c r="H9" s="2">
        <f>IF(COUNTIF('Raw Data'!$A$2:$A$417,F9)=1,0,1)</f>
        <v>0</v>
      </c>
    </row>
    <row r="10" spans="1:8">
      <c r="A10" s="2" t="s">
        <v>863</v>
      </c>
      <c r="B10" s="2">
        <f>SUM('Script List'!$S$2:$S$161)-SUM('Raw Data'!$L$2:$L$417)</f>
        <v>0</v>
      </c>
      <c r="C10" s="2">
        <v>0</v>
      </c>
      <c r="D10" s="2">
        <f>B10-C10</f>
        <v>0</v>
      </c>
      <c r="F10" s="2" t="s">
        <v>411</v>
      </c>
      <c r="G10" s="2">
        <f>IF(COUNTIF('Script List'!$A$2:$A$161,'Raw Data'!B10)=1,0,1)</f>
        <v>0</v>
      </c>
      <c r="H10" s="2">
        <f>IF(COUNTIF('Raw Data'!$A$2:$A$417,F10)=1,0,1)</f>
        <v>0</v>
      </c>
    </row>
    <row r="11" spans="1:8">
      <c r="F11" s="2" t="s">
        <v>412</v>
      </c>
      <c r="G11" s="2">
        <f>IF(COUNTIF('Script List'!$A$2:$A$161,'Raw Data'!B11)=1,0,1)</f>
        <v>0</v>
      </c>
      <c r="H11" s="2">
        <f>IF(COUNTIF('Raw Data'!$A$2:$A$417,F11)=1,0,1)</f>
        <v>0</v>
      </c>
    </row>
    <row r="12" spans="1:8">
      <c r="F12" s="2" t="s">
        <v>413</v>
      </c>
      <c r="G12" s="2">
        <f>IF(COUNTIF('Script List'!$A$2:$A$161,'Raw Data'!B12)=1,0,1)</f>
        <v>0</v>
      </c>
      <c r="H12" s="2">
        <f>IF(COUNTIF('Raw Data'!$A$2:$A$417,F12)=1,0,1)</f>
        <v>0</v>
      </c>
    </row>
    <row r="13" spans="1:8">
      <c r="F13" s="2" t="s">
        <v>414</v>
      </c>
      <c r="G13" s="2">
        <f>IF(COUNTIF('Script List'!$A$2:$A$161,'Raw Data'!B13)=1,0,1)</f>
        <v>0</v>
      </c>
      <c r="H13" s="2">
        <f>IF(COUNTIF('Raw Data'!$A$2:$A$417,F13)=1,0,1)</f>
        <v>0</v>
      </c>
    </row>
    <row r="14" spans="1:8">
      <c r="F14" s="2" t="s">
        <v>415</v>
      </c>
      <c r="G14" s="2">
        <f>IF(COUNTIF('Script List'!$A$2:$A$161,'Raw Data'!B14)=1,0,1)</f>
        <v>0</v>
      </c>
      <c r="H14" s="2">
        <f>IF(COUNTIF('Raw Data'!$A$2:$A$417,F14)=1,0,1)</f>
        <v>0</v>
      </c>
    </row>
    <row r="15" spans="1:8">
      <c r="F15" s="2" t="s">
        <v>416</v>
      </c>
      <c r="G15" s="2">
        <f>IF(COUNTIF('Script List'!$A$2:$A$161,'Raw Data'!B15)=1,0,1)</f>
        <v>0</v>
      </c>
      <c r="H15" s="2">
        <f>IF(COUNTIF('Raw Data'!$A$2:$A$417,F15)=1,0,1)</f>
        <v>0</v>
      </c>
    </row>
    <row r="16" spans="1:8">
      <c r="F16" s="2" t="s">
        <v>417</v>
      </c>
      <c r="G16" s="2">
        <f>IF(COUNTIF('Script List'!$A$2:$A$161,'Raw Data'!B16)=1,0,1)</f>
        <v>0</v>
      </c>
      <c r="H16" s="2">
        <f>IF(COUNTIF('Raw Data'!$A$2:$A$417,F16)=1,0,1)</f>
        <v>0</v>
      </c>
    </row>
    <row r="17" spans="6:8">
      <c r="F17" s="2" t="s">
        <v>418</v>
      </c>
      <c r="G17" s="2">
        <f>IF(COUNTIF('Script List'!$A$2:$A$161,'Raw Data'!B17)=1,0,1)</f>
        <v>0</v>
      </c>
      <c r="H17" s="2">
        <f>IF(COUNTIF('Raw Data'!$A$2:$A$417,F17)=1,0,1)</f>
        <v>0</v>
      </c>
    </row>
    <row r="18" spans="6:8">
      <c r="F18" s="2" t="s">
        <v>419</v>
      </c>
      <c r="G18" s="2">
        <f>IF(COUNTIF('Script List'!$A$2:$A$161,'Raw Data'!B18)=1,0,1)</f>
        <v>0</v>
      </c>
      <c r="H18" s="2">
        <f>IF(COUNTIF('Raw Data'!$A$2:$A$417,F18)=1,0,1)</f>
        <v>0</v>
      </c>
    </row>
    <row r="19" spans="6:8">
      <c r="F19" s="2" t="s">
        <v>420</v>
      </c>
      <c r="G19" s="2">
        <f>IF(COUNTIF('Script List'!$A$2:$A$161,'Raw Data'!B19)=1,0,1)</f>
        <v>0</v>
      </c>
      <c r="H19" s="2">
        <f>IF(COUNTIF('Raw Data'!$A$2:$A$417,F19)=1,0,1)</f>
        <v>0</v>
      </c>
    </row>
    <row r="20" spans="6:8">
      <c r="F20" s="2" t="s">
        <v>421</v>
      </c>
      <c r="G20" s="2">
        <f>IF(COUNTIF('Script List'!$A$2:$A$161,'Raw Data'!B20)=1,0,1)</f>
        <v>0</v>
      </c>
      <c r="H20" s="2">
        <f>IF(COUNTIF('Raw Data'!$A$2:$A$417,F20)=1,0,1)</f>
        <v>0</v>
      </c>
    </row>
    <row r="21" spans="6:8">
      <c r="F21" s="2" t="s">
        <v>422</v>
      </c>
      <c r="G21" s="2">
        <f>IF(COUNTIF('Script List'!$A$2:$A$161,'Raw Data'!B21)=1,0,1)</f>
        <v>0</v>
      </c>
      <c r="H21" s="2">
        <f>IF(COUNTIF('Raw Data'!$A$2:$A$417,F21)=1,0,1)</f>
        <v>0</v>
      </c>
    </row>
    <row r="22" spans="6:8">
      <c r="F22" s="2" t="s">
        <v>423</v>
      </c>
      <c r="G22" s="2">
        <f>IF(COUNTIF('Script List'!$A$2:$A$161,'Raw Data'!B22)=1,0,1)</f>
        <v>0</v>
      </c>
      <c r="H22" s="2">
        <f>IF(COUNTIF('Raw Data'!$A$2:$A$417,F22)=1,0,1)</f>
        <v>0</v>
      </c>
    </row>
    <row r="23" spans="6:8">
      <c r="F23" s="2" t="s">
        <v>424</v>
      </c>
      <c r="G23" s="2">
        <f>IF(COUNTIF('Script List'!$A$2:$A$161,'Raw Data'!B23)=1,0,1)</f>
        <v>0</v>
      </c>
      <c r="H23" s="2">
        <f>IF(COUNTIF('Raw Data'!$A$2:$A$417,F23)=1,0,1)</f>
        <v>0</v>
      </c>
    </row>
    <row r="24" spans="6:8">
      <c r="F24" s="2" t="s">
        <v>425</v>
      </c>
      <c r="G24" s="2">
        <f>IF(COUNTIF('Script List'!$A$2:$A$161,'Raw Data'!B24)=1,0,1)</f>
        <v>0</v>
      </c>
      <c r="H24" s="2">
        <f>IF(COUNTIF('Raw Data'!$A$2:$A$417,F24)=1,0,1)</f>
        <v>0</v>
      </c>
    </row>
    <row r="25" spans="6:8">
      <c r="F25" s="2" t="s">
        <v>426</v>
      </c>
      <c r="G25" s="2">
        <f>IF(COUNTIF('Script List'!$A$2:$A$161,'Raw Data'!B25)=1,0,1)</f>
        <v>0</v>
      </c>
      <c r="H25" s="2">
        <f>IF(COUNTIF('Raw Data'!$A$2:$A$417,F25)=1,0,1)</f>
        <v>0</v>
      </c>
    </row>
    <row r="26" spans="6:8">
      <c r="F26" s="2" t="s">
        <v>427</v>
      </c>
      <c r="G26" s="2">
        <f>IF(COUNTIF('Script List'!$A$2:$A$161,'Raw Data'!B26)=1,0,1)</f>
        <v>0</v>
      </c>
      <c r="H26" s="2">
        <f>IF(COUNTIF('Raw Data'!$A$2:$A$417,F26)=1,0,1)</f>
        <v>0</v>
      </c>
    </row>
    <row r="27" spans="6:8">
      <c r="F27" s="2" t="s">
        <v>428</v>
      </c>
      <c r="G27" s="2">
        <f>IF(COUNTIF('Script List'!$A$2:$A$161,'Raw Data'!B27)=1,0,1)</f>
        <v>0</v>
      </c>
      <c r="H27" s="2">
        <f>IF(COUNTIF('Raw Data'!$A$2:$A$417,F27)=1,0,1)</f>
        <v>0</v>
      </c>
    </row>
    <row r="28" spans="6:8">
      <c r="F28" s="2" t="s">
        <v>429</v>
      </c>
      <c r="G28" s="2">
        <f>IF(COUNTIF('Script List'!$A$2:$A$161,'Raw Data'!B28)=1,0,1)</f>
        <v>0</v>
      </c>
      <c r="H28" s="2">
        <f>IF(COUNTIF('Raw Data'!$A$2:$A$417,F28)=1,0,1)</f>
        <v>0</v>
      </c>
    </row>
    <row r="29" spans="6:8">
      <c r="F29" s="2" t="s">
        <v>430</v>
      </c>
      <c r="G29" s="2">
        <f>IF(COUNTIF('Script List'!$A$2:$A$161,'Raw Data'!B29)=1,0,1)</f>
        <v>0</v>
      </c>
      <c r="H29" s="2">
        <f>IF(COUNTIF('Raw Data'!$A$2:$A$417,F29)=1,0,1)</f>
        <v>0</v>
      </c>
    </row>
    <row r="30" spans="6:8">
      <c r="F30" s="2" t="s">
        <v>431</v>
      </c>
      <c r="G30" s="2">
        <f>IF(COUNTIF('Script List'!$A$2:$A$161,'Raw Data'!B30)=1,0,1)</f>
        <v>0</v>
      </c>
      <c r="H30" s="2">
        <f>IF(COUNTIF('Raw Data'!$A$2:$A$417,F30)=1,0,1)</f>
        <v>0</v>
      </c>
    </row>
    <row r="31" spans="6:8">
      <c r="F31" s="2" t="s">
        <v>432</v>
      </c>
      <c r="G31" s="2">
        <f>IF(COUNTIF('Script List'!$A$2:$A$161,'Raw Data'!B31)=1,0,1)</f>
        <v>0</v>
      </c>
      <c r="H31" s="2">
        <f>IF(COUNTIF('Raw Data'!$A$2:$A$417,F31)=1,0,1)</f>
        <v>0</v>
      </c>
    </row>
    <row r="32" spans="6:8">
      <c r="F32" s="2" t="s">
        <v>433</v>
      </c>
      <c r="G32" s="2">
        <f>IF(COUNTIF('Script List'!$A$2:$A$161,'Raw Data'!B32)=1,0,1)</f>
        <v>0</v>
      </c>
      <c r="H32" s="2">
        <f>IF(COUNTIF('Raw Data'!$A$2:$A$417,F32)=1,0,1)</f>
        <v>0</v>
      </c>
    </row>
    <row r="33" spans="6:8">
      <c r="F33" s="2" t="s">
        <v>434</v>
      </c>
      <c r="G33" s="2">
        <f>IF(COUNTIF('Script List'!$A$2:$A$161,'Raw Data'!B33)=1,0,1)</f>
        <v>0</v>
      </c>
      <c r="H33" s="2">
        <f>IF(COUNTIF('Raw Data'!$A$2:$A$417,F33)=1,0,1)</f>
        <v>0</v>
      </c>
    </row>
    <row r="34" spans="6:8">
      <c r="F34" s="2" t="s">
        <v>435</v>
      </c>
      <c r="G34" s="2">
        <f>IF(COUNTIF('Script List'!$A$2:$A$161,'Raw Data'!B34)=1,0,1)</f>
        <v>0</v>
      </c>
      <c r="H34" s="2">
        <f>IF(COUNTIF('Raw Data'!$A$2:$A$417,F34)=1,0,1)</f>
        <v>0</v>
      </c>
    </row>
    <row r="35" spans="6:8">
      <c r="F35" s="2" t="s">
        <v>436</v>
      </c>
      <c r="G35" s="2">
        <f>IF(COUNTIF('Script List'!$A$2:$A$161,'Raw Data'!B35)=1,0,1)</f>
        <v>0</v>
      </c>
      <c r="H35" s="2">
        <f>IF(COUNTIF('Raw Data'!$A$2:$A$417,F35)=1,0,1)</f>
        <v>0</v>
      </c>
    </row>
    <row r="36" spans="6:8">
      <c r="F36" s="2" t="s">
        <v>437</v>
      </c>
      <c r="G36" s="2">
        <f>IF(COUNTIF('Script List'!$A$2:$A$161,'Raw Data'!B36)=1,0,1)</f>
        <v>0</v>
      </c>
      <c r="H36" s="2">
        <f>IF(COUNTIF('Raw Data'!$A$2:$A$417,F36)=1,0,1)</f>
        <v>0</v>
      </c>
    </row>
    <row r="37" spans="6:8">
      <c r="F37" s="2" t="s">
        <v>438</v>
      </c>
      <c r="G37" s="2">
        <f>IF(COUNTIF('Script List'!$A$2:$A$161,'Raw Data'!B37)=1,0,1)</f>
        <v>0</v>
      </c>
      <c r="H37" s="2">
        <f>IF(COUNTIF('Raw Data'!$A$2:$A$417,F37)=1,0,1)</f>
        <v>0</v>
      </c>
    </row>
    <row r="38" spans="6:8">
      <c r="F38" s="2" t="s">
        <v>439</v>
      </c>
      <c r="G38" s="2">
        <f>IF(COUNTIF('Script List'!$A$2:$A$161,'Raw Data'!B38)=1,0,1)</f>
        <v>0</v>
      </c>
      <c r="H38" s="2">
        <f>IF(COUNTIF('Raw Data'!$A$2:$A$417,F38)=1,0,1)</f>
        <v>0</v>
      </c>
    </row>
    <row r="39" spans="6:8">
      <c r="F39" s="2" t="s">
        <v>440</v>
      </c>
      <c r="G39" s="2">
        <f>IF(COUNTIF('Script List'!$A$2:$A$161,'Raw Data'!B39)=1,0,1)</f>
        <v>0</v>
      </c>
      <c r="H39" s="2">
        <f>IF(COUNTIF('Raw Data'!$A$2:$A$417,F39)=1,0,1)</f>
        <v>0</v>
      </c>
    </row>
    <row r="40" spans="6:8">
      <c r="F40" s="2" t="s">
        <v>441</v>
      </c>
      <c r="G40" s="2">
        <f>IF(COUNTIF('Script List'!$A$2:$A$161,'Raw Data'!B40)=1,0,1)</f>
        <v>0</v>
      </c>
      <c r="H40" s="2">
        <f>IF(COUNTIF('Raw Data'!$A$2:$A$417,F40)=1,0,1)</f>
        <v>0</v>
      </c>
    </row>
    <row r="41" spans="6:8">
      <c r="F41" s="2" t="s">
        <v>442</v>
      </c>
      <c r="G41" s="2">
        <f>IF(COUNTIF('Script List'!$A$2:$A$161,'Raw Data'!B41)=1,0,1)</f>
        <v>0</v>
      </c>
      <c r="H41" s="2">
        <f>IF(COUNTIF('Raw Data'!$A$2:$A$417,F41)=1,0,1)</f>
        <v>0</v>
      </c>
    </row>
    <row r="42" spans="6:8">
      <c r="F42" s="2" t="s">
        <v>443</v>
      </c>
      <c r="G42" s="2">
        <f>IF(COUNTIF('Script List'!$A$2:$A$161,'Raw Data'!B42)=1,0,1)</f>
        <v>0</v>
      </c>
      <c r="H42" s="2">
        <f>IF(COUNTIF('Raw Data'!$A$2:$A$417,F42)=1,0,1)</f>
        <v>0</v>
      </c>
    </row>
    <row r="43" spans="6:8">
      <c r="F43" s="2" t="s">
        <v>444</v>
      </c>
      <c r="G43" s="2">
        <f>IF(COUNTIF('Script List'!$A$2:$A$161,'Raw Data'!B43)=1,0,1)</f>
        <v>0</v>
      </c>
      <c r="H43" s="2">
        <f>IF(COUNTIF('Raw Data'!$A$2:$A$417,F43)=1,0,1)</f>
        <v>0</v>
      </c>
    </row>
    <row r="44" spans="6:8">
      <c r="F44" s="2" t="s">
        <v>445</v>
      </c>
      <c r="G44" s="2">
        <f>IF(COUNTIF('Script List'!$A$2:$A$161,'Raw Data'!B44)=1,0,1)</f>
        <v>0</v>
      </c>
      <c r="H44" s="2">
        <f>IF(COUNTIF('Raw Data'!$A$2:$A$417,F44)=1,0,1)</f>
        <v>0</v>
      </c>
    </row>
    <row r="45" spans="6:8">
      <c r="F45" s="2" t="s">
        <v>446</v>
      </c>
      <c r="G45" s="2">
        <f>IF(COUNTIF('Script List'!$A$2:$A$161,'Raw Data'!B45)=1,0,1)</f>
        <v>0</v>
      </c>
      <c r="H45" s="2">
        <f>IF(COUNTIF('Raw Data'!$A$2:$A$417,F45)=1,0,1)</f>
        <v>0</v>
      </c>
    </row>
    <row r="46" spans="6:8">
      <c r="F46" s="2" t="s">
        <v>447</v>
      </c>
      <c r="G46" s="2">
        <f>IF(COUNTIF('Script List'!$A$2:$A$161,'Raw Data'!B46)=1,0,1)</f>
        <v>0</v>
      </c>
      <c r="H46" s="2">
        <f>IF(COUNTIF('Raw Data'!$A$2:$A$417,F46)=1,0,1)</f>
        <v>0</v>
      </c>
    </row>
    <row r="47" spans="6:8">
      <c r="F47" s="2" t="s">
        <v>448</v>
      </c>
      <c r="G47" s="2">
        <f>IF(COUNTIF('Script List'!$A$2:$A$161,'Raw Data'!B47)=1,0,1)</f>
        <v>0</v>
      </c>
      <c r="H47" s="2">
        <f>IF(COUNTIF('Raw Data'!$A$2:$A$417,F47)=1,0,1)</f>
        <v>0</v>
      </c>
    </row>
    <row r="48" spans="6:8">
      <c r="F48" s="2" t="s">
        <v>449</v>
      </c>
      <c r="G48" s="2">
        <f>IF(COUNTIF('Script List'!$A$2:$A$161,'Raw Data'!B48)=1,0,1)</f>
        <v>0</v>
      </c>
      <c r="H48" s="2">
        <f>IF(COUNTIF('Raw Data'!$A$2:$A$417,F48)=1,0,1)</f>
        <v>0</v>
      </c>
    </row>
    <row r="49" spans="6:8">
      <c r="F49" s="2" t="s">
        <v>450</v>
      </c>
      <c r="G49" s="2">
        <f>IF(COUNTIF('Script List'!$A$2:$A$161,'Raw Data'!B49)=1,0,1)</f>
        <v>0</v>
      </c>
      <c r="H49" s="2">
        <f>IF(COUNTIF('Raw Data'!$A$2:$A$417,F49)=1,0,1)</f>
        <v>0</v>
      </c>
    </row>
    <row r="50" spans="6:8">
      <c r="F50" s="2" t="s">
        <v>451</v>
      </c>
      <c r="G50" s="2">
        <f>IF(COUNTIF('Script List'!$A$2:$A$161,'Raw Data'!B50)=1,0,1)</f>
        <v>0</v>
      </c>
      <c r="H50" s="2">
        <f>IF(COUNTIF('Raw Data'!$A$2:$A$417,F50)=1,0,1)</f>
        <v>0</v>
      </c>
    </row>
    <row r="51" spans="6:8">
      <c r="F51" s="2" t="s">
        <v>452</v>
      </c>
      <c r="G51" s="2">
        <f>IF(COUNTIF('Script List'!$A$2:$A$161,'Raw Data'!B51)=1,0,1)</f>
        <v>0</v>
      </c>
      <c r="H51" s="2">
        <f>IF(COUNTIF('Raw Data'!$A$2:$A$417,F51)=1,0,1)</f>
        <v>0</v>
      </c>
    </row>
    <row r="52" spans="6:8">
      <c r="F52" s="2" t="s">
        <v>453</v>
      </c>
      <c r="G52" s="2">
        <f>IF(COUNTIF('Script List'!$A$2:$A$161,'Raw Data'!B52)=1,0,1)</f>
        <v>0</v>
      </c>
      <c r="H52" s="2">
        <f>IF(COUNTIF('Raw Data'!$A$2:$A$417,F52)=1,0,1)</f>
        <v>0</v>
      </c>
    </row>
    <row r="53" spans="6:8">
      <c r="F53" s="2" t="s">
        <v>454</v>
      </c>
      <c r="G53" s="2">
        <f>IF(COUNTIF('Script List'!$A$2:$A$161,'Raw Data'!B53)=1,0,1)</f>
        <v>0</v>
      </c>
      <c r="H53" s="2">
        <f>IF(COUNTIF('Raw Data'!$A$2:$A$417,F53)=1,0,1)</f>
        <v>0</v>
      </c>
    </row>
    <row r="54" spans="6:8">
      <c r="F54" s="2" t="s">
        <v>455</v>
      </c>
      <c r="G54" s="2">
        <f>IF(COUNTIF('Script List'!$A$2:$A$161,'Raw Data'!B54)=1,0,1)</f>
        <v>0</v>
      </c>
      <c r="H54" s="2">
        <f>IF(COUNTIF('Raw Data'!$A$2:$A$417,F54)=1,0,1)</f>
        <v>0</v>
      </c>
    </row>
    <row r="55" spans="6:8">
      <c r="F55" s="2" t="s">
        <v>456</v>
      </c>
      <c r="G55" s="2">
        <f>IF(COUNTIF('Script List'!$A$2:$A$161,'Raw Data'!B55)=1,0,1)</f>
        <v>0</v>
      </c>
      <c r="H55" s="2">
        <f>IF(COUNTIF('Raw Data'!$A$2:$A$417,F55)=1,0,1)</f>
        <v>0</v>
      </c>
    </row>
    <row r="56" spans="6:8">
      <c r="F56" s="2" t="s">
        <v>457</v>
      </c>
      <c r="G56" s="2">
        <f>IF(COUNTIF('Script List'!$A$2:$A$161,'Raw Data'!B56)=1,0,1)</f>
        <v>0</v>
      </c>
      <c r="H56" s="2">
        <f>IF(COUNTIF('Raw Data'!$A$2:$A$417,F56)=1,0,1)</f>
        <v>0</v>
      </c>
    </row>
    <row r="57" spans="6:8">
      <c r="F57" s="2" t="s">
        <v>458</v>
      </c>
      <c r="G57" s="2">
        <f>IF(COUNTIF('Script List'!$A$2:$A$161,'Raw Data'!B57)=1,0,1)</f>
        <v>0</v>
      </c>
      <c r="H57" s="2">
        <f>IF(COUNTIF('Raw Data'!$A$2:$A$417,F57)=1,0,1)</f>
        <v>0</v>
      </c>
    </row>
    <row r="58" spans="6:8">
      <c r="F58" s="2" t="s">
        <v>459</v>
      </c>
      <c r="G58" s="2">
        <f>IF(COUNTIF('Script List'!$A$2:$A$161,'Raw Data'!B58)=1,0,1)</f>
        <v>0</v>
      </c>
      <c r="H58" s="2">
        <f>IF(COUNTIF('Raw Data'!$A$2:$A$417,F58)=1,0,1)</f>
        <v>0</v>
      </c>
    </row>
    <row r="59" spans="6:8">
      <c r="F59" s="2" t="s">
        <v>460</v>
      </c>
      <c r="G59" s="2">
        <f>IF(COUNTIF('Script List'!$A$2:$A$161,'Raw Data'!B59)=1,0,1)</f>
        <v>0</v>
      </c>
      <c r="H59" s="2">
        <f>IF(COUNTIF('Raw Data'!$A$2:$A$417,F59)=1,0,1)</f>
        <v>0</v>
      </c>
    </row>
    <row r="60" spans="6:8">
      <c r="F60" s="2" t="s">
        <v>461</v>
      </c>
      <c r="G60" s="2">
        <f>IF(COUNTIF('Script List'!$A$2:$A$161,'Raw Data'!B60)=1,0,1)</f>
        <v>0</v>
      </c>
      <c r="H60" s="2">
        <f>IF(COUNTIF('Raw Data'!$A$2:$A$417,F60)=1,0,1)</f>
        <v>0</v>
      </c>
    </row>
    <row r="61" spans="6:8">
      <c r="F61" s="2" t="s">
        <v>462</v>
      </c>
      <c r="G61" s="2">
        <f>IF(COUNTIF('Script List'!$A$2:$A$161,'Raw Data'!B61)=1,0,1)</f>
        <v>0</v>
      </c>
      <c r="H61" s="2">
        <f>IF(COUNTIF('Raw Data'!$A$2:$A$417,F61)=1,0,1)</f>
        <v>0</v>
      </c>
    </row>
    <row r="62" spans="6:8">
      <c r="F62" s="2" t="s">
        <v>463</v>
      </c>
      <c r="G62" s="2">
        <f>IF(COUNTIF('Script List'!$A$2:$A$161,'Raw Data'!B62)=1,0,1)</f>
        <v>0</v>
      </c>
      <c r="H62" s="2">
        <f>IF(COUNTIF('Raw Data'!$A$2:$A$417,F62)=1,0,1)</f>
        <v>0</v>
      </c>
    </row>
    <row r="63" spans="6:8">
      <c r="F63" s="2" t="s">
        <v>464</v>
      </c>
      <c r="G63" s="2">
        <f>IF(COUNTIF('Script List'!$A$2:$A$161,'Raw Data'!B63)=1,0,1)</f>
        <v>0</v>
      </c>
      <c r="H63" s="2">
        <f>IF(COUNTIF('Raw Data'!$A$2:$A$417,F63)=1,0,1)</f>
        <v>0</v>
      </c>
    </row>
    <row r="64" spans="6:8">
      <c r="F64" s="2" t="s">
        <v>465</v>
      </c>
      <c r="G64" s="2">
        <f>IF(COUNTIF('Script List'!$A$2:$A$161,'Raw Data'!B64)=1,0,1)</f>
        <v>0</v>
      </c>
      <c r="H64" s="2">
        <f>IF(COUNTIF('Raw Data'!$A$2:$A$417,F64)=1,0,1)</f>
        <v>0</v>
      </c>
    </row>
    <row r="65" spans="6:8">
      <c r="F65" s="2" t="s">
        <v>466</v>
      </c>
      <c r="G65" s="2">
        <f>IF(COUNTIF('Script List'!$A$2:$A$161,'Raw Data'!B65)=1,0,1)</f>
        <v>0</v>
      </c>
      <c r="H65" s="2">
        <f>IF(COUNTIF('Raw Data'!$A$2:$A$417,F65)=1,0,1)</f>
        <v>0</v>
      </c>
    </row>
    <row r="66" spans="6:8">
      <c r="F66" s="2" t="s">
        <v>467</v>
      </c>
      <c r="G66" s="2">
        <f>IF(COUNTIF('Script List'!$A$2:$A$161,'Raw Data'!B66)=1,0,1)</f>
        <v>0</v>
      </c>
      <c r="H66" s="2">
        <f>IF(COUNTIF('Raw Data'!$A$2:$A$417,F66)=1,0,1)</f>
        <v>0</v>
      </c>
    </row>
    <row r="67" spans="6:8">
      <c r="F67" s="2" t="s">
        <v>468</v>
      </c>
      <c r="G67" s="2">
        <f>IF(COUNTIF('Script List'!$A$2:$A$161,'Raw Data'!B67)=1,0,1)</f>
        <v>0</v>
      </c>
      <c r="H67" s="2">
        <f>IF(COUNTIF('Raw Data'!$A$2:$A$417,F67)=1,0,1)</f>
        <v>0</v>
      </c>
    </row>
    <row r="68" spans="6:8">
      <c r="F68" s="2" t="s">
        <v>469</v>
      </c>
      <c r="G68" s="2">
        <f>IF(COUNTIF('Script List'!$A$2:$A$161,'Raw Data'!B68)=1,0,1)</f>
        <v>0</v>
      </c>
      <c r="H68" s="2">
        <f>IF(COUNTIF('Raw Data'!$A$2:$A$417,F68)=1,0,1)</f>
        <v>0</v>
      </c>
    </row>
    <row r="69" spans="6:8">
      <c r="F69" s="2" t="s">
        <v>470</v>
      </c>
      <c r="G69" s="2">
        <f>IF(COUNTIF('Script List'!$A$2:$A$161,'Raw Data'!B69)=1,0,1)</f>
        <v>0</v>
      </c>
      <c r="H69" s="2">
        <f>IF(COUNTIF('Raw Data'!$A$2:$A$417,F69)=1,0,1)</f>
        <v>0</v>
      </c>
    </row>
    <row r="70" spans="6:8">
      <c r="F70" s="2" t="s">
        <v>471</v>
      </c>
      <c r="G70" s="2">
        <f>IF(COUNTIF('Script List'!$A$2:$A$161,'Raw Data'!B70)=1,0,1)</f>
        <v>0</v>
      </c>
      <c r="H70" s="2">
        <f>IF(COUNTIF('Raw Data'!$A$2:$A$417,F70)=1,0,1)</f>
        <v>0</v>
      </c>
    </row>
    <row r="71" spans="6:8">
      <c r="F71" s="2" t="s">
        <v>472</v>
      </c>
      <c r="G71" s="2">
        <f>IF(COUNTIF('Script List'!$A$2:$A$161,'Raw Data'!B71)=1,0,1)</f>
        <v>0</v>
      </c>
      <c r="H71" s="2">
        <f>IF(COUNTIF('Raw Data'!$A$2:$A$417,F71)=1,0,1)</f>
        <v>0</v>
      </c>
    </row>
    <row r="72" spans="6:8">
      <c r="F72" s="2" t="s">
        <v>473</v>
      </c>
      <c r="G72" s="2">
        <f>IF(COUNTIF('Script List'!$A$2:$A$161,'Raw Data'!B72)=1,0,1)</f>
        <v>0</v>
      </c>
      <c r="H72" s="2">
        <f>IF(COUNTIF('Raw Data'!$A$2:$A$417,F72)=1,0,1)</f>
        <v>0</v>
      </c>
    </row>
    <row r="73" spans="6:8">
      <c r="F73" s="2" t="s">
        <v>474</v>
      </c>
      <c r="G73" s="2">
        <f>IF(COUNTIF('Script List'!$A$2:$A$161,'Raw Data'!B73)=1,0,1)</f>
        <v>0</v>
      </c>
      <c r="H73" s="2">
        <f>IF(COUNTIF('Raw Data'!$A$2:$A$417,F73)=1,0,1)</f>
        <v>0</v>
      </c>
    </row>
    <row r="74" spans="6:8">
      <c r="F74" s="2" t="s">
        <v>475</v>
      </c>
      <c r="G74" s="2">
        <f>IF(COUNTIF('Script List'!$A$2:$A$161,'Raw Data'!B74)=1,0,1)</f>
        <v>0</v>
      </c>
      <c r="H74" s="2">
        <f>IF(COUNTIF('Raw Data'!$A$2:$A$417,F74)=1,0,1)</f>
        <v>0</v>
      </c>
    </row>
    <row r="75" spans="6:8">
      <c r="F75" s="2" t="s">
        <v>476</v>
      </c>
      <c r="G75" s="2">
        <f>IF(COUNTIF('Script List'!$A$2:$A$161,'Raw Data'!B75)=1,0,1)</f>
        <v>0</v>
      </c>
      <c r="H75" s="2">
        <f>IF(COUNTIF('Raw Data'!$A$2:$A$417,F75)=1,0,1)</f>
        <v>0</v>
      </c>
    </row>
    <row r="76" spans="6:8">
      <c r="F76" s="2" t="s">
        <v>477</v>
      </c>
      <c r="G76" s="2">
        <f>IF(COUNTIF('Script List'!$A$2:$A$161,'Raw Data'!B76)=1,0,1)</f>
        <v>0</v>
      </c>
      <c r="H76" s="2">
        <f>IF(COUNTIF('Raw Data'!$A$2:$A$417,F76)=1,0,1)</f>
        <v>0</v>
      </c>
    </row>
    <row r="77" spans="6:8">
      <c r="F77" s="2" t="s">
        <v>478</v>
      </c>
      <c r="G77" s="2">
        <f>IF(COUNTIF('Script List'!$A$2:$A$161,'Raw Data'!B77)=1,0,1)</f>
        <v>0</v>
      </c>
      <c r="H77" s="2">
        <f>IF(COUNTIF('Raw Data'!$A$2:$A$417,F77)=1,0,1)</f>
        <v>0</v>
      </c>
    </row>
    <row r="78" spans="6:8">
      <c r="F78" s="2" t="s">
        <v>479</v>
      </c>
      <c r="G78" s="2">
        <f>IF(COUNTIF('Script List'!$A$2:$A$161,'Raw Data'!B78)=1,0,1)</f>
        <v>0</v>
      </c>
      <c r="H78" s="2">
        <f>IF(COUNTIF('Raw Data'!$A$2:$A$417,F78)=1,0,1)</f>
        <v>0</v>
      </c>
    </row>
    <row r="79" spans="6:8">
      <c r="F79" s="2" t="s">
        <v>480</v>
      </c>
      <c r="G79" s="2">
        <f>IF(COUNTIF('Script List'!$A$2:$A$161,'Raw Data'!B79)=1,0,1)</f>
        <v>0</v>
      </c>
      <c r="H79" s="2">
        <f>IF(COUNTIF('Raw Data'!$A$2:$A$417,F79)=1,0,1)</f>
        <v>0</v>
      </c>
    </row>
    <row r="80" spans="6:8">
      <c r="F80" s="2" t="s">
        <v>481</v>
      </c>
      <c r="G80" s="2">
        <f>IF(COUNTIF('Script List'!$A$2:$A$161,'Raw Data'!B80)=1,0,1)</f>
        <v>0</v>
      </c>
      <c r="H80" s="2">
        <f>IF(COUNTIF('Raw Data'!$A$2:$A$417,F80)=1,0,1)</f>
        <v>0</v>
      </c>
    </row>
    <row r="81" spans="6:8">
      <c r="F81" s="2" t="s">
        <v>482</v>
      </c>
      <c r="G81" s="2">
        <f>IF(COUNTIF('Script List'!$A$2:$A$161,'Raw Data'!B81)=1,0,1)</f>
        <v>0</v>
      </c>
      <c r="H81" s="2">
        <f>IF(COUNTIF('Raw Data'!$A$2:$A$417,F81)=1,0,1)</f>
        <v>0</v>
      </c>
    </row>
    <row r="82" spans="6:8">
      <c r="F82" s="2" t="s">
        <v>483</v>
      </c>
      <c r="G82" s="2">
        <f>IF(COUNTIF('Script List'!$A$2:$A$161,'Raw Data'!B82)=1,0,1)</f>
        <v>0</v>
      </c>
      <c r="H82" s="2">
        <f>IF(COUNTIF('Raw Data'!$A$2:$A$417,F82)=1,0,1)</f>
        <v>0</v>
      </c>
    </row>
    <row r="83" spans="6:8">
      <c r="F83" s="2" t="s">
        <v>484</v>
      </c>
      <c r="G83" s="2">
        <f>IF(COUNTIF('Script List'!$A$2:$A$161,'Raw Data'!B83)=1,0,1)</f>
        <v>0</v>
      </c>
      <c r="H83" s="2">
        <f>IF(COUNTIF('Raw Data'!$A$2:$A$417,F83)=1,0,1)</f>
        <v>0</v>
      </c>
    </row>
    <row r="84" spans="6:8">
      <c r="F84" s="2" t="s">
        <v>485</v>
      </c>
      <c r="G84" s="2">
        <f>IF(COUNTIF('Script List'!$A$2:$A$161,'Raw Data'!B84)=1,0,1)</f>
        <v>0</v>
      </c>
      <c r="H84" s="2">
        <f>IF(COUNTIF('Raw Data'!$A$2:$A$417,F84)=1,0,1)</f>
        <v>0</v>
      </c>
    </row>
    <row r="85" spans="6:8">
      <c r="F85" s="2" t="s">
        <v>486</v>
      </c>
      <c r="G85" s="2">
        <f>IF(COUNTIF('Script List'!$A$2:$A$161,'Raw Data'!B85)=1,0,1)</f>
        <v>0</v>
      </c>
      <c r="H85" s="2">
        <f>IF(COUNTIF('Raw Data'!$A$2:$A$417,F85)=1,0,1)</f>
        <v>0</v>
      </c>
    </row>
    <row r="86" spans="6:8">
      <c r="F86" s="2" t="s">
        <v>487</v>
      </c>
      <c r="G86" s="2">
        <f>IF(COUNTIF('Script List'!$A$2:$A$161,'Raw Data'!B86)=1,0,1)</f>
        <v>0</v>
      </c>
      <c r="H86" s="2">
        <f>IF(COUNTIF('Raw Data'!$A$2:$A$417,F86)=1,0,1)</f>
        <v>0</v>
      </c>
    </row>
    <row r="87" spans="6:8">
      <c r="F87" s="2" t="s">
        <v>488</v>
      </c>
      <c r="G87" s="2">
        <f>IF(COUNTIF('Script List'!$A$2:$A$161,'Raw Data'!B87)=1,0,1)</f>
        <v>0</v>
      </c>
      <c r="H87" s="2">
        <f>IF(COUNTIF('Raw Data'!$A$2:$A$417,F87)=1,0,1)</f>
        <v>0</v>
      </c>
    </row>
    <row r="88" spans="6:8">
      <c r="F88" s="2" t="s">
        <v>489</v>
      </c>
      <c r="G88" s="2">
        <f>IF(COUNTIF('Script List'!$A$2:$A$161,'Raw Data'!B88)=1,0,1)</f>
        <v>0</v>
      </c>
      <c r="H88" s="2">
        <f>IF(COUNTIF('Raw Data'!$A$2:$A$417,F88)=1,0,1)</f>
        <v>0</v>
      </c>
    </row>
    <row r="89" spans="6:8">
      <c r="F89" s="2" t="s">
        <v>490</v>
      </c>
      <c r="G89" s="2">
        <f>IF(COUNTIF('Script List'!$A$2:$A$161,'Raw Data'!B89)=1,0,1)</f>
        <v>0</v>
      </c>
      <c r="H89" s="2">
        <f>IF(COUNTIF('Raw Data'!$A$2:$A$417,F89)=1,0,1)</f>
        <v>0</v>
      </c>
    </row>
    <row r="90" spans="6:8">
      <c r="F90" s="2" t="s">
        <v>491</v>
      </c>
      <c r="G90" s="2">
        <f>IF(COUNTIF('Script List'!$A$2:$A$161,'Raw Data'!B90)=1,0,1)</f>
        <v>0</v>
      </c>
      <c r="H90" s="2">
        <f>IF(COUNTIF('Raw Data'!$A$2:$A$417,F90)=1,0,1)</f>
        <v>0</v>
      </c>
    </row>
    <row r="91" spans="6:8">
      <c r="F91" s="2" t="s">
        <v>492</v>
      </c>
      <c r="G91" s="2">
        <f>IF(COUNTIF('Script List'!$A$2:$A$161,'Raw Data'!B91)=1,0,1)</f>
        <v>0</v>
      </c>
      <c r="H91" s="2">
        <f>IF(COUNTIF('Raw Data'!$A$2:$A$417,F91)=1,0,1)</f>
        <v>0</v>
      </c>
    </row>
    <row r="92" spans="6:8">
      <c r="F92" s="2" t="s">
        <v>493</v>
      </c>
      <c r="G92" s="2">
        <f>IF(COUNTIF('Script List'!$A$2:$A$161,'Raw Data'!B92)=1,0,1)</f>
        <v>0</v>
      </c>
      <c r="H92" s="2">
        <f>IF(COUNTIF('Raw Data'!$A$2:$A$417,F92)=1,0,1)</f>
        <v>0</v>
      </c>
    </row>
    <row r="93" spans="6:8">
      <c r="F93" s="2" t="s">
        <v>494</v>
      </c>
      <c r="G93" s="2">
        <f>IF(COUNTIF('Script List'!$A$2:$A$161,'Raw Data'!B93)=1,0,1)</f>
        <v>0</v>
      </c>
      <c r="H93" s="2">
        <f>IF(COUNTIF('Raw Data'!$A$2:$A$417,F93)=1,0,1)</f>
        <v>0</v>
      </c>
    </row>
    <row r="94" spans="6:8">
      <c r="F94" s="2" t="s">
        <v>495</v>
      </c>
      <c r="G94" s="2">
        <f>IF(COUNTIF('Script List'!$A$2:$A$161,'Raw Data'!B94)=1,0,1)</f>
        <v>0</v>
      </c>
      <c r="H94" s="2">
        <f>IF(COUNTIF('Raw Data'!$A$2:$A$417,F94)=1,0,1)</f>
        <v>0</v>
      </c>
    </row>
    <row r="95" spans="6:8">
      <c r="F95" s="2" t="s">
        <v>496</v>
      </c>
      <c r="G95" s="2">
        <f>IF(COUNTIF('Script List'!$A$2:$A$161,'Raw Data'!B95)=1,0,1)</f>
        <v>0</v>
      </c>
      <c r="H95" s="2">
        <f>IF(COUNTIF('Raw Data'!$A$2:$A$417,F95)=1,0,1)</f>
        <v>0</v>
      </c>
    </row>
    <row r="96" spans="6:8">
      <c r="F96" s="2" t="s">
        <v>497</v>
      </c>
      <c r="G96" s="2">
        <f>IF(COUNTIF('Script List'!$A$2:$A$161,'Raw Data'!B96)=1,0,1)</f>
        <v>0</v>
      </c>
      <c r="H96" s="2">
        <f>IF(COUNTIF('Raw Data'!$A$2:$A$417,F96)=1,0,1)</f>
        <v>0</v>
      </c>
    </row>
    <row r="97" spans="6:8">
      <c r="F97" s="2" t="s">
        <v>498</v>
      </c>
      <c r="G97" s="2">
        <f>IF(COUNTIF('Script List'!$A$2:$A$161,'Raw Data'!B97)=1,0,1)</f>
        <v>0</v>
      </c>
      <c r="H97" s="2">
        <f>IF(COUNTIF('Raw Data'!$A$2:$A$417,F97)=1,0,1)</f>
        <v>0</v>
      </c>
    </row>
    <row r="98" spans="6:8">
      <c r="F98" s="2" t="s">
        <v>499</v>
      </c>
      <c r="G98" s="2">
        <f>IF(COUNTIF('Script List'!$A$2:$A$161,'Raw Data'!B98)=1,0,1)</f>
        <v>0</v>
      </c>
      <c r="H98" s="2">
        <f>IF(COUNTIF('Raw Data'!$A$2:$A$417,F98)=1,0,1)</f>
        <v>0</v>
      </c>
    </row>
    <row r="99" spans="6:8">
      <c r="F99" s="2" t="s">
        <v>500</v>
      </c>
      <c r="G99" s="2">
        <f>IF(COUNTIF('Script List'!$A$2:$A$161,'Raw Data'!B99)=1,0,1)</f>
        <v>0</v>
      </c>
      <c r="H99" s="2">
        <f>IF(COUNTIF('Raw Data'!$A$2:$A$417,F99)=1,0,1)</f>
        <v>0</v>
      </c>
    </row>
    <row r="100" spans="6:8">
      <c r="F100" s="2" t="s">
        <v>501</v>
      </c>
      <c r="G100" s="2">
        <f>IF(COUNTIF('Script List'!$A$2:$A$161,'Raw Data'!B100)=1,0,1)</f>
        <v>0</v>
      </c>
      <c r="H100" s="2">
        <f>IF(COUNTIF('Raw Data'!$A$2:$A$417,F100)=1,0,1)</f>
        <v>0</v>
      </c>
    </row>
    <row r="101" spans="6:8">
      <c r="F101" s="2" t="s">
        <v>502</v>
      </c>
      <c r="G101" s="2">
        <f>IF(COUNTIF('Script List'!$A$2:$A$161,'Raw Data'!B101)=1,0,1)</f>
        <v>0</v>
      </c>
      <c r="H101" s="2">
        <f>IF(COUNTIF('Raw Data'!$A$2:$A$417,F101)=1,0,1)</f>
        <v>0</v>
      </c>
    </row>
    <row r="102" spans="6:8">
      <c r="F102" s="2" t="s">
        <v>503</v>
      </c>
      <c r="G102" s="2">
        <f>IF(COUNTIF('Script List'!$A$2:$A$161,'Raw Data'!B102)=1,0,1)</f>
        <v>0</v>
      </c>
      <c r="H102" s="2">
        <f>IF(COUNTIF('Raw Data'!$A$2:$A$417,F102)=1,0,1)</f>
        <v>0</v>
      </c>
    </row>
    <row r="103" spans="6:8">
      <c r="F103" s="2" t="s">
        <v>504</v>
      </c>
      <c r="G103" s="2">
        <f>IF(COUNTIF('Script List'!$A$2:$A$161,'Raw Data'!B103)=1,0,1)</f>
        <v>0</v>
      </c>
      <c r="H103" s="2">
        <f>IF(COUNTIF('Raw Data'!$A$2:$A$417,F103)=1,0,1)</f>
        <v>0</v>
      </c>
    </row>
    <row r="104" spans="6:8">
      <c r="F104" s="2" t="s">
        <v>505</v>
      </c>
      <c r="G104" s="2">
        <f>IF(COUNTIF('Script List'!$A$2:$A$161,'Raw Data'!B104)=1,0,1)</f>
        <v>0</v>
      </c>
      <c r="H104" s="2">
        <f>IF(COUNTIF('Raw Data'!$A$2:$A$417,F104)=1,0,1)</f>
        <v>0</v>
      </c>
    </row>
    <row r="105" spans="6:8">
      <c r="F105" s="2" t="s">
        <v>506</v>
      </c>
      <c r="G105" s="2">
        <f>IF(COUNTIF('Script List'!$A$2:$A$161,'Raw Data'!B105)=1,0,1)</f>
        <v>0</v>
      </c>
      <c r="H105" s="2">
        <f>IF(COUNTIF('Raw Data'!$A$2:$A$417,F105)=1,0,1)</f>
        <v>0</v>
      </c>
    </row>
    <row r="106" spans="6:8">
      <c r="F106" s="2" t="s">
        <v>507</v>
      </c>
      <c r="G106" s="2">
        <f>IF(COUNTIF('Script List'!$A$2:$A$161,'Raw Data'!B106)=1,0,1)</f>
        <v>0</v>
      </c>
      <c r="H106" s="2">
        <f>IF(COUNTIF('Raw Data'!$A$2:$A$417,F106)=1,0,1)</f>
        <v>0</v>
      </c>
    </row>
    <row r="107" spans="6:8">
      <c r="F107" s="2" t="s">
        <v>508</v>
      </c>
      <c r="G107" s="2">
        <f>IF(COUNTIF('Script List'!$A$2:$A$161,'Raw Data'!B107)=1,0,1)</f>
        <v>0</v>
      </c>
      <c r="H107" s="2">
        <f>IF(COUNTIF('Raw Data'!$A$2:$A$417,F107)=1,0,1)</f>
        <v>0</v>
      </c>
    </row>
    <row r="108" spans="6:8">
      <c r="F108" s="2" t="s">
        <v>509</v>
      </c>
      <c r="G108" s="2">
        <f>IF(COUNTIF('Script List'!$A$2:$A$161,'Raw Data'!B108)=1,0,1)</f>
        <v>0</v>
      </c>
      <c r="H108" s="2">
        <f>IF(COUNTIF('Raw Data'!$A$2:$A$417,F108)=1,0,1)</f>
        <v>0</v>
      </c>
    </row>
    <row r="109" spans="6:8">
      <c r="F109" s="2" t="s">
        <v>510</v>
      </c>
      <c r="G109" s="2">
        <f>IF(COUNTIF('Script List'!$A$2:$A$161,'Raw Data'!B109)=1,0,1)</f>
        <v>0</v>
      </c>
      <c r="H109" s="2">
        <f>IF(COUNTIF('Raw Data'!$A$2:$A$417,F109)=1,0,1)</f>
        <v>0</v>
      </c>
    </row>
    <row r="110" spans="6:8">
      <c r="F110" s="2" t="s">
        <v>511</v>
      </c>
      <c r="G110" s="2">
        <f>IF(COUNTIF('Script List'!$A$2:$A$161,'Raw Data'!B110)=1,0,1)</f>
        <v>0</v>
      </c>
      <c r="H110" s="2">
        <f>IF(COUNTIF('Raw Data'!$A$2:$A$417,F110)=1,0,1)</f>
        <v>0</v>
      </c>
    </row>
    <row r="111" spans="6:8">
      <c r="F111" s="2" t="s">
        <v>512</v>
      </c>
      <c r="G111" s="2">
        <f>IF(COUNTIF('Script List'!$A$2:$A$161,'Raw Data'!B111)=1,0,1)</f>
        <v>0</v>
      </c>
      <c r="H111" s="2">
        <f>IF(COUNTIF('Raw Data'!$A$2:$A$417,F111)=1,0,1)</f>
        <v>0</v>
      </c>
    </row>
    <row r="112" spans="6:8">
      <c r="F112" s="2" t="s">
        <v>513</v>
      </c>
      <c r="G112" s="2">
        <f>IF(COUNTIF('Script List'!$A$2:$A$161,'Raw Data'!B112)=1,0,1)</f>
        <v>0</v>
      </c>
      <c r="H112" s="2">
        <f>IF(COUNTIF('Raw Data'!$A$2:$A$417,F112)=1,0,1)</f>
        <v>0</v>
      </c>
    </row>
    <row r="113" spans="6:8">
      <c r="F113" s="2" t="s">
        <v>514</v>
      </c>
      <c r="G113" s="2">
        <f>IF(COUNTIF('Script List'!$A$2:$A$161,'Raw Data'!B113)=1,0,1)</f>
        <v>0</v>
      </c>
      <c r="H113" s="2">
        <f>IF(COUNTIF('Raw Data'!$A$2:$A$417,F113)=1,0,1)</f>
        <v>0</v>
      </c>
    </row>
    <row r="114" spans="6:8">
      <c r="F114" s="2" t="s">
        <v>515</v>
      </c>
      <c r="G114" s="2">
        <f>IF(COUNTIF('Script List'!$A$2:$A$161,'Raw Data'!B114)=1,0,1)</f>
        <v>0</v>
      </c>
      <c r="H114" s="2">
        <f>IF(COUNTIF('Raw Data'!$A$2:$A$417,F114)=1,0,1)</f>
        <v>0</v>
      </c>
    </row>
    <row r="115" spans="6:8">
      <c r="F115" s="2" t="s">
        <v>516</v>
      </c>
      <c r="G115" s="2">
        <f>IF(COUNTIF('Script List'!$A$2:$A$161,'Raw Data'!B115)=1,0,1)</f>
        <v>0</v>
      </c>
      <c r="H115" s="2">
        <f>IF(COUNTIF('Raw Data'!$A$2:$A$417,F115)=1,0,1)</f>
        <v>0</v>
      </c>
    </row>
    <row r="116" spans="6:8">
      <c r="F116" s="2" t="s">
        <v>517</v>
      </c>
      <c r="G116" s="2">
        <f>IF(COUNTIF('Script List'!$A$2:$A$161,'Raw Data'!B116)=1,0,1)</f>
        <v>0</v>
      </c>
      <c r="H116" s="2">
        <f>IF(COUNTIF('Raw Data'!$A$2:$A$417,F116)=1,0,1)</f>
        <v>0</v>
      </c>
    </row>
    <row r="117" spans="6:8">
      <c r="F117" s="2" t="s">
        <v>518</v>
      </c>
      <c r="G117" s="2">
        <f>IF(COUNTIF('Script List'!$A$2:$A$161,'Raw Data'!B117)=1,0,1)</f>
        <v>0</v>
      </c>
      <c r="H117" s="2">
        <f>IF(COUNTIF('Raw Data'!$A$2:$A$417,F117)=1,0,1)</f>
        <v>0</v>
      </c>
    </row>
    <row r="118" spans="6:8">
      <c r="F118" s="2" t="s">
        <v>519</v>
      </c>
      <c r="G118" s="2">
        <f>IF(COUNTIF('Script List'!$A$2:$A$161,'Raw Data'!B118)=1,0,1)</f>
        <v>0</v>
      </c>
      <c r="H118" s="2">
        <f>IF(COUNTIF('Raw Data'!$A$2:$A$417,F118)=1,0,1)</f>
        <v>0</v>
      </c>
    </row>
    <row r="119" spans="6:8">
      <c r="F119" s="2" t="s">
        <v>520</v>
      </c>
      <c r="G119" s="2">
        <f>IF(COUNTIF('Script List'!$A$2:$A$161,'Raw Data'!B119)=1,0,1)</f>
        <v>0</v>
      </c>
      <c r="H119" s="2">
        <f>IF(COUNTIF('Raw Data'!$A$2:$A$417,F119)=1,0,1)</f>
        <v>0</v>
      </c>
    </row>
    <row r="120" spans="6:8">
      <c r="F120" s="2" t="s">
        <v>521</v>
      </c>
      <c r="G120" s="2">
        <f>IF(COUNTIF('Script List'!$A$2:$A$161,'Raw Data'!B120)=1,0,1)</f>
        <v>0</v>
      </c>
      <c r="H120" s="2">
        <f>IF(COUNTIF('Raw Data'!$A$2:$A$417,F120)=1,0,1)</f>
        <v>0</v>
      </c>
    </row>
    <row r="121" spans="6:8">
      <c r="F121" s="2" t="s">
        <v>522</v>
      </c>
      <c r="G121" s="2">
        <f>IF(COUNTIF('Script List'!$A$2:$A$161,'Raw Data'!B121)=1,0,1)</f>
        <v>0</v>
      </c>
      <c r="H121" s="2">
        <f>IF(COUNTIF('Raw Data'!$A$2:$A$417,F121)=1,0,1)</f>
        <v>0</v>
      </c>
    </row>
    <row r="122" spans="6:8">
      <c r="F122" s="2" t="s">
        <v>523</v>
      </c>
      <c r="G122" s="2">
        <f>IF(COUNTIF('Script List'!$A$2:$A$161,'Raw Data'!B122)=1,0,1)</f>
        <v>0</v>
      </c>
      <c r="H122" s="2">
        <f>IF(COUNTIF('Raw Data'!$A$2:$A$417,F122)=1,0,1)</f>
        <v>0</v>
      </c>
    </row>
    <row r="123" spans="6:8">
      <c r="F123" s="2" t="s">
        <v>524</v>
      </c>
      <c r="G123" s="2">
        <f>IF(COUNTIF('Script List'!$A$2:$A$161,'Raw Data'!B123)=1,0,1)</f>
        <v>0</v>
      </c>
      <c r="H123" s="2">
        <f>IF(COUNTIF('Raw Data'!$A$2:$A$417,F123)=1,0,1)</f>
        <v>0</v>
      </c>
    </row>
    <row r="124" spans="6:8">
      <c r="F124" s="2" t="s">
        <v>525</v>
      </c>
      <c r="G124" s="2">
        <f>IF(COUNTIF('Script List'!$A$2:$A$161,'Raw Data'!B124)=1,0,1)</f>
        <v>0</v>
      </c>
      <c r="H124" s="2">
        <f>IF(COUNTIF('Raw Data'!$A$2:$A$417,F124)=1,0,1)</f>
        <v>0</v>
      </c>
    </row>
    <row r="125" spans="6:8">
      <c r="F125" s="2" t="s">
        <v>526</v>
      </c>
      <c r="G125" s="2">
        <f>IF(COUNTIF('Script List'!$A$2:$A$161,'Raw Data'!B125)=1,0,1)</f>
        <v>0</v>
      </c>
      <c r="H125" s="2">
        <f>IF(COUNTIF('Raw Data'!$A$2:$A$417,F125)=1,0,1)</f>
        <v>0</v>
      </c>
    </row>
    <row r="126" spans="6:8">
      <c r="F126" s="2" t="s">
        <v>527</v>
      </c>
      <c r="G126" s="2">
        <f>IF(COUNTIF('Script List'!$A$2:$A$161,'Raw Data'!B126)=1,0,1)</f>
        <v>0</v>
      </c>
      <c r="H126" s="2">
        <f>IF(COUNTIF('Raw Data'!$A$2:$A$417,F126)=1,0,1)</f>
        <v>0</v>
      </c>
    </row>
    <row r="127" spans="6:8">
      <c r="F127" s="2" t="s">
        <v>528</v>
      </c>
      <c r="G127" s="2">
        <f>IF(COUNTIF('Script List'!$A$2:$A$161,'Raw Data'!B127)=1,0,1)</f>
        <v>0</v>
      </c>
      <c r="H127" s="2">
        <f>IF(COUNTIF('Raw Data'!$A$2:$A$417,F127)=1,0,1)</f>
        <v>0</v>
      </c>
    </row>
    <row r="128" spans="6:8">
      <c r="F128" s="2" t="s">
        <v>529</v>
      </c>
      <c r="G128" s="2">
        <f>IF(COUNTIF('Script List'!$A$2:$A$161,'Raw Data'!B128)=1,0,1)</f>
        <v>0</v>
      </c>
      <c r="H128" s="2">
        <f>IF(COUNTIF('Raw Data'!$A$2:$A$417,F128)=1,0,1)</f>
        <v>0</v>
      </c>
    </row>
    <row r="129" spans="6:8">
      <c r="F129" s="2" t="s">
        <v>530</v>
      </c>
      <c r="G129" s="2">
        <f>IF(COUNTIF('Script List'!$A$2:$A$161,'Raw Data'!B129)=1,0,1)</f>
        <v>0</v>
      </c>
      <c r="H129" s="2">
        <f>IF(COUNTIF('Raw Data'!$A$2:$A$417,F129)=1,0,1)</f>
        <v>0</v>
      </c>
    </row>
    <row r="130" spans="6:8">
      <c r="F130" s="2" t="s">
        <v>531</v>
      </c>
      <c r="G130" s="2">
        <f>IF(COUNTIF('Script List'!$A$2:$A$161,'Raw Data'!B130)=1,0,1)</f>
        <v>0</v>
      </c>
      <c r="H130" s="2">
        <f>IF(COUNTIF('Raw Data'!$A$2:$A$417,F130)=1,0,1)</f>
        <v>0</v>
      </c>
    </row>
    <row r="131" spans="6:8">
      <c r="F131" s="2" t="s">
        <v>532</v>
      </c>
      <c r="G131" s="2">
        <f>IF(COUNTIF('Script List'!$A$2:$A$161,'Raw Data'!B131)=1,0,1)</f>
        <v>0</v>
      </c>
      <c r="H131" s="2">
        <f>IF(COUNTIF('Raw Data'!$A$2:$A$417,F131)=1,0,1)</f>
        <v>0</v>
      </c>
    </row>
    <row r="132" spans="6:8">
      <c r="F132" s="2" t="s">
        <v>533</v>
      </c>
      <c r="G132" s="2">
        <f>IF(COUNTIF('Script List'!$A$2:$A$161,'Raw Data'!B132)=1,0,1)</f>
        <v>0</v>
      </c>
      <c r="H132" s="2">
        <f>IF(COUNTIF('Raw Data'!$A$2:$A$417,F132)=1,0,1)</f>
        <v>0</v>
      </c>
    </row>
    <row r="133" spans="6:8">
      <c r="F133" s="2" t="s">
        <v>534</v>
      </c>
      <c r="G133" s="2">
        <f>IF(COUNTIF('Script List'!$A$2:$A$161,'Raw Data'!B133)=1,0,1)</f>
        <v>0</v>
      </c>
      <c r="H133" s="2">
        <f>IF(COUNTIF('Raw Data'!$A$2:$A$417,F133)=1,0,1)</f>
        <v>0</v>
      </c>
    </row>
    <row r="134" spans="6:8">
      <c r="F134" s="2" t="s">
        <v>535</v>
      </c>
      <c r="G134" s="2">
        <f>IF(COUNTIF('Script List'!$A$2:$A$161,'Raw Data'!B134)=1,0,1)</f>
        <v>0</v>
      </c>
      <c r="H134" s="2">
        <f>IF(COUNTIF('Raw Data'!$A$2:$A$417,F134)=1,0,1)</f>
        <v>0</v>
      </c>
    </row>
    <row r="135" spans="6:8">
      <c r="F135" s="2" t="s">
        <v>536</v>
      </c>
      <c r="G135" s="2">
        <f>IF(COUNTIF('Script List'!$A$2:$A$161,'Raw Data'!B135)=1,0,1)</f>
        <v>0</v>
      </c>
      <c r="H135" s="2">
        <f>IF(COUNTIF('Raw Data'!$A$2:$A$417,F135)=1,0,1)</f>
        <v>0</v>
      </c>
    </row>
    <row r="136" spans="6:8">
      <c r="F136" s="2" t="s">
        <v>537</v>
      </c>
      <c r="G136" s="2">
        <f>IF(COUNTIF('Script List'!$A$2:$A$161,'Raw Data'!B136)=1,0,1)</f>
        <v>0</v>
      </c>
      <c r="H136" s="2">
        <f>IF(COUNTIF('Raw Data'!$A$2:$A$417,F136)=1,0,1)</f>
        <v>0</v>
      </c>
    </row>
    <row r="137" spans="6:8">
      <c r="F137" s="2" t="s">
        <v>538</v>
      </c>
      <c r="G137" s="2">
        <f>IF(COUNTIF('Script List'!$A$2:$A$161,'Raw Data'!B137)=1,0,1)</f>
        <v>0</v>
      </c>
      <c r="H137" s="2">
        <f>IF(COUNTIF('Raw Data'!$A$2:$A$417,F137)=1,0,1)</f>
        <v>0</v>
      </c>
    </row>
    <row r="138" spans="6:8">
      <c r="F138" s="2" t="s">
        <v>539</v>
      </c>
      <c r="G138" s="2">
        <f>IF(COUNTIF('Script List'!$A$2:$A$161,'Raw Data'!B138)=1,0,1)</f>
        <v>0</v>
      </c>
      <c r="H138" s="2">
        <f>IF(COUNTIF('Raw Data'!$A$2:$A$417,F138)=1,0,1)</f>
        <v>0</v>
      </c>
    </row>
    <row r="139" spans="6:8">
      <c r="F139" s="2" t="s">
        <v>540</v>
      </c>
      <c r="G139" s="2">
        <f>IF(COUNTIF('Script List'!$A$2:$A$161,'Raw Data'!B139)=1,0,1)</f>
        <v>0</v>
      </c>
      <c r="H139" s="2">
        <f>IF(COUNTIF('Raw Data'!$A$2:$A$417,F139)=1,0,1)</f>
        <v>0</v>
      </c>
    </row>
    <row r="140" spans="6:8">
      <c r="F140" s="2" t="s">
        <v>541</v>
      </c>
      <c r="G140" s="2">
        <f>IF(COUNTIF('Script List'!$A$2:$A$161,'Raw Data'!B140)=1,0,1)</f>
        <v>0</v>
      </c>
      <c r="H140" s="2">
        <f>IF(COUNTIF('Raw Data'!$A$2:$A$417,F140)=1,0,1)</f>
        <v>0</v>
      </c>
    </row>
    <row r="141" spans="6:8">
      <c r="F141" s="2" t="s">
        <v>542</v>
      </c>
      <c r="G141" s="2">
        <f>IF(COUNTIF('Script List'!$A$2:$A$161,'Raw Data'!B141)=1,0,1)</f>
        <v>0</v>
      </c>
      <c r="H141" s="2">
        <f>IF(COUNTIF('Raw Data'!$A$2:$A$417,F141)=1,0,1)</f>
        <v>0</v>
      </c>
    </row>
    <row r="142" spans="6:8">
      <c r="F142" s="2" t="s">
        <v>543</v>
      </c>
      <c r="G142" s="2">
        <f>IF(COUNTIF('Script List'!$A$2:$A$161,'Raw Data'!B142)=1,0,1)</f>
        <v>0</v>
      </c>
      <c r="H142" s="2">
        <f>IF(COUNTIF('Raw Data'!$A$2:$A$417,F142)=1,0,1)</f>
        <v>0</v>
      </c>
    </row>
    <row r="143" spans="6:8">
      <c r="F143" s="2" t="s">
        <v>544</v>
      </c>
      <c r="G143" s="2">
        <f>IF(COUNTIF('Script List'!$A$2:$A$161,'Raw Data'!B143)=1,0,1)</f>
        <v>0</v>
      </c>
      <c r="H143" s="2">
        <f>IF(COUNTIF('Raw Data'!$A$2:$A$417,F143)=1,0,1)</f>
        <v>0</v>
      </c>
    </row>
    <row r="144" spans="6:8">
      <c r="F144" s="2" t="s">
        <v>545</v>
      </c>
      <c r="G144" s="2">
        <f>IF(COUNTIF('Script List'!$A$2:$A$161,'Raw Data'!B144)=1,0,1)</f>
        <v>0</v>
      </c>
      <c r="H144" s="2">
        <f>IF(COUNTIF('Raw Data'!$A$2:$A$417,F144)=1,0,1)</f>
        <v>0</v>
      </c>
    </row>
    <row r="145" spans="6:8">
      <c r="F145" s="2" t="s">
        <v>546</v>
      </c>
      <c r="G145" s="2">
        <f>IF(COUNTIF('Script List'!$A$2:$A$161,'Raw Data'!B145)=1,0,1)</f>
        <v>0</v>
      </c>
      <c r="H145" s="2">
        <f>IF(COUNTIF('Raw Data'!$A$2:$A$417,F145)=1,0,1)</f>
        <v>0</v>
      </c>
    </row>
    <row r="146" spans="6:8">
      <c r="F146" s="2" t="s">
        <v>547</v>
      </c>
      <c r="G146" s="2">
        <f>IF(COUNTIF('Script List'!$A$2:$A$161,'Raw Data'!B146)=1,0,1)</f>
        <v>0</v>
      </c>
      <c r="H146" s="2">
        <f>IF(COUNTIF('Raw Data'!$A$2:$A$417,F146)=1,0,1)</f>
        <v>0</v>
      </c>
    </row>
    <row r="147" spans="6:8">
      <c r="F147" s="2" t="s">
        <v>548</v>
      </c>
      <c r="G147" s="2">
        <f>IF(COUNTIF('Script List'!$A$2:$A$161,'Raw Data'!B147)=1,0,1)</f>
        <v>0</v>
      </c>
      <c r="H147" s="2">
        <f>IF(COUNTIF('Raw Data'!$A$2:$A$417,F147)=1,0,1)</f>
        <v>0</v>
      </c>
    </row>
    <row r="148" spans="6:8">
      <c r="F148" s="2" t="s">
        <v>549</v>
      </c>
      <c r="G148" s="2">
        <f>IF(COUNTIF('Script List'!$A$2:$A$161,'Raw Data'!B148)=1,0,1)</f>
        <v>0</v>
      </c>
      <c r="H148" s="2">
        <f>IF(COUNTIF('Raw Data'!$A$2:$A$417,F148)=1,0,1)</f>
        <v>0</v>
      </c>
    </row>
    <row r="149" spans="6:8">
      <c r="F149" s="2" t="s">
        <v>550</v>
      </c>
      <c r="G149" s="2">
        <f>IF(COUNTIF('Script List'!$A$2:$A$161,'Raw Data'!B149)=1,0,1)</f>
        <v>0</v>
      </c>
      <c r="H149" s="2">
        <f>IF(COUNTIF('Raw Data'!$A$2:$A$417,F149)=1,0,1)</f>
        <v>0</v>
      </c>
    </row>
    <row r="150" spans="6:8">
      <c r="F150" s="2" t="s">
        <v>551</v>
      </c>
      <c r="G150" s="2">
        <f>IF(COUNTIF('Script List'!$A$2:$A$161,'Raw Data'!B150)=1,0,1)</f>
        <v>0</v>
      </c>
      <c r="H150" s="2">
        <f>IF(COUNTIF('Raw Data'!$A$2:$A$417,F150)=1,0,1)</f>
        <v>0</v>
      </c>
    </row>
    <row r="151" spans="6:8">
      <c r="F151" s="2" t="s">
        <v>552</v>
      </c>
      <c r="G151" s="2">
        <f>IF(COUNTIF('Script List'!$A$2:$A$161,'Raw Data'!B151)=1,0,1)</f>
        <v>0</v>
      </c>
      <c r="H151" s="2">
        <f>IF(COUNTIF('Raw Data'!$A$2:$A$417,F151)=1,0,1)</f>
        <v>0</v>
      </c>
    </row>
    <row r="152" spans="6:8">
      <c r="F152" s="2" t="s">
        <v>553</v>
      </c>
      <c r="G152" s="2">
        <f>IF(COUNTIF('Script List'!$A$2:$A$161,'Raw Data'!B152)=1,0,1)</f>
        <v>0</v>
      </c>
      <c r="H152" s="2">
        <f>IF(COUNTIF('Raw Data'!$A$2:$A$417,F152)=1,0,1)</f>
        <v>0</v>
      </c>
    </row>
    <row r="153" spans="6:8">
      <c r="F153" s="2" t="s">
        <v>554</v>
      </c>
      <c r="G153" s="2">
        <f>IF(COUNTIF('Script List'!$A$2:$A$161,'Raw Data'!B153)=1,0,1)</f>
        <v>0</v>
      </c>
      <c r="H153" s="2">
        <f>IF(COUNTIF('Raw Data'!$A$2:$A$417,F153)=1,0,1)</f>
        <v>0</v>
      </c>
    </row>
    <row r="154" spans="6:8">
      <c r="F154" s="2" t="s">
        <v>555</v>
      </c>
      <c r="G154" s="2">
        <f>IF(COUNTIF('Script List'!$A$2:$A$161,'Raw Data'!B154)=1,0,1)</f>
        <v>0</v>
      </c>
      <c r="H154" s="2">
        <f>IF(COUNTIF('Raw Data'!$A$2:$A$417,F154)=1,0,1)</f>
        <v>0</v>
      </c>
    </row>
    <row r="155" spans="6:8">
      <c r="F155" s="2" t="s">
        <v>556</v>
      </c>
      <c r="G155" s="2">
        <f>IF(COUNTIF('Script List'!$A$2:$A$161,'Raw Data'!B155)=1,0,1)</f>
        <v>0</v>
      </c>
      <c r="H155" s="2">
        <f>IF(COUNTIF('Raw Data'!$A$2:$A$417,F155)=1,0,1)</f>
        <v>0</v>
      </c>
    </row>
    <row r="156" spans="6:8">
      <c r="F156" s="2" t="s">
        <v>557</v>
      </c>
      <c r="G156" s="2">
        <f>IF(COUNTIF('Script List'!$A$2:$A$161,'Raw Data'!B156)=1,0,1)</f>
        <v>0</v>
      </c>
      <c r="H156" s="2">
        <f>IF(COUNTIF('Raw Data'!$A$2:$A$417,F156)=1,0,1)</f>
        <v>0</v>
      </c>
    </row>
    <row r="157" spans="6:8">
      <c r="F157" s="2" t="s">
        <v>558</v>
      </c>
      <c r="G157" s="2">
        <f>IF(COUNTIF('Script List'!$A$2:$A$161,'Raw Data'!B157)=1,0,1)</f>
        <v>0</v>
      </c>
      <c r="H157" s="2">
        <f>IF(COUNTIF('Raw Data'!$A$2:$A$417,F157)=1,0,1)</f>
        <v>0</v>
      </c>
    </row>
    <row r="158" spans="6:8">
      <c r="F158" s="2" t="s">
        <v>559</v>
      </c>
      <c r="G158" s="2">
        <f>IF(COUNTIF('Script List'!$A$2:$A$161,'Raw Data'!B158)=1,0,1)</f>
        <v>0</v>
      </c>
      <c r="H158" s="2">
        <f>IF(COUNTIF('Raw Data'!$A$2:$A$417,F158)=1,0,1)</f>
        <v>0</v>
      </c>
    </row>
    <row r="159" spans="6:8">
      <c r="F159" s="2" t="s">
        <v>560</v>
      </c>
      <c r="G159" s="2">
        <f>IF(COUNTIF('Script List'!$A$2:$A$161,'Raw Data'!B159)=1,0,1)</f>
        <v>0</v>
      </c>
      <c r="H159" s="2">
        <f>IF(COUNTIF('Raw Data'!$A$2:$A$417,F159)=1,0,1)</f>
        <v>0</v>
      </c>
    </row>
    <row r="160" spans="6:8">
      <c r="F160" s="2" t="s">
        <v>561</v>
      </c>
      <c r="G160" s="2">
        <f>IF(COUNTIF('Script List'!$A$2:$A$161,'Raw Data'!B160)=1,0,1)</f>
        <v>0</v>
      </c>
      <c r="H160" s="2">
        <f>IF(COUNTIF('Raw Data'!$A$2:$A$417,F160)=1,0,1)</f>
        <v>0</v>
      </c>
    </row>
    <row r="161" spans="6:8">
      <c r="F161" s="2" t="s">
        <v>562</v>
      </c>
      <c r="G161" s="2">
        <f>IF(COUNTIF('Script List'!$A$2:$A$161,'Raw Data'!B161)=1,0,1)</f>
        <v>0</v>
      </c>
      <c r="H161" s="2">
        <f>IF(COUNTIF('Raw Data'!$A$2:$A$417,F161)=1,0,1)</f>
        <v>0</v>
      </c>
    </row>
    <row r="162" spans="6:8">
      <c r="F162" s="2" t="s">
        <v>563</v>
      </c>
      <c r="G162" s="2">
        <f>IF(COUNTIF('Script List'!$A$2:$A$161,'Raw Data'!B162)=1,0,1)</f>
        <v>0</v>
      </c>
      <c r="H162" s="2">
        <f>IF(COUNTIF('Raw Data'!$A$2:$A$417,F162)=1,0,1)</f>
        <v>0</v>
      </c>
    </row>
    <row r="163" spans="6:8">
      <c r="F163" s="2" t="s">
        <v>564</v>
      </c>
      <c r="G163" s="2">
        <f>IF(COUNTIF('Script List'!$A$2:$A$161,'Raw Data'!B163)=1,0,1)</f>
        <v>0</v>
      </c>
      <c r="H163" s="2">
        <f>IF(COUNTIF('Raw Data'!$A$2:$A$417,F163)=1,0,1)</f>
        <v>0</v>
      </c>
    </row>
    <row r="164" spans="6:8">
      <c r="F164" s="2" t="s">
        <v>565</v>
      </c>
      <c r="G164" s="2">
        <f>IF(COUNTIF('Script List'!$A$2:$A$161,'Raw Data'!B164)=1,0,1)</f>
        <v>0</v>
      </c>
      <c r="H164" s="2">
        <f>IF(COUNTIF('Raw Data'!$A$2:$A$417,F164)=1,0,1)</f>
        <v>0</v>
      </c>
    </row>
    <row r="165" spans="6:8">
      <c r="F165" s="2" t="s">
        <v>566</v>
      </c>
      <c r="G165" s="2">
        <f>IF(COUNTIF('Script List'!$A$2:$A$161,'Raw Data'!B165)=1,0,1)</f>
        <v>0</v>
      </c>
      <c r="H165" s="2">
        <f>IF(COUNTIF('Raw Data'!$A$2:$A$417,F165)=1,0,1)</f>
        <v>0</v>
      </c>
    </row>
    <row r="166" spans="6:8">
      <c r="F166" s="2" t="s">
        <v>567</v>
      </c>
      <c r="G166" s="2">
        <f>IF(COUNTIF('Script List'!$A$2:$A$161,'Raw Data'!B166)=1,0,1)</f>
        <v>0</v>
      </c>
      <c r="H166" s="2">
        <f>IF(COUNTIF('Raw Data'!$A$2:$A$417,F166)=1,0,1)</f>
        <v>0</v>
      </c>
    </row>
    <row r="167" spans="6:8">
      <c r="F167" s="2" t="s">
        <v>568</v>
      </c>
      <c r="G167" s="2">
        <f>IF(COUNTIF('Script List'!$A$2:$A$161,'Raw Data'!B167)=1,0,1)</f>
        <v>0</v>
      </c>
      <c r="H167" s="2">
        <f>IF(COUNTIF('Raw Data'!$A$2:$A$417,F167)=1,0,1)</f>
        <v>0</v>
      </c>
    </row>
    <row r="168" spans="6:8">
      <c r="F168" s="2" t="s">
        <v>569</v>
      </c>
      <c r="G168" s="2">
        <f>IF(COUNTIF('Script List'!$A$2:$A$161,'Raw Data'!B168)=1,0,1)</f>
        <v>0</v>
      </c>
      <c r="H168" s="2">
        <f>IF(COUNTIF('Raw Data'!$A$2:$A$417,F168)=1,0,1)</f>
        <v>0</v>
      </c>
    </row>
    <row r="169" spans="6:8">
      <c r="F169" s="2" t="s">
        <v>570</v>
      </c>
      <c r="G169" s="2">
        <f>IF(COUNTIF('Script List'!$A$2:$A$161,'Raw Data'!B169)=1,0,1)</f>
        <v>0</v>
      </c>
      <c r="H169" s="2">
        <f>IF(COUNTIF('Raw Data'!$A$2:$A$417,F169)=1,0,1)</f>
        <v>0</v>
      </c>
    </row>
    <row r="170" spans="6:8">
      <c r="F170" s="2" t="s">
        <v>571</v>
      </c>
      <c r="G170" s="2">
        <f>IF(COUNTIF('Script List'!$A$2:$A$161,'Raw Data'!B170)=1,0,1)</f>
        <v>0</v>
      </c>
      <c r="H170" s="2">
        <f>IF(COUNTIF('Raw Data'!$A$2:$A$417,F170)=1,0,1)</f>
        <v>0</v>
      </c>
    </row>
    <row r="171" spans="6:8">
      <c r="F171" s="2" t="s">
        <v>572</v>
      </c>
      <c r="G171" s="2">
        <f>IF(COUNTIF('Script List'!$A$2:$A$161,'Raw Data'!B171)=1,0,1)</f>
        <v>0</v>
      </c>
      <c r="H171" s="2">
        <f>IF(COUNTIF('Raw Data'!$A$2:$A$417,F171)=1,0,1)</f>
        <v>0</v>
      </c>
    </row>
    <row r="172" spans="6:8">
      <c r="F172" s="2" t="s">
        <v>573</v>
      </c>
      <c r="G172" s="2">
        <f>IF(COUNTIF('Script List'!$A$2:$A$161,'Raw Data'!B172)=1,0,1)</f>
        <v>0</v>
      </c>
      <c r="H172" s="2">
        <f>IF(COUNTIF('Raw Data'!$A$2:$A$417,F172)=1,0,1)</f>
        <v>0</v>
      </c>
    </row>
    <row r="173" spans="6:8">
      <c r="F173" s="2" t="s">
        <v>574</v>
      </c>
      <c r="G173" s="2">
        <f>IF(COUNTIF('Script List'!$A$2:$A$161,'Raw Data'!B173)=1,0,1)</f>
        <v>0</v>
      </c>
      <c r="H173" s="2">
        <f>IF(COUNTIF('Raw Data'!$A$2:$A$417,F173)=1,0,1)</f>
        <v>0</v>
      </c>
    </row>
    <row r="174" spans="6:8">
      <c r="F174" s="2" t="s">
        <v>575</v>
      </c>
      <c r="G174" s="2">
        <f>IF(COUNTIF('Script List'!$A$2:$A$161,'Raw Data'!B174)=1,0,1)</f>
        <v>0</v>
      </c>
      <c r="H174" s="2">
        <f>IF(COUNTIF('Raw Data'!$A$2:$A$417,F174)=1,0,1)</f>
        <v>0</v>
      </c>
    </row>
    <row r="175" spans="6:8">
      <c r="F175" s="2" t="s">
        <v>576</v>
      </c>
      <c r="G175" s="2">
        <f>IF(COUNTIF('Script List'!$A$2:$A$161,'Raw Data'!B175)=1,0,1)</f>
        <v>0</v>
      </c>
      <c r="H175" s="2">
        <f>IF(COUNTIF('Raw Data'!$A$2:$A$417,F175)=1,0,1)</f>
        <v>0</v>
      </c>
    </row>
    <row r="176" spans="6:8">
      <c r="F176" s="2" t="s">
        <v>577</v>
      </c>
      <c r="G176" s="2">
        <f>IF(COUNTIF('Script List'!$A$2:$A$161,'Raw Data'!B176)=1,0,1)</f>
        <v>0</v>
      </c>
      <c r="H176" s="2">
        <f>IF(COUNTIF('Raw Data'!$A$2:$A$417,F176)=1,0,1)</f>
        <v>0</v>
      </c>
    </row>
    <row r="177" spans="6:8">
      <c r="F177" s="2" t="s">
        <v>578</v>
      </c>
      <c r="G177" s="2">
        <f>IF(COUNTIF('Script List'!$A$2:$A$161,'Raw Data'!B177)=1,0,1)</f>
        <v>0</v>
      </c>
      <c r="H177" s="2">
        <f>IF(COUNTIF('Raw Data'!$A$2:$A$417,F177)=1,0,1)</f>
        <v>0</v>
      </c>
    </row>
    <row r="178" spans="6:8">
      <c r="F178" s="2" t="s">
        <v>579</v>
      </c>
      <c r="G178" s="2">
        <f>IF(COUNTIF('Script List'!$A$2:$A$161,'Raw Data'!B178)=1,0,1)</f>
        <v>0</v>
      </c>
      <c r="H178" s="2">
        <f>IF(COUNTIF('Raw Data'!$A$2:$A$417,F178)=1,0,1)</f>
        <v>0</v>
      </c>
    </row>
    <row r="179" spans="6:8">
      <c r="F179" s="2" t="s">
        <v>580</v>
      </c>
      <c r="G179" s="2">
        <f>IF(COUNTIF('Script List'!$A$2:$A$161,'Raw Data'!B179)=1,0,1)</f>
        <v>0</v>
      </c>
      <c r="H179" s="2">
        <f>IF(COUNTIF('Raw Data'!$A$2:$A$417,F179)=1,0,1)</f>
        <v>0</v>
      </c>
    </row>
    <row r="180" spans="6:8">
      <c r="F180" s="2" t="s">
        <v>581</v>
      </c>
      <c r="G180" s="2">
        <f>IF(COUNTIF('Script List'!$A$2:$A$161,'Raw Data'!B180)=1,0,1)</f>
        <v>0</v>
      </c>
      <c r="H180" s="2">
        <f>IF(COUNTIF('Raw Data'!$A$2:$A$417,F180)=1,0,1)</f>
        <v>0</v>
      </c>
    </row>
    <row r="181" spans="6:8">
      <c r="F181" s="2" t="s">
        <v>582</v>
      </c>
      <c r="G181" s="2">
        <f>IF(COUNTIF('Script List'!$A$2:$A$161,'Raw Data'!B181)=1,0,1)</f>
        <v>0</v>
      </c>
      <c r="H181" s="2">
        <f>IF(COUNTIF('Raw Data'!$A$2:$A$417,F181)=1,0,1)</f>
        <v>0</v>
      </c>
    </row>
    <row r="182" spans="6:8">
      <c r="F182" s="2" t="s">
        <v>583</v>
      </c>
      <c r="G182" s="2">
        <f>IF(COUNTIF('Script List'!$A$2:$A$161,'Raw Data'!B182)=1,0,1)</f>
        <v>0</v>
      </c>
      <c r="H182" s="2">
        <f>IF(COUNTIF('Raw Data'!$A$2:$A$417,F182)=1,0,1)</f>
        <v>0</v>
      </c>
    </row>
    <row r="183" spans="6:8">
      <c r="F183" s="2" t="s">
        <v>584</v>
      </c>
      <c r="G183" s="2">
        <f>IF(COUNTIF('Script List'!$A$2:$A$161,'Raw Data'!B183)=1,0,1)</f>
        <v>0</v>
      </c>
      <c r="H183" s="2">
        <f>IF(COUNTIF('Raw Data'!$A$2:$A$417,F183)=1,0,1)</f>
        <v>0</v>
      </c>
    </row>
    <row r="184" spans="6:8">
      <c r="F184" s="2" t="s">
        <v>585</v>
      </c>
      <c r="G184" s="2">
        <f>IF(COUNTIF('Script List'!$A$2:$A$161,'Raw Data'!B184)=1,0,1)</f>
        <v>0</v>
      </c>
      <c r="H184" s="2">
        <f>IF(COUNTIF('Raw Data'!$A$2:$A$417,F184)=1,0,1)</f>
        <v>0</v>
      </c>
    </row>
    <row r="185" spans="6:8">
      <c r="F185" s="2" t="s">
        <v>586</v>
      </c>
      <c r="G185" s="2">
        <f>IF(COUNTIF('Script List'!$A$2:$A$161,'Raw Data'!B185)=1,0,1)</f>
        <v>0</v>
      </c>
      <c r="H185" s="2">
        <f>IF(COUNTIF('Raw Data'!$A$2:$A$417,F185)=1,0,1)</f>
        <v>0</v>
      </c>
    </row>
    <row r="186" spans="6:8">
      <c r="F186" s="2" t="s">
        <v>587</v>
      </c>
      <c r="G186" s="2">
        <f>IF(COUNTIF('Script List'!$A$2:$A$161,'Raw Data'!B186)=1,0,1)</f>
        <v>0</v>
      </c>
      <c r="H186" s="2">
        <f>IF(COUNTIF('Raw Data'!$A$2:$A$417,F186)=1,0,1)</f>
        <v>0</v>
      </c>
    </row>
    <row r="187" spans="6:8">
      <c r="F187" s="2" t="s">
        <v>588</v>
      </c>
      <c r="G187" s="2">
        <f>IF(COUNTIF('Script List'!$A$2:$A$161,'Raw Data'!B187)=1,0,1)</f>
        <v>0</v>
      </c>
      <c r="H187" s="2">
        <f>IF(COUNTIF('Raw Data'!$A$2:$A$417,F187)=1,0,1)</f>
        <v>0</v>
      </c>
    </row>
    <row r="188" spans="6:8">
      <c r="F188" s="2" t="s">
        <v>589</v>
      </c>
      <c r="G188" s="2">
        <f>IF(COUNTIF('Script List'!$A$2:$A$161,'Raw Data'!B188)=1,0,1)</f>
        <v>0</v>
      </c>
      <c r="H188" s="2">
        <f>IF(COUNTIF('Raw Data'!$A$2:$A$417,F188)=1,0,1)</f>
        <v>0</v>
      </c>
    </row>
    <row r="189" spans="6:8">
      <c r="F189" s="2" t="s">
        <v>590</v>
      </c>
      <c r="G189" s="2">
        <f>IF(COUNTIF('Script List'!$A$2:$A$161,'Raw Data'!B189)=1,0,1)</f>
        <v>0</v>
      </c>
      <c r="H189" s="2">
        <f>IF(COUNTIF('Raw Data'!$A$2:$A$417,F189)=1,0,1)</f>
        <v>0</v>
      </c>
    </row>
    <row r="190" spans="6:8">
      <c r="F190" s="2" t="s">
        <v>591</v>
      </c>
      <c r="G190" s="2">
        <f>IF(COUNTIF('Script List'!$A$2:$A$161,'Raw Data'!B190)=1,0,1)</f>
        <v>0</v>
      </c>
      <c r="H190" s="2">
        <f>IF(COUNTIF('Raw Data'!$A$2:$A$417,F190)=1,0,1)</f>
        <v>0</v>
      </c>
    </row>
    <row r="191" spans="6:8">
      <c r="F191" s="2" t="s">
        <v>592</v>
      </c>
      <c r="G191" s="2">
        <f>IF(COUNTIF('Script List'!$A$2:$A$161,'Raw Data'!B191)=1,0,1)</f>
        <v>0</v>
      </c>
      <c r="H191" s="2">
        <f>IF(COUNTIF('Raw Data'!$A$2:$A$417,F191)=1,0,1)</f>
        <v>0</v>
      </c>
    </row>
    <row r="192" spans="6:8">
      <c r="F192" s="2" t="s">
        <v>593</v>
      </c>
      <c r="G192" s="2">
        <f>IF(COUNTIF('Script List'!$A$2:$A$161,'Raw Data'!B192)=1,0,1)</f>
        <v>0</v>
      </c>
      <c r="H192" s="2">
        <f>IF(COUNTIF('Raw Data'!$A$2:$A$417,F192)=1,0,1)</f>
        <v>0</v>
      </c>
    </row>
    <row r="193" spans="6:8">
      <c r="F193" s="2" t="s">
        <v>594</v>
      </c>
      <c r="G193" s="2">
        <f>IF(COUNTIF('Script List'!$A$2:$A$161,'Raw Data'!B193)=1,0,1)</f>
        <v>0</v>
      </c>
      <c r="H193" s="2">
        <f>IF(COUNTIF('Raw Data'!$A$2:$A$417,F193)=1,0,1)</f>
        <v>0</v>
      </c>
    </row>
    <row r="194" spans="6:8">
      <c r="F194" s="2" t="s">
        <v>595</v>
      </c>
      <c r="G194" s="2">
        <f>IF(COUNTIF('Script List'!$A$2:$A$161,'Raw Data'!B194)=1,0,1)</f>
        <v>0</v>
      </c>
      <c r="H194" s="2">
        <f>IF(COUNTIF('Raw Data'!$A$2:$A$417,F194)=1,0,1)</f>
        <v>0</v>
      </c>
    </row>
    <row r="195" spans="6:8">
      <c r="F195" s="2" t="s">
        <v>596</v>
      </c>
      <c r="G195" s="2">
        <f>IF(COUNTIF('Script List'!$A$2:$A$161,'Raw Data'!B195)=1,0,1)</f>
        <v>0</v>
      </c>
      <c r="H195" s="2">
        <f>IF(COUNTIF('Raw Data'!$A$2:$A$417,F195)=1,0,1)</f>
        <v>0</v>
      </c>
    </row>
    <row r="196" spans="6:8">
      <c r="F196" s="2" t="s">
        <v>597</v>
      </c>
      <c r="G196" s="2">
        <f>IF(COUNTIF('Script List'!$A$2:$A$161,'Raw Data'!B196)=1,0,1)</f>
        <v>0</v>
      </c>
      <c r="H196" s="2">
        <f>IF(COUNTIF('Raw Data'!$A$2:$A$417,F196)=1,0,1)</f>
        <v>0</v>
      </c>
    </row>
    <row r="197" spans="6:8">
      <c r="F197" s="2" t="s">
        <v>598</v>
      </c>
      <c r="G197" s="2">
        <f>IF(COUNTIF('Script List'!$A$2:$A$161,'Raw Data'!B197)=1,0,1)</f>
        <v>0</v>
      </c>
      <c r="H197" s="2">
        <f>IF(COUNTIF('Raw Data'!$A$2:$A$417,F197)=1,0,1)</f>
        <v>0</v>
      </c>
    </row>
    <row r="198" spans="6:8">
      <c r="F198" s="2" t="s">
        <v>599</v>
      </c>
      <c r="G198" s="2">
        <f>IF(COUNTIF('Script List'!$A$2:$A$161,'Raw Data'!B198)=1,0,1)</f>
        <v>0</v>
      </c>
      <c r="H198" s="2">
        <f>IF(COUNTIF('Raw Data'!$A$2:$A$417,F198)=1,0,1)</f>
        <v>0</v>
      </c>
    </row>
    <row r="199" spans="6:8">
      <c r="F199" s="2" t="s">
        <v>600</v>
      </c>
      <c r="G199" s="2">
        <f>IF(COUNTIF('Script List'!$A$2:$A$161,'Raw Data'!B199)=1,0,1)</f>
        <v>0</v>
      </c>
      <c r="H199" s="2">
        <f>IF(COUNTIF('Raw Data'!$A$2:$A$417,F199)=1,0,1)</f>
        <v>0</v>
      </c>
    </row>
    <row r="200" spans="6:8">
      <c r="F200" s="2" t="s">
        <v>601</v>
      </c>
      <c r="G200" s="2">
        <f>IF(COUNTIF('Script List'!$A$2:$A$161,'Raw Data'!B200)=1,0,1)</f>
        <v>0</v>
      </c>
      <c r="H200" s="2">
        <f>IF(COUNTIF('Raw Data'!$A$2:$A$417,F200)=1,0,1)</f>
        <v>0</v>
      </c>
    </row>
    <row r="201" spans="6:8">
      <c r="F201" s="2" t="s">
        <v>602</v>
      </c>
      <c r="G201" s="2">
        <f>IF(COUNTIF('Script List'!$A$2:$A$161,'Raw Data'!B201)=1,0,1)</f>
        <v>0</v>
      </c>
      <c r="H201" s="2">
        <f>IF(COUNTIF('Raw Data'!$A$2:$A$417,F201)=1,0,1)</f>
        <v>0</v>
      </c>
    </row>
    <row r="202" spans="6:8">
      <c r="F202" s="2" t="s">
        <v>603</v>
      </c>
      <c r="G202" s="2">
        <f>IF(COUNTIF('Script List'!$A$2:$A$161,'Raw Data'!B202)=1,0,1)</f>
        <v>0</v>
      </c>
      <c r="H202" s="2">
        <f>IF(COUNTIF('Raw Data'!$A$2:$A$417,F202)=1,0,1)</f>
        <v>0</v>
      </c>
    </row>
    <row r="203" spans="6:8">
      <c r="F203" s="2" t="s">
        <v>604</v>
      </c>
      <c r="G203" s="2">
        <f>IF(COUNTIF('Script List'!$A$2:$A$161,'Raw Data'!B203)=1,0,1)</f>
        <v>0</v>
      </c>
      <c r="H203" s="2">
        <f>IF(COUNTIF('Raw Data'!$A$2:$A$417,F203)=1,0,1)</f>
        <v>0</v>
      </c>
    </row>
    <row r="204" spans="6:8">
      <c r="F204" s="2" t="s">
        <v>605</v>
      </c>
      <c r="G204" s="2">
        <f>IF(COUNTIF('Script List'!$A$2:$A$161,'Raw Data'!B204)=1,0,1)</f>
        <v>0</v>
      </c>
      <c r="H204" s="2">
        <f>IF(COUNTIF('Raw Data'!$A$2:$A$417,F204)=1,0,1)</f>
        <v>0</v>
      </c>
    </row>
    <row r="205" spans="6:8">
      <c r="F205" s="2" t="s">
        <v>606</v>
      </c>
      <c r="G205" s="2">
        <f>IF(COUNTIF('Script List'!$A$2:$A$161,'Raw Data'!B205)=1,0,1)</f>
        <v>0</v>
      </c>
      <c r="H205" s="2">
        <f>IF(COUNTIF('Raw Data'!$A$2:$A$417,F205)=1,0,1)</f>
        <v>0</v>
      </c>
    </row>
    <row r="206" spans="6:8">
      <c r="F206" s="2" t="s">
        <v>607</v>
      </c>
      <c r="G206" s="2">
        <f>IF(COUNTIF('Script List'!$A$2:$A$161,'Raw Data'!B206)=1,0,1)</f>
        <v>0</v>
      </c>
      <c r="H206" s="2">
        <f>IF(COUNTIF('Raw Data'!$A$2:$A$417,F206)=1,0,1)</f>
        <v>0</v>
      </c>
    </row>
    <row r="207" spans="6:8">
      <c r="F207" s="2" t="s">
        <v>608</v>
      </c>
      <c r="G207" s="2">
        <f>IF(COUNTIF('Script List'!$A$2:$A$161,'Raw Data'!B207)=1,0,1)</f>
        <v>0</v>
      </c>
      <c r="H207" s="2">
        <f>IF(COUNTIF('Raw Data'!$A$2:$A$417,F207)=1,0,1)</f>
        <v>0</v>
      </c>
    </row>
    <row r="208" spans="6:8">
      <c r="F208" s="2" t="s">
        <v>609</v>
      </c>
      <c r="G208" s="2">
        <f>IF(COUNTIF('Script List'!$A$2:$A$161,'Raw Data'!B208)=1,0,1)</f>
        <v>0</v>
      </c>
      <c r="H208" s="2">
        <f>IF(COUNTIF('Raw Data'!$A$2:$A$417,F208)=1,0,1)</f>
        <v>0</v>
      </c>
    </row>
    <row r="209" spans="6:8">
      <c r="F209" s="2" t="s">
        <v>610</v>
      </c>
      <c r="G209" s="2">
        <f>IF(COUNTIF('Script List'!$A$2:$A$161,'Raw Data'!B209)=1,0,1)</f>
        <v>0</v>
      </c>
      <c r="H209" s="2">
        <f>IF(COUNTIF('Raw Data'!$A$2:$A$417,F209)=1,0,1)</f>
        <v>0</v>
      </c>
    </row>
    <row r="210" spans="6:8">
      <c r="F210" s="2" t="s">
        <v>611</v>
      </c>
      <c r="G210" s="2">
        <f>IF(COUNTIF('Script List'!$A$2:$A$161,'Raw Data'!B210)=1,0,1)</f>
        <v>0</v>
      </c>
      <c r="H210" s="2">
        <f>IF(COUNTIF('Raw Data'!$A$2:$A$417,F210)=1,0,1)</f>
        <v>0</v>
      </c>
    </row>
    <row r="211" spans="6:8">
      <c r="F211" s="2" t="s">
        <v>612</v>
      </c>
      <c r="G211" s="2">
        <f>IF(COUNTIF('Script List'!$A$2:$A$161,'Raw Data'!B211)=1,0,1)</f>
        <v>0</v>
      </c>
      <c r="H211" s="2">
        <f>IF(COUNTIF('Raw Data'!$A$2:$A$417,F211)=1,0,1)</f>
        <v>0</v>
      </c>
    </row>
    <row r="212" spans="6:8">
      <c r="F212" s="2" t="s">
        <v>613</v>
      </c>
      <c r="G212" s="2">
        <f>IF(COUNTIF('Script List'!$A$2:$A$161,'Raw Data'!B212)=1,0,1)</f>
        <v>0</v>
      </c>
      <c r="H212" s="2">
        <f>IF(COUNTIF('Raw Data'!$A$2:$A$417,F212)=1,0,1)</f>
        <v>0</v>
      </c>
    </row>
    <row r="213" spans="6:8">
      <c r="F213" s="2" t="s">
        <v>614</v>
      </c>
      <c r="G213" s="2">
        <f>IF(COUNTIF('Script List'!$A$2:$A$161,'Raw Data'!B213)=1,0,1)</f>
        <v>0</v>
      </c>
      <c r="H213" s="2">
        <f>IF(COUNTIF('Raw Data'!$A$2:$A$417,F213)=1,0,1)</f>
        <v>0</v>
      </c>
    </row>
    <row r="214" spans="6:8">
      <c r="F214" s="2" t="s">
        <v>615</v>
      </c>
      <c r="G214" s="2">
        <f>IF(COUNTIF('Script List'!$A$2:$A$161,'Raw Data'!B214)=1,0,1)</f>
        <v>0</v>
      </c>
      <c r="H214" s="2">
        <f>IF(COUNTIF('Raw Data'!$A$2:$A$417,F214)=1,0,1)</f>
        <v>0</v>
      </c>
    </row>
    <row r="215" spans="6:8">
      <c r="F215" s="2" t="s">
        <v>616</v>
      </c>
      <c r="G215" s="2">
        <f>IF(COUNTIF('Script List'!$A$2:$A$161,'Raw Data'!B215)=1,0,1)</f>
        <v>0</v>
      </c>
      <c r="H215" s="2">
        <f>IF(COUNTIF('Raw Data'!$A$2:$A$417,F215)=1,0,1)</f>
        <v>0</v>
      </c>
    </row>
    <row r="216" spans="6:8">
      <c r="F216" s="2" t="s">
        <v>617</v>
      </c>
      <c r="G216" s="2">
        <f>IF(COUNTIF('Script List'!$A$2:$A$161,'Raw Data'!B216)=1,0,1)</f>
        <v>0</v>
      </c>
      <c r="H216" s="2">
        <f>IF(COUNTIF('Raw Data'!$A$2:$A$417,F216)=1,0,1)</f>
        <v>0</v>
      </c>
    </row>
    <row r="217" spans="6:8">
      <c r="F217" s="2" t="s">
        <v>618</v>
      </c>
      <c r="G217" s="2">
        <f>IF(COUNTIF('Script List'!$A$2:$A$161,'Raw Data'!B217)=1,0,1)</f>
        <v>0</v>
      </c>
      <c r="H217" s="2">
        <f>IF(COUNTIF('Raw Data'!$A$2:$A$417,F217)=1,0,1)</f>
        <v>0</v>
      </c>
    </row>
    <row r="218" spans="6:8">
      <c r="F218" s="2" t="s">
        <v>619</v>
      </c>
      <c r="G218" s="2">
        <f>IF(COUNTIF('Script List'!$A$2:$A$161,'Raw Data'!B218)=1,0,1)</f>
        <v>0</v>
      </c>
      <c r="H218" s="2">
        <f>IF(COUNTIF('Raw Data'!$A$2:$A$417,F218)=1,0,1)</f>
        <v>0</v>
      </c>
    </row>
    <row r="219" spans="6:8">
      <c r="F219" s="2" t="s">
        <v>620</v>
      </c>
      <c r="G219" s="2">
        <f>IF(COUNTIF('Script List'!$A$2:$A$161,'Raw Data'!B219)=1,0,1)</f>
        <v>0</v>
      </c>
      <c r="H219" s="2">
        <f>IF(COUNTIF('Raw Data'!$A$2:$A$417,F219)=1,0,1)</f>
        <v>0</v>
      </c>
    </row>
    <row r="220" spans="6:8">
      <c r="F220" s="2" t="s">
        <v>621</v>
      </c>
      <c r="G220" s="2">
        <f>IF(COUNTIF('Script List'!$A$2:$A$161,'Raw Data'!B220)=1,0,1)</f>
        <v>0</v>
      </c>
      <c r="H220" s="2">
        <f>IF(COUNTIF('Raw Data'!$A$2:$A$417,F220)=1,0,1)</f>
        <v>0</v>
      </c>
    </row>
    <row r="221" spans="6:8">
      <c r="F221" s="2" t="s">
        <v>622</v>
      </c>
      <c r="G221" s="2">
        <f>IF(COUNTIF('Script List'!$A$2:$A$161,'Raw Data'!B221)=1,0,1)</f>
        <v>0</v>
      </c>
      <c r="H221" s="2">
        <f>IF(COUNTIF('Raw Data'!$A$2:$A$417,F221)=1,0,1)</f>
        <v>0</v>
      </c>
    </row>
    <row r="222" spans="6:8">
      <c r="F222" s="2" t="s">
        <v>623</v>
      </c>
      <c r="G222" s="2">
        <f>IF(COUNTIF('Script List'!$A$2:$A$161,'Raw Data'!B222)=1,0,1)</f>
        <v>0</v>
      </c>
      <c r="H222" s="2">
        <f>IF(COUNTIF('Raw Data'!$A$2:$A$417,F222)=1,0,1)</f>
        <v>0</v>
      </c>
    </row>
    <row r="223" spans="6:8">
      <c r="F223" s="2" t="s">
        <v>624</v>
      </c>
      <c r="G223" s="2">
        <f>IF(COUNTIF('Script List'!$A$2:$A$161,'Raw Data'!B223)=1,0,1)</f>
        <v>0</v>
      </c>
      <c r="H223" s="2">
        <f>IF(COUNTIF('Raw Data'!$A$2:$A$417,F223)=1,0,1)</f>
        <v>0</v>
      </c>
    </row>
    <row r="224" spans="6:8">
      <c r="F224" s="2" t="s">
        <v>625</v>
      </c>
      <c r="G224" s="2">
        <f>IF(COUNTIF('Script List'!$A$2:$A$161,'Raw Data'!B224)=1,0,1)</f>
        <v>0</v>
      </c>
      <c r="H224" s="2">
        <f>IF(COUNTIF('Raw Data'!$A$2:$A$417,F224)=1,0,1)</f>
        <v>0</v>
      </c>
    </row>
    <row r="225" spans="6:8">
      <c r="F225" s="2" t="s">
        <v>626</v>
      </c>
      <c r="G225" s="2">
        <f>IF(COUNTIF('Script List'!$A$2:$A$161,'Raw Data'!B225)=1,0,1)</f>
        <v>0</v>
      </c>
      <c r="H225" s="2">
        <f>IF(COUNTIF('Raw Data'!$A$2:$A$417,F225)=1,0,1)</f>
        <v>0</v>
      </c>
    </row>
    <row r="226" spans="6:8">
      <c r="F226" s="2" t="s">
        <v>627</v>
      </c>
      <c r="G226" s="2">
        <f>IF(COUNTIF('Script List'!$A$2:$A$161,'Raw Data'!B226)=1,0,1)</f>
        <v>0</v>
      </c>
      <c r="H226" s="2">
        <f>IF(COUNTIF('Raw Data'!$A$2:$A$417,F226)=1,0,1)</f>
        <v>0</v>
      </c>
    </row>
    <row r="227" spans="6:8">
      <c r="F227" s="2" t="s">
        <v>628</v>
      </c>
      <c r="G227" s="2">
        <f>IF(COUNTIF('Script List'!$A$2:$A$161,'Raw Data'!B227)=1,0,1)</f>
        <v>0</v>
      </c>
      <c r="H227" s="2">
        <f>IF(COUNTIF('Raw Data'!$A$2:$A$417,F227)=1,0,1)</f>
        <v>0</v>
      </c>
    </row>
    <row r="228" spans="6:8">
      <c r="F228" s="2" t="s">
        <v>629</v>
      </c>
      <c r="G228" s="2">
        <f>IF(COUNTIF('Script List'!$A$2:$A$161,'Raw Data'!B228)=1,0,1)</f>
        <v>0</v>
      </c>
      <c r="H228" s="2">
        <f>IF(COUNTIF('Raw Data'!$A$2:$A$417,F228)=1,0,1)</f>
        <v>0</v>
      </c>
    </row>
    <row r="229" spans="6:8">
      <c r="F229" s="2" t="s">
        <v>630</v>
      </c>
      <c r="G229" s="2">
        <f>IF(COUNTIF('Script List'!$A$2:$A$161,'Raw Data'!B229)=1,0,1)</f>
        <v>0</v>
      </c>
      <c r="H229" s="2">
        <f>IF(COUNTIF('Raw Data'!$A$2:$A$417,F229)=1,0,1)</f>
        <v>0</v>
      </c>
    </row>
    <row r="230" spans="6:8">
      <c r="F230" s="2" t="s">
        <v>631</v>
      </c>
      <c r="G230" s="2">
        <f>IF(COUNTIF('Script List'!$A$2:$A$161,'Raw Data'!B230)=1,0,1)</f>
        <v>0</v>
      </c>
      <c r="H230" s="2">
        <f>IF(COUNTIF('Raw Data'!$A$2:$A$417,F230)=1,0,1)</f>
        <v>0</v>
      </c>
    </row>
    <row r="231" spans="6:8">
      <c r="F231" s="2" t="s">
        <v>632</v>
      </c>
      <c r="G231" s="2">
        <f>IF(COUNTIF('Script List'!$A$2:$A$161,'Raw Data'!B231)=1,0,1)</f>
        <v>0</v>
      </c>
      <c r="H231" s="2">
        <f>IF(COUNTIF('Raw Data'!$A$2:$A$417,F231)=1,0,1)</f>
        <v>0</v>
      </c>
    </row>
    <row r="232" spans="6:8">
      <c r="F232" s="2" t="s">
        <v>633</v>
      </c>
      <c r="G232" s="2">
        <f>IF(COUNTIF('Script List'!$A$2:$A$161,'Raw Data'!B232)=1,0,1)</f>
        <v>0</v>
      </c>
      <c r="H232" s="2">
        <f>IF(COUNTIF('Raw Data'!$A$2:$A$417,F232)=1,0,1)</f>
        <v>0</v>
      </c>
    </row>
    <row r="233" spans="6:8">
      <c r="F233" s="2" t="s">
        <v>634</v>
      </c>
      <c r="G233" s="2">
        <f>IF(COUNTIF('Script List'!$A$2:$A$161,'Raw Data'!B233)=1,0,1)</f>
        <v>0</v>
      </c>
      <c r="H233" s="2">
        <f>IF(COUNTIF('Raw Data'!$A$2:$A$417,F233)=1,0,1)</f>
        <v>0</v>
      </c>
    </row>
    <row r="234" spans="6:8">
      <c r="F234" s="2" t="s">
        <v>635</v>
      </c>
      <c r="G234" s="2">
        <f>IF(COUNTIF('Script List'!$A$2:$A$161,'Raw Data'!B234)=1,0,1)</f>
        <v>0</v>
      </c>
      <c r="H234" s="2">
        <f>IF(COUNTIF('Raw Data'!$A$2:$A$417,F234)=1,0,1)</f>
        <v>0</v>
      </c>
    </row>
    <row r="235" spans="6:8">
      <c r="F235" s="2" t="s">
        <v>636</v>
      </c>
      <c r="G235" s="2">
        <f>IF(COUNTIF('Script List'!$A$2:$A$161,'Raw Data'!B235)=1,0,1)</f>
        <v>0</v>
      </c>
      <c r="H235" s="2">
        <f>IF(COUNTIF('Raw Data'!$A$2:$A$417,F235)=1,0,1)</f>
        <v>0</v>
      </c>
    </row>
    <row r="236" spans="6:8">
      <c r="F236" s="2" t="s">
        <v>637</v>
      </c>
      <c r="G236" s="2">
        <f>IF(COUNTIF('Script List'!$A$2:$A$161,'Raw Data'!B236)=1,0,1)</f>
        <v>0</v>
      </c>
      <c r="H236" s="2">
        <f>IF(COUNTIF('Raw Data'!$A$2:$A$417,F236)=1,0,1)</f>
        <v>0</v>
      </c>
    </row>
    <row r="237" spans="6:8">
      <c r="F237" s="2" t="s">
        <v>638</v>
      </c>
      <c r="G237" s="2">
        <f>IF(COUNTIF('Script List'!$A$2:$A$161,'Raw Data'!B237)=1,0,1)</f>
        <v>0</v>
      </c>
      <c r="H237" s="2">
        <f>IF(COUNTIF('Raw Data'!$A$2:$A$417,F237)=1,0,1)</f>
        <v>0</v>
      </c>
    </row>
    <row r="238" spans="6:8">
      <c r="F238" s="2" t="s">
        <v>639</v>
      </c>
      <c r="G238" s="2">
        <f>IF(COUNTIF('Script List'!$A$2:$A$161,'Raw Data'!B238)=1,0,1)</f>
        <v>0</v>
      </c>
      <c r="H238" s="2">
        <f>IF(COUNTIF('Raw Data'!$A$2:$A$417,F238)=1,0,1)</f>
        <v>0</v>
      </c>
    </row>
    <row r="239" spans="6:8">
      <c r="F239" s="2" t="s">
        <v>640</v>
      </c>
      <c r="G239" s="2">
        <f>IF(COUNTIF('Script List'!$A$2:$A$161,'Raw Data'!B239)=1,0,1)</f>
        <v>0</v>
      </c>
      <c r="H239" s="2">
        <f>IF(COUNTIF('Raw Data'!$A$2:$A$417,F239)=1,0,1)</f>
        <v>0</v>
      </c>
    </row>
    <row r="240" spans="6:8">
      <c r="F240" s="2" t="s">
        <v>641</v>
      </c>
      <c r="G240" s="2">
        <f>IF(COUNTIF('Script List'!$A$2:$A$161,'Raw Data'!B240)=1,0,1)</f>
        <v>0</v>
      </c>
      <c r="H240" s="2">
        <f>IF(COUNTIF('Raw Data'!$A$2:$A$417,F240)=1,0,1)</f>
        <v>0</v>
      </c>
    </row>
    <row r="241" spans="6:8">
      <c r="F241" s="2" t="s">
        <v>642</v>
      </c>
      <c r="G241" s="2">
        <f>IF(COUNTIF('Script List'!$A$2:$A$161,'Raw Data'!B241)=1,0,1)</f>
        <v>0</v>
      </c>
      <c r="H241" s="2">
        <f>IF(COUNTIF('Raw Data'!$A$2:$A$417,F241)=1,0,1)</f>
        <v>0</v>
      </c>
    </row>
    <row r="242" spans="6:8">
      <c r="F242" s="2" t="s">
        <v>643</v>
      </c>
      <c r="G242" s="2">
        <f>IF(COUNTIF('Script List'!$A$2:$A$161,'Raw Data'!B242)=1,0,1)</f>
        <v>0</v>
      </c>
      <c r="H242" s="2">
        <f>IF(COUNTIF('Raw Data'!$A$2:$A$417,F242)=1,0,1)</f>
        <v>0</v>
      </c>
    </row>
    <row r="243" spans="6:8">
      <c r="F243" s="2" t="s">
        <v>644</v>
      </c>
      <c r="G243" s="2">
        <f>IF(COUNTIF('Script List'!$A$2:$A$161,'Raw Data'!B243)=1,0,1)</f>
        <v>0</v>
      </c>
      <c r="H243" s="2">
        <f>IF(COUNTIF('Raw Data'!$A$2:$A$417,F243)=1,0,1)</f>
        <v>0</v>
      </c>
    </row>
    <row r="244" spans="6:8">
      <c r="F244" s="2" t="s">
        <v>645</v>
      </c>
      <c r="G244" s="2">
        <f>IF(COUNTIF('Script List'!$A$2:$A$161,'Raw Data'!B244)=1,0,1)</f>
        <v>0</v>
      </c>
      <c r="H244" s="2">
        <f>IF(COUNTIF('Raw Data'!$A$2:$A$417,F244)=1,0,1)</f>
        <v>0</v>
      </c>
    </row>
    <row r="245" spans="6:8">
      <c r="F245" s="2" t="s">
        <v>646</v>
      </c>
      <c r="G245" s="2">
        <f>IF(COUNTIF('Script List'!$A$2:$A$161,'Raw Data'!B245)=1,0,1)</f>
        <v>0</v>
      </c>
      <c r="H245" s="2">
        <f>IF(COUNTIF('Raw Data'!$A$2:$A$417,F245)=1,0,1)</f>
        <v>0</v>
      </c>
    </row>
    <row r="246" spans="6:8">
      <c r="F246" s="2" t="s">
        <v>647</v>
      </c>
      <c r="G246" s="2">
        <f>IF(COUNTIF('Script List'!$A$2:$A$161,'Raw Data'!B246)=1,0,1)</f>
        <v>0</v>
      </c>
      <c r="H246" s="2">
        <f>IF(COUNTIF('Raw Data'!$A$2:$A$417,F246)=1,0,1)</f>
        <v>0</v>
      </c>
    </row>
    <row r="247" spans="6:8">
      <c r="F247" s="2" t="s">
        <v>648</v>
      </c>
      <c r="G247" s="2">
        <f>IF(COUNTIF('Script List'!$A$2:$A$161,'Raw Data'!B247)=1,0,1)</f>
        <v>0</v>
      </c>
      <c r="H247" s="2">
        <f>IF(COUNTIF('Raw Data'!$A$2:$A$417,F247)=1,0,1)</f>
        <v>0</v>
      </c>
    </row>
    <row r="248" spans="6:8">
      <c r="F248" s="2" t="s">
        <v>649</v>
      </c>
      <c r="G248" s="2">
        <f>IF(COUNTIF('Script List'!$A$2:$A$161,'Raw Data'!B248)=1,0,1)</f>
        <v>0</v>
      </c>
      <c r="H248" s="2">
        <f>IF(COUNTIF('Raw Data'!$A$2:$A$417,F248)=1,0,1)</f>
        <v>0</v>
      </c>
    </row>
    <row r="249" spans="6:8">
      <c r="F249" s="2" t="s">
        <v>650</v>
      </c>
      <c r="G249" s="2">
        <f>IF(COUNTIF('Script List'!$A$2:$A$161,'Raw Data'!B249)=1,0,1)</f>
        <v>0</v>
      </c>
      <c r="H249" s="2">
        <f>IF(COUNTIF('Raw Data'!$A$2:$A$417,F249)=1,0,1)</f>
        <v>0</v>
      </c>
    </row>
    <row r="250" spans="6:8">
      <c r="F250" s="2" t="s">
        <v>651</v>
      </c>
      <c r="G250" s="2">
        <f>IF(COUNTIF('Script List'!$A$2:$A$161,'Raw Data'!B250)=1,0,1)</f>
        <v>0</v>
      </c>
      <c r="H250" s="2">
        <f>IF(COUNTIF('Raw Data'!$A$2:$A$417,F250)=1,0,1)</f>
        <v>0</v>
      </c>
    </row>
    <row r="251" spans="6:8">
      <c r="F251" s="2" t="s">
        <v>652</v>
      </c>
      <c r="G251" s="2">
        <f>IF(COUNTIF('Script List'!$A$2:$A$161,'Raw Data'!B251)=1,0,1)</f>
        <v>0</v>
      </c>
      <c r="H251" s="2">
        <f>IF(COUNTIF('Raw Data'!$A$2:$A$417,F251)=1,0,1)</f>
        <v>0</v>
      </c>
    </row>
    <row r="252" spans="6:8">
      <c r="F252" s="2" t="s">
        <v>653</v>
      </c>
      <c r="G252" s="2">
        <f>IF(COUNTIF('Script List'!$A$2:$A$161,'Raw Data'!B252)=1,0,1)</f>
        <v>0</v>
      </c>
      <c r="H252" s="2">
        <f>IF(COUNTIF('Raw Data'!$A$2:$A$417,F252)=1,0,1)</f>
        <v>0</v>
      </c>
    </row>
    <row r="253" spans="6:8">
      <c r="F253" s="2" t="s">
        <v>654</v>
      </c>
      <c r="G253" s="2">
        <f>IF(COUNTIF('Script List'!$A$2:$A$161,'Raw Data'!B253)=1,0,1)</f>
        <v>0</v>
      </c>
      <c r="H253" s="2">
        <f>IF(COUNTIF('Raw Data'!$A$2:$A$417,F253)=1,0,1)</f>
        <v>0</v>
      </c>
    </row>
    <row r="254" spans="6:8">
      <c r="F254" s="2" t="s">
        <v>655</v>
      </c>
      <c r="G254" s="2">
        <f>IF(COUNTIF('Script List'!$A$2:$A$161,'Raw Data'!B254)=1,0,1)</f>
        <v>0</v>
      </c>
      <c r="H254" s="2">
        <f>IF(COUNTIF('Raw Data'!$A$2:$A$417,F254)=1,0,1)</f>
        <v>0</v>
      </c>
    </row>
    <row r="255" spans="6:8">
      <c r="F255" s="2" t="s">
        <v>656</v>
      </c>
      <c r="G255" s="2">
        <f>IF(COUNTIF('Script List'!$A$2:$A$161,'Raw Data'!B255)=1,0,1)</f>
        <v>0</v>
      </c>
      <c r="H255" s="2">
        <f>IF(COUNTIF('Raw Data'!$A$2:$A$417,F255)=1,0,1)</f>
        <v>0</v>
      </c>
    </row>
    <row r="256" spans="6:8">
      <c r="F256" s="2" t="s">
        <v>657</v>
      </c>
      <c r="G256" s="2">
        <f>IF(COUNTIF('Script List'!$A$2:$A$161,'Raw Data'!B256)=1,0,1)</f>
        <v>0</v>
      </c>
      <c r="H256" s="2">
        <f>IF(COUNTIF('Raw Data'!$A$2:$A$417,F256)=1,0,1)</f>
        <v>0</v>
      </c>
    </row>
    <row r="257" spans="6:8">
      <c r="F257" s="2" t="s">
        <v>658</v>
      </c>
      <c r="G257" s="2">
        <f>IF(COUNTIF('Script List'!$A$2:$A$161,'Raw Data'!B257)=1,0,1)</f>
        <v>0</v>
      </c>
      <c r="H257" s="2">
        <f>IF(COUNTIF('Raw Data'!$A$2:$A$417,F257)=1,0,1)</f>
        <v>0</v>
      </c>
    </row>
    <row r="258" spans="6:8">
      <c r="F258" s="2" t="s">
        <v>659</v>
      </c>
      <c r="G258" s="2">
        <f>IF(COUNTIF('Script List'!$A$2:$A$161,'Raw Data'!B258)=1,0,1)</f>
        <v>0</v>
      </c>
      <c r="H258" s="2">
        <f>IF(COUNTIF('Raw Data'!$A$2:$A$417,F258)=1,0,1)</f>
        <v>0</v>
      </c>
    </row>
    <row r="259" spans="6:8">
      <c r="F259" s="2" t="s">
        <v>660</v>
      </c>
      <c r="G259" s="2">
        <f>IF(COUNTIF('Script List'!$A$2:$A$161,'Raw Data'!B259)=1,0,1)</f>
        <v>0</v>
      </c>
      <c r="H259" s="2">
        <f>IF(COUNTIF('Raw Data'!$A$2:$A$417,F259)=1,0,1)</f>
        <v>0</v>
      </c>
    </row>
    <row r="260" spans="6:8">
      <c r="F260" s="2" t="s">
        <v>661</v>
      </c>
      <c r="G260" s="2">
        <f>IF(COUNTIF('Script List'!$A$2:$A$161,'Raw Data'!B260)=1,0,1)</f>
        <v>0</v>
      </c>
      <c r="H260" s="2">
        <f>IF(COUNTIF('Raw Data'!$A$2:$A$417,F260)=1,0,1)</f>
        <v>0</v>
      </c>
    </row>
    <row r="261" spans="6:8">
      <c r="F261" s="2" t="s">
        <v>662</v>
      </c>
      <c r="G261" s="2">
        <f>IF(COUNTIF('Script List'!$A$2:$A$161,'Raw Data'!B261)=1,0,1)</f>
        <v>0</v>
      </c>
      <c r="H261" s="2">
        <f>IF(COUNTIF('Raw Data'!$A$2:$A$417,F261)=1,0,1)</f>
        <v>0</v>
      </c>
    </row>
    <row r="262" spans="6:8">
      <c r="F262" s="2" t="s">
        <v>663</v>
      </c>
      <c r="G262" s="2">
        <f>IF(COUNTIF('Script List'!$A$2:$A$161,'Raw Data'!B262)=1,0,1)</f>
        <v>0</v>
      </c>
      <c r="H262" s="2">
        <f>IF(COUNTIF('Raw Data'!$A$2:$A$417,F262)=1,0,1)</f>
        <v>0</v>
      </c>
    </row>
    <row r="263" spans="6:8">
      <c r="F263" s="2" t="s">
        <v>664</v>
      </c>
      <c r="G263" s="2">
        <f>IF(COUNTIF('Script List'!$A$2:$A$161,'Raw Data'!B263)=1,0,1)</f>
        <v>0</v>
      </c>
      <c r="H263" s="2">
        <f>IF(COUNTIF('Raw Data'!$A$2:$A$417,F263)=1,0,1)</f>
        <v>0</v>
      </c>
    </row>
    <row r="264" spans="6:8">
      <c r="F264" s="2" t="s">
        <v>665</v>
      </c>
      <c r="G264" s="2">
        <f>IF(COUNTIF('Script List'!$A$2:$A$161,'Raw Data'!B264)=1,0,1)</f>
        <v>0</v>
      </c>
      <c r="H264" s="2">
        <f>IF(COUNTIF('Raw Data'!$A$2:$A$417,F264)=1,0,1)</f>
        <v>0</v>
      </c>
    </row>
    <row r="265" spans="6:8">
      <c r="F265" s="2" t="s">
        <v>666</v>
      </c>
      <c r="G265" s="2">
        <f>IF(COUNTIF('Script List'!$A$2:$A$161,'Raw Data'!B265)=1,0,1)</f>
        <v>0</v>
      </c>
      <c r="H265" s="2">
        <f>IF(COUNTIF('Raw Data'!$A$2:$A$417,F265)=1,0,1)</f>
        <v>0</v>
      </c>
    </row>
    <row r="266" spans="6:8">
      <c r="F266" s="2" t="s">
        <v>667</v>
      </c>
      <c r="G266" s="2">
        <f>IF(COUNTIF('Script List'!$A$2:$A$161,'Raw Data'!B266)=1,0,1)</f>
        <v>0</v>
      </c>
      <c r="H266" s="2">
        <f>IF(COUNTIF('Raw Data'!$A$2:$A$417,F266)=1,0,1)</f>
        <v>0</v>
      </c>
    </row>
    <row r="267" spans="6:8">
      <c r="F267" s="2" t="s">
        <v>668</v>
      </c>
      <c r="G267" s="2">
        <f>IF(COUNTIF('Script List'!$A$2:$A$161,'Raw Data'!B267)=1,0,1)</f>
        <v>0</v>
      </c>
      <c r="H267" s="2">
        <f>IF(COUNTIF('Raw Data'!$A$2:$A$417,F267)=1,0,1)</f>
        <v>0</v>
      </c>
    </row>
    <row r="268" spans="6:8">
      <c r="F268" s="2" t="s">
        <v>669</v>
      </c>
      <c r="G268" s="2">
        <f>IF(COUNTIF('Script List'!$A$2:$A$161,'Raw Data'!B268)=1,0,1)</f>
        <v>0</v>
      </c>
      <c r="H268" s="2">
        <f>IF(COUNTIF('Raw Data'!$A$2:$A$417,F268)=1,0,1)</f>
        <v>0</v>
      </c>
    </row>
    <row r="269" spans="6:8">
      <c r="F269" s="2" t="s">
        <v>670</v>
      </c>
      <c r="G269" s="2">
        <f>IF(COUNTIF('Script List'!$A$2:$A$161,'Raw Data'!B269)=1,0,1)</f>
        <v>0</v>
      </c>
      <c r="H269" s="2">
        <f>IF(COUNTIF('Raw Data'!$A$2:$A$417,F269)=1,0,1)</f>
        <v>0</v>
      </c>
    </row>
    <row r="270" spans="6:8">
      <c r="F270" s="2" t="s">
        <v>671</v>
      </c>
      <c r="G270" s="2">
        <f>IF(COUNTIF('Script List'!$A$2:$A$161,'Raw Data'!B270)=1,0,1)</f>
        <v>0</v>
      </c>
      <c r="H270" s="2">
        <f>IF(COUNTIF('Raw Data'!$A$2:$A$417,F270)=1,0,1)</f>
        <v>0</v>
      </c>
    </row>
    <row r="271" spans="6:8">
      <c r="F271" s="2" t="s">
        <v>672</v>
      </c>
      <c r="G271" s="2">
        <f>IF(COUNTIF('Script List'!$A$2:$A$161,'Raw Data'!B271)=1,0,1)</f>
        <v>0</v>
      </c>
      <c r="H271" s="2">
        <f>IF(COUNTIF('Raw Data'!$A$2:$A$417,F271)=1,0,1)</f>
        <v>0</v>
      </c>
    </row>
    <row r="272" spans="6:8">
      <c r="F272" s="2" t="s">
        <v>673</v>
      </c>
      <c r="G272" s="2">
        <f>IF(COUNTIF('Script List'!$A$2:$A$161,'Raw Data'!B272)=1,0,1)</f>
        <v>0</v>
      </c>
      <c r="H272" s="2">
        <f>IF(COUNTIF('Raw Data'!$A$2:$A$417,F272)=1,0,1)</f>
        <v>0</v>
      </c>
    </row>
    <row r="273" spans="6:8">
      <c r="F273" s="2" t="s">
        <v>674</v>
      </c>
      <c r="G273" s="2">
        <f>IF(COUNTIF('Script List'!$A$2:$A$161,'Raw Data'!B273)=1,0,1)</f>
        <v>0</v>
      </c>
      <c r="H273" s="2">
        <f>IF(COUNTIF('Raw Data'!$A$2:$A$417,F273)=1,0,1)</f>
        <v>0</v>
      </c>
    </row>
    <row r="274" spans="6:8">
      <c r="F274" s="2" t="s">
        <v>675</v>
      </c>
      <c r="G274" s="2">
        <f>IF(COUNTIF('Script List'!$A$2:$A$161,'Raw Data'!B274)=1,0,1)</f>
        <v>0</v>
      </c>
      <c r="H274" s="2">
        <f>IF(COUNTIF('Raw Data'!$A$2:$A$417,F274)=1,0,1)</f>
        <v>0</v>
      </c>
    </row>
    <row r="275" spans="6:8">
      <c r="F275" s="2" t="s">
        <v>676</v>
      </c>
      <c r="G275" s="2">
        <f>IF(COUNTIF('Script List'!$A$2:$A$161,'Raw Data'!B275)=1,0,1)</f>
        <v>0</v>
      </c>
      <c r="H275" s="2">
        <f>IF(COUNTIF('Raw Data'!$A$2:$A$417,F275)=1,0,1)</f>
        <v>0</v>
      </c>
    </row>
    <row r="276" spans="6:8">
      <c r="F276" s="2" t="s">
        <v>677</v>
      </c>
      <c r="G276" s="2">
        <f>IF(COUNTIF('Script List'!$A$2:$A$161,'Raw Data'!B276)=1,0,1)</f>
        <v>0</v>
      </c>
      <c r="H276" s="2">
        <f>IF(COUNTIF('Raw Data'!$A$2:$A$417,F276)=1,0,1)</f>
        <v>0</v>
      </c>
    </row>
    <row r="277" spans="6:8">
      <c r="F277" s="2" t="s">
        <v>678</v>
      </c>
      <c r="G277" s="2">
        <f>IF(COUNTIF('Script List'!$A$2:$A$161,'Raw Data'!B277)=1,0,1)</f>
        <v>0</v>
      </c>
      <c r="H277" s="2">
        <f>IF(COUNTIF('Raw Data'!$A$2:$A$417,F277)=1,0,1)</f>
        <v>0</v>
      </c>
    </row>
    <row r="278" spans="6:8">
      <c r="F278" s="2" t="s">
        <v>679</v>
      </c>
      <c r="G278" s="2">
        <f>IF(COUNTIF('Script List'!$A$2:$A$161,'Raw Data'!B278)=1,0,1)</f>
        <v>0</v>
      </c>
      <c r="H278" s="2">
        <f>IF(COUNTIF('Raw Data'!$A$2:$A$417,F278)=1,0,1)</f>
        <v>0</v>
      </c>
    </row>
    <row r="279" spans="6:8">
      <c r="F279" s="2" t="s">
        <v>680</v>
      </c>
      <c r="G279" s="2">
        <f>IF(COUNTIF('Script List'!$A$2:$A$161,'Raw Data'!B279)=1,0,1)</f>
        <v>0</v>
      </c>
      <c r="H279" s="2">
        <f>IF(COUNTIF('Raw Data'!$A$2:$A$417,F279)=1,0,1)</f>
        <v>0</v>
      </c>
    </row>
    <row r="280" spans="6:8">
      <c r="F280" s="2" t="s">
        <v>681</v>
      </c>
      <c r="G280" s="2">
        <f>IF(COUNTIF('Script List'!$A$2:$A$161,'Raw Data'!B280)=1,0,1)</f>
        <v>0</v>
      </c>
      <c r="H280" s="2">
        <f>IF(COUNTIF('Raw Data'!$A$2:$A$417,F280)=1,0,1)</f>
        <v>0</v>
      </c>
    </row>
    <row r="281" spans="6:8">
      <c r="F281" s="2" t="s">
        <v>682</v>
      </c>
      <c r="G281" s="2">
        <f>IF(COUNTIF('Script List'!$A$2:$A$161,'Raw Data'!B281)=1,0,1)</f>
        <v>0</v>
      </c>
      <c r="H281" s="2">
        <f>IF(COUNTIF('Raw Data'!$A$2:$A$417,F281)=1,0,1)</f>
        <v>0</v>
      </c>
    </row>
    <row r="282" spans="6:8">
      <c r="F282" s="2" t="s">
        <v>683</v>
      </c>
      <c r="G282" s="2">
        <f>IF(COUNTIF('Script List'!$A$2:$A$161,'Raw Data'!B282)=1,0,1)</f>
        <v>0</v>
      </c>
      <c r="H282" s="2">
        <f>IF(COUNTIF('Raw Data'!$A$2:$A$417,F282)=1,0,1)</f>
        <v>0</v>
      </c>
    </row>
    <row r="283" spans="6:8">
      <c r="F283" s="2" t="s">
        <v>684</v>
      </c>
      <c r="G283" s="2">
        <f>IF(COUNTIF('Script List'!$A$2:$A$161,'Raw Data'!B283)=1,0,1)</f>
        <v>0</v>
      </c>
      <c r="H283" s="2">
        <f>IF(COUNTIF('Raw Data'!$A$2:$A$417,F283)=1,0,1)</f>
        <v>0</v>
      </c>
    </row>
    <row r="284" spans="6:8">
      <c r="F284" s="2" t="s">
        <v>685</v>
      </c>
      <c r="G284" s="2">
        <f>IF(COUNTIF('Script List'!$A$2:$A$161,'Raw Data'!B284)=1,0,1)</f>
        <v>0</v>
      </c>
      <c r="H284" s="2">
        <f>IF(COUNTIF('Raw Data'!$A$2:$A$417,F284)=1,0,1)</f>
        <v>0</v>
      </c>
    </row>
    <row r="285" spans="6:8">
      <c r="F285" s="2" t="s">
        <v>686</v>
      </c>
      <c r="G285" s="2">
        <f>IF(COUNTIF('Script List'!$A$2:$A$161,'Raw Data'!B285)=1,0,1)</f>
        <v>0</v>
      </c>
      <c r="H285" s="2">
        <f>IF(COUNTIF('Raw Data'!$A$2:$A$417,F285)=1,0,1)</f>
        <v>0</v>
      </c>
    </row>
    <row r="286" spans="6:8">
      <c r="F286" s="2" t="s">
        <v>687</v>
      </c>
      <c r="G286" s="2">
        <f>IF(COUNTIF('Script List'!$A$2:$A$161,'Raw Data'!B286)=1,0,1)</f>
        <v>0</v>
      </c>
      <c r="H286" s="2">
        <f>IF(COUNTIF('Raw Data'!$A$2:$A$417,F286)=1,0,1)</f>
        <v>0</v>
      </c>
    </row>
    <row r="287" spans="6:8">
      <c r="F287" s="2" t="s">
        <v>688</v>
      </c>
      <c r="G287" s="2">
        <f>IF(COUNTIF('Script List'!$A$2:$A$161,'Raw Data'!B287)=1,0,1)</f>
        <v>0</v>
      </c>
      <c r="H287" s="2">
        <f>IF(COUNTIF('Raw Data'!$A$2:$A$417,F287)=1,0,1)</f>
        <v>0</v>
      </c>
    </row>
    <row r="288" spans="6:8">
      <c r="F288" s="2" t="s">
        <v>689</v>
      </c>
      <c r="G288" s="2">
        <f>IF(COUNTIF('Script List'!$A$2:$A$161,'Raw Data'!B288)=1,0,1)</f>
        <v>0</v>
      </c>
      <c r="H288" s="2">
        <f>IF(COUNTIF('Raw Data'!$A$2:$A$417,F288)=1,0,1)</f>
        <v>0</v>
      </c>
    </row>
    <row r="289" spans="6:8">
      <c r="F289" s="2" t="s">
        <v>690</v>
      </c>
      <c r="G289" s="2">
        <f>IF(COUNTIF('Script List'!$A$2:$A$161,'Raw Data'!B289)=1,0,1)</f>
        <v>0</v>
      </c>
      <c r="H289" s="2">
        <f>IF(COUNTIF('Raw Data'!$A$2:$A$417,F289)=1,0,1)</f>
        <v>0</v>
      </c>
    </row>
    <row r="290" spans="6:8">
      <c r="F290" s="2" t="s">
        <v>691</v>
      </c>
      <c r="G290" s="2">
        <f>IF(COUNTIF('Script List'!$A$2:$A$161,'Raw Data'!B290)=1,0,1)</f>
        <v>0</v>
      </c>
      <c r="H290" s="2">
        <f>IF(COUNTIF('Raw Data'!$A$2:$A$417,F290)=1,0,1)</f>
        <v>0</v>
      </c>
    </row>
    <row r="291" spans="6:8">
      <c r="F291" s="2" t="s">
        <v>692</v>
      </c>
      <c r="G291" s="2">
        <f>IF(COUNTIF('Script List'!$A$2:$A$161,'Raw Data'!B291)=1,0,1)</f>
        <v>0</v>
      </c>
      <c r="H291" s="2">
        <f>IF(COUNTIF('Raw Data'!$A$2:$A$417,F291)=1,0,1)</f>
        <v>0</v>
      </c>
    </row>
    <row r="292" spans="6:8">
      <c r="F292" s="2" t="s">
        <v>693</v>
      </c>
      <c r="G292" s="2">
        <f>IF(COUNTIF('Script List'!$A$2:$A$161,'Raw Data'!B292)=1,0,1)</f>
        <v>0</v>
      </c>
      <c r="H292" s="2">
        <f>IF(COUNTIF('Raw Data'!$A$2:$A$417,F292)=1,0,1)</f>
        <v>0</v>
      </c>
    </row>
    <row r="293" spans="6:8">
      <c r="F293" s="2" t="s">
        <v>694</v>
      </c>
      <c r="G293" s="2">
        <f>IF(COUNTIF('Script List'!$A$2:$A$161,'Raw Data'!B293)=1,0,1)</f>
        <v>0</v>
      </c>
      <c r="H293" s="2">
        <f>IF(COUNTIF('Raw Data'!$A$2:$A$417,F293)=1,0,1)</f>
        <v>0</v>
      </c>
    </row>
    <row r="294" spans="6:8">
      <c r="F294" s="2" t="s">
        <v>695</v>
      </c>
      <c r="G294" s="2">
        <f>IF(COUNTIF('Script List'!$A$2:$A$161,'Raw Data'!B294)=1,0,1)</f>
        <v>0</v>
      </c>
      <c r="H294" s="2">
        <f>IF(COUNTIF('Raw Data'!$A$2:$A$417,F294)=1,0,1)</f>
        <v>0</v>
      </c>
    </row>
    <row r="295" spans="6:8">
      <c r="F295" s="2" t="s">
        <v>696</v>
      </c>
      <c r="G295" s="2">
        <f>IF(COUNTIF('Script List'!$A$2:$A$161,'Raw Data'!B295)=1,0,1)</f>
        <v>0</v>
      </c>
      <c r="H295" s="2">
        <f>IF(COUNTIF('Raw Data'!$A$2:$A$417,F295)=1,0,1)</f>
        <v>0</v>
      </c>
    </row>
    <row r="296" spans="6:8">
      <c r="F296" s="2" t="s">
        <v>697</v>
      </c>
      <c r="G296" s="2">
        <f>IF(COUNTIF('Script List'!$A$2:$A$161,'Raw Data'!B296)=1,0,1)</f>
        <v>0</v>
      </c>
      <c r="H296" s="2">
        <f>IF(COUNTIF('Raw Data'!$A$2:$A$417,F296)=1,0,1)</f>
        <v>0</v>
      </c>
    </row>
    <row r="297" spans="6:8">
      <c r="F297" s="2" t="s">
        <v>698</v>
      </c>
      <c r="G297" s="2">
        <f>IF(COUNTIF('Script List'!$A$2:$A$161,'Raw Data'!B297)=1,0,1)</f>
        <v>0</v>
      </c>
      <c r="H297" s="2">
        <f>IF(COUNTIF('Raw Data'!$A$2:$A$417,F297)=1,0,1)</f>
        <v>0</v>
      </c>
    </row>
    <row r="298" spans="6:8">
      <c r="F298" s="2" t="s">
        <v>699</v>
      </c>
      <c r="G298" s="2">
        <f>IF(COUNTIF('Script List'!$A$2:$A$161,'Raw Data'!B298)=1,0,1)</f>
        <v>0</v>
      </c>
      <c r="H298" s="2">
        <f>IF(COUNTIF('Raw Data'!$A$2:$A$417,F298)=1,0,1)</f>
        <v>0</v>
      </c>
    </row>
    <row r="299" spans="6:8">
      <c r="F299" s="2" t="s">
        <v>700</v>
      </c>
      <c r="G299" s="2">
        <f>IF(COUNTIF('Script List'!$A$2:$A$161,'Raw Data'!B299)=1,0,1)</f>
        <v>0</v>
      </c>
      <c r="H299" s="2">
        <f>IF(COUNTIF('Raw Data'!$A$2:$A$417,F299)=1,0,1)</f>
        <v>0</v>
      </c>
    </row>
    <row r="300" spans="6:8">
      <c r="F300" s="2" t="s">
        <v>701</v>
      </c>
      <c r="G300" s="2">
        <f>IF(COUNTIF('Script List'!$A$2:$A$161,'Raw Data'!B300)=1,0,1)</f>
        <v>0</v>
      </c>
      <c r="H300" s="2">
        <f>IF(COUNTIF('Raw Data'!$A$2:$A$417,F300)=1,0,1)</f>
        <v>0</v>
      </c>
    </row>
    <row r="301" spans="6:8">
      <c r="F301" s="2" t="s">
        <v>702</v>
      </c>
      <c r="G301" s="2">
        <f>IF(COUNTIF('Script List'!$A$2:$A$161,'Raw Data'!B301)=1,0,1)</f>
        <v>0</v>
      </c>
      <c r="H301" s="2">
        <f>IF(COUNTIF('Raw Data'!$A$2:$A$417,F301)=1,0,1)</f>
        <v>0</v>
      </c>
    </row>
    <row r="302" spans="6:8">
      <c r="F302" s="2" t="s">
        <v>703</v>
      </c>
      <c r="G302" s="2">
        <f>IF(COUNTIF('Script List'!$A$2:$A$161,'Raw Data'!B302)=1,0,1)</f>
        <v>0</v>
      </c>
      <c r="H302" s="2">
        <f>IF(COUNTIF('Raw Data'!$A$2:$A$417,F302)=1,0,1)</f>
        <v>0</v>
      </c>
    </row>
    <row r="303" spans="6:8">
      <c r="F303" s="2" t="s">
        <v>704</v>
      </c>
      <c r="G303" s="2">
        <f>IF(COUNTIF('Script List'!$A$2:$A$161,'Raw Data'!B303)=1,0,1)</f>
        <v>0</v>
      </c>
      <c r="H303" s="2">
        <f>IF(COUNTIF('Raw Data'!$A$2:$A$417,F303)=1,0,1)</f>
        <v>0</v>
      </c>
    </row>
    <row r="304" spans="6:8">
      <c r="F304" s="2" t="s">
        <v>705</v>
      </c>
      <c r="G304" s="2">
        <f>IF(COUNTIF('Script List'!$A$2:$A$161,'Raw Data'!B304)=1,0,1)</f>
        <v>0</v>
      </c>
      <c r="H304" s="2">
        <f>IF(COUNTIF('Raw Data'!$A$2:$A$417,F304)=1,0,1)</f>
        <v>0</v>
      </c>
    </row>
    <row r="305" spans="6:8">
      <c r="F305" s="2" t="s">
        <v>706</v>
      </c>
      <c r="G305" s="2">
        <f>IF(COUNTIF('Script List'!$A$2:$A$161,'Raw Data'!B305)=1,0,1)</f>
        <v>0</v>
      </c>
      <c r="H305" s="2">
        <f>IF(COUNTIF('Raw Data'!$A$2:$A$417,F305)=1,0,1)</f>
        <v>0</v>
      </c>
    </row>
    <row r="306" spans="6:8">
      <c r="F306" s="2" t="s">
        <v>707</v>
      </c>
      <c r="G306" s="2">
        <f>IF(COUNTIF('Script List'!$A$2:$A$161,'Raw Data'!B306)=1,0,1)</f>
        <v>0</v>
      </c>
      <c r="H306" s="2">
        <f>IF(COUNTIF('Raw Data'!$A$2:$A$417,F306)=1,0,1)</f>
        <v>0</v>
      </c>
    </row>
    <row r="307" spans="6:8">
      <c r="F307" s="2" t="s">
        <v>708</v>
      </c>
      <c r="G307" s="2">
        <f>IF(COUNTIF('Script List'!$A$2:$A$161,'Raw Data'!B307)=1,0,1)</f>
        <v>0</v>
      </c>
      <c r="H307" s="2">
        <f>IF(COUNTIF('Raw Data'!$A$2:$A$417,F307)=1,0,1)</f>
        <v>0</v>
      </c>
    </row>
    <row r="308" spans="6:8">
      <c r="F308" s="2" t="s">
        <v>709</v>
      </c>
      <c r="G308" s="2">
        <f>IF(COUNTIF('Script List'!$A$2:$A$161,'Raw Data'!B308)=1,0,1)</f>
        <v>0</v>
      </c>
      <c r="H308" s="2">
        <f>IF(COUNTIF('Raw Data'!$A$2:$A$417,F308)=1,0,1)</f>
        <v>0</v>
      </c>
    </row>
    <row r="309" spans="6:8">
      <c r="F309" s="2" t="s">
        <v>710</v>
      </c>
      <c r="G309" s="2">
        <f>IF(COUNTIF('Script List'!$A$2:$A$161,'Raw Data'!B309)=1,0,1)</f>
        <v>0</v>
      </c>
      <c r="H309" s="2">
        <f>IF(COUNTIF('Raw Data'!$A$2:$A$417,F309)=1,0,1)</f>
        <v>0</v>
      </c>
    </row>
    <row r="310" spans="6:8">
      <c r="F310" s="2" t="s">
        <v>711</v>
      </c>
      <c r="G310" s="2">
        <f>IF(COUNTIF('Script List'!$A$2:$A$161,'Raw Data'!B310)=1,0,1)</f>
        <v>0</v>
      </c>
      <c r="H310" s="2">
        <f>IF(COUNTIF('Raw Data'!$A$2:$A$417,F310)=1,0,1)</f>
        <v>0</v>
      </c>
    </row>
    <row r="311" spans="6:8">
      <c r="F311" s="2" t="s">
        <v>712</v>
      </c>
      <c r="G311" s="2">
        <f>IF(COUNTIF('Script List'!$A$2:$A$161,'Raw Data'!B311)=1,0,1)</f>
        <v>0</v>
      </c>
      <c r="H311" s="2">
        <f>IF(COUNTIF('Raw Data'!$A$2:$A$417,F311)=1,0,1)</f>
        <v>0</v>
      </c>
    </row>
    <row r="312" spans="6:8">
      <c r="F312" s="2" t="s">
        <v>713</v>
      </c>
      <c r="G312" s="2">
        <f>IF(COUNTIF('Script List'!$A$2:$A$161,'Raw Data'!B312)=1,0,1)</f>
        <v>0</v>
      </c>
      <c r="H312" s="2">
        <f>IF(COUNTIF('Raw Data'!$A$2:$A$417,F312)=1,0,1)</f>
        <v>0</v>
      </c>
    </row>
    <row r="313" spans="6:8">
      <c r="F313" s="2" t="s">
        <v>714</v>
      </c>
      <c r="G313" s="2">
        <f>IF(COUNTIF('Script List'!$A$2:$A$161,'Raw Data'!B313)=1,0,1)</f>
        <v>0</v>
      </c>
      <c r="H313" s="2">
        <f>IF(COUNTIF('Raw Data'!$A$2:$A$417,F313)=1,0,1)</f>
        <v>0</v>
      </c>
    </row>
    <row r="314" spans="6:8">
      <c r="F314" s="2" t="s">
        <v>715</v>
      </c>
      <c r="G314" s="2">
        <f>IF(COUNTIF('Script List'!$A$2:$A$161,'Raw Data'!B314)=1,0,1)</f>
        <v>0</v>
      </c>
      <c r="H314" s="2">
        <f>IF(COUNTIF('Raw Data'!$A$2:$A$417,F314)=1,0,1)</f>
        <v>0</v>
      </c>
    </row>
    <row r="315" spans="6:8">
      <c r="F315" s="2" t="s">
        <v>716</v>
      </c>
      <c r="G315" s="2">
        <f>IF(COUNTIF('Script List'!$A$2:$A$161,'Raw Data'!B315)=1,0,1)</f>
        <v>0</v>
      </c>
      <c r="H315" s="2">
        <f>IF(COUNTIF('Raw Data'!$A$2:$A$417,F315)=1,0,1)</f>
        <v>0</v>
      </c>
    </row>
    <row r="316" spans="6:8">
      <c r="F316" s="2" t="s">
        <v>717</v>
      </c>
      <c r="G316" s="2">
        <f>IF(COUNTIF('Script List'!$A$2:$A$161,'Raw Data'!B316)=1,0,1)</f>
        <v>0</v>
      </c>
      <c r="H316" s="2">
        <f>IF(COUNTIF('Raw Data'!$A$2:$A$417,F316)=1,0,1)</f>
        <v>0</v>
      </c>
    </row>
    <row r="317" spans="6:8">
      <c r="F317" s="2" t="s">
        <v>718</v>
      </c>
      <c r="G317" s="2">
        <f>IF(COUNTIF('Script List'!$A$2:$A$161,'Raw Data'!B317)=1,0,1)</f>
        <v>0</v>
      </c>
      <c r="H317" s="2">
        <f>IF(COUNTIF('Raw Data'!$A$2:$A$417,F317)=1,0,1)</f>
        <v>0</v>
      </c>
    </row>
    <row r="318" spans="6:8">
      <c r="F318" s="2" t="s">
        <v>719</v>
      </c>
      <c r="G318" s="2">
        <f>IF(COUNTIF('Script List'!$A$2:$A$161,'Raw Data'!B318)=1,0,1)</f>
        <v>0</v>
      </c>
      <c r="H318" s="2">
        <f>IF(COUNTIF('Raw Data'!$A$2:$A$417,F318)=1,0,1)</f>
        <v>0</v>
      </c>
    </row>
    <row r="319" spans="6:8">
      <c r="F319" s="2" t="s">
        <v>720</v>
      </c>
      <c r="G319" s="2">
        <f>IF(COUNTIF('Script List'!$A$2:$A$161,'Raw Data'!B319)=1,0,1)</f>
        <v>0</v>
      </c>
      <c r="H319" s="2">
        <f>IF(COUNTIF('Raw Data'!$A$2:$A$417,F319)=1,0,1)</f>
        <v>0</v>
      </c>
    </row>
    <row r="320" spans="6:8">
      <c r="F320" s="2" t="s">
        <v>721</v>
      </c>
      <c r="G320" s="2">
        <f>IF(COUNTIF('Script List'!$A$2:$A$161,'Raw Data'!B320)=1,0,1)</f>
        <v>0</v>
      </c>
      <c r="H320" s="2">
        <f>IF(COUNTIF('Raw Data'!$A$2:$A$417,F320)=1,0,1)</f>
        <v>0</v>
      </c>
    </row>
    <row r="321" spans="6:8">
      <c r="F321" s="2" t="s">
        <v>722</v>
      </c>
      <c r="G321" s="2">
        <f>IF(COUNTIF('Script List'!$A$2:$A$161,'Raw Data'!B321)=1,0,1)</f>
        <v>0</v>
      </c>
      <c r="H321" s="2">
        <f>IF(COUNTIF('Raw Data'!$A$2:$A$417,F321)=1,0,1)</f>
        <v>0</v>
      </c>
    </row>
    <row r="322" spans="6:8">
      <c r="F322" s="2" t="s">
        <v>723</v>
      </c>
      <c r="G322" s="2">
        <f>IF(COUNTIF('Script List'!$A$2:$A$161,'Raw Data'!B322)=1,0,1)</f>
        <v>0</v>
      </c>
      <c r="H322" s="2">
        <f>IF(COUNTIF('Raw Data'!$A$2:$A$417,F322)=1,0,1)</f>
        <v>0</v>
      </c>
    </row>
    <row r="323" spans="6:8">
      <c r="F323" s="2" t="s">
        <v>724</v>
      </c>
      <c r="G323" s="2">
        <f>IF(COUNTIF('Script List'!$A$2:$A$161,'Raw Data'!B323)=1,0,1)</f>
        <v>0</v>
      </c>
      <c r="H323" s="2">
        <f>IF(COUNTIF('Raw Data'!$A$2:$A$417,F323)=1,0,1)</f>
        <v>0</v>
      </c>
    </row>
    <row r="324" spans="6:8">
      <c r="F324" s="2" t="s">
        <v>725</v>
      </c>
      <c r="G324" s="2">
        <f>IF(COUNTIF('Script List'!$A$2:$A$161,'Raw Data'!B324)=1,0,1)</f>
        <v>0</v>
      </c>
      <c r="H324" s="2">
        <f>IF(COUNTIF('Raw Data'!$A$2:$A$417,F324)=1,0,1)</f>
        <v>0</v>
      </c>
    </row>
    <row r="325" spans="6:8">
      <c r="F325" s="2" t="s">
        <v>726</v>
      </c>
      <c r="G325" s="2">
        <f>IF(COUNTIF('Script List'!$A$2:$A$161,'Raw Data'!B325)=1,0,1)</f>
        <v>0</v>
      </c>
      <c r="H325" s="2">
        <f>IF(COUNTIF('Raw Data'!$A$2:$A$417,F325)=1,0,1)</f>
        <v>0</v>
      </c>
    </row>
    <row r="326" spans="6:8">
      <c r="F326" s="2" t="s">
        <v>727</v>
      </c>
      <c r="G326" s="2">
        <f>IF(COUNTIF('Script List'!$A$2:$A$161,'Raw Data'!B326)=1,0,1)</f>
        <v>0</v>
      </c>
      <c r="H326" s="2">
        <f>IF(COUNTIF('Raw Data'!$A$2:$A$417,F326)=1,0,1)</f>
        <v>0</v>
      </c>
    </row>
    <row r="327" spans="6:8">
      <c r="F327" s="2" t="s">
        <v>728</v>
      </c>
      <c r="G327" s="2">
        <f>IF(COUNTIF('Script List'!$A$2:$A$161,'Raw Data'!B327)=1,0,1)</f>
        <v>0</v>
      </c>
      <c r="H327" s="2">
        <f>IF(COUNTIF('Raw Data'!$A$2:$A$417,F327)=1,0,1)</f>
        <v>0</v>
      </c>
    </row>
    <row r="328" spans="6:8">
      <c r="F328" s="2" t="s">
        <v>729</v>
      </c>
      <c r="G328" s="2">
        <f>IF(COUNTIF('Script List'!$A$2:$A$161,'Raw Data'!B328)=1,0,1)</f>
        <v>0</v>
      </c>
      <c r="H328" s="2">
        <f>IF(COUNTIF('Raw Data'!$A$2:$A$417,F328)=1,0,1)</f>
        <v>0</v>
      </c>
    </row>
    <row r="329" spans="6:8">
      <c r="F329" s="2" t="s">
        <v>730</v>
      </c>
      <c r="G329" s="2">
        <f>IF(COUNTIF('Script List'!$A$2:$A$161,'Raw Data'!B329)=1,0,1)</f>
        <v>0</v>
      </c>
      <c r="H329" s="2">
        <f>IF(COUNTIF('Raw Data'!$A$2:$A$417,F329)=1,0,1)</f>
        <v>0</v>
      </c>
    </row>
    <row r="330" spans="6:8">
      <c r="F330" s="2" t="s">
        <v>731</v>
      </c>
      <c r="G330" s="2">
        <f>IF(COUNTIF('Script List'!$A$2:$A$161,'Raw Data'!B330)=1,0,1)</f>
        <v>0</v>
      </c>
      <c r="H330" s="2">
        <f>IF(COUNTIF('Raw Data'!$A$2:$A$417,F330)=1,0,1)</f>
        <v>0</v>
      </c>
    </row>
    <row r="331" spans="6:8">
      <c r="F331" s="2" t="s">
        <v>732</v>
      </c>
      <c r="G331" s="2">
        <f>IF(COUNTIF('Script List'!$A$2:$A$161,'Raw Data'!B331)=1,0,1)</f>
        <v>0</v>
      </c>
      <c r="H331" s="2">
        <f>IF(COUNTIF('Raw Data'!$A$2:$A$417,F331)=1,0,1)</f>
        <v>0</v>
      </c>
    </row>
    <row r="332" spans="6:8">
      <c r="F332" s="2" t="s">
        <v>733</v>
      </c>
      <c r="G332" s="2">
        <f>IF(COUNTIF('Script List'!$A$2:$A$161,'Raw Data'!B332)=1,0,1)</f>
        <v>0</v>
      </c>
      <c r="H332" s="2">
        <f>IF(COUNTIF('Raw Data'!$A$2:$A$417,F332)=1,0,1)</f>
        <v>0</v>
      </c>
    </row>
    <row r="333" spans="6:8">
      <c r="F333" s="2" t="s">
        <v>734</v>
      </c>
      <c r="G333" s="2">
        <f>IF(COUNTIF('Script List'!$A$2:$A$161,'Raw Data'!B333)=1,0,1)</f>
        <v>0</v>
      </c>
      <c r="H333" s="2">
        <f>IF(COUNTIF('Raw Data'!$A$2:$A$417,F333)=1,0,1)</f>
        <v>0</v>
      </c>
    </row>
    <row r="334" spans="6:8">
      <c r="F334" s="2" t="s">
        <v>735</v>
      </c>
      <c r="G334" s="2">
        <f>IF(COUNTIF('Script List'!$A$2:$A$161,'Raw Data'!B334)=1,0,1)</f>
        <v>0</v>
      </c>
      <c r="H334" s="2">
        <f>IF(COUNTIF('Raw Data'!$A$2:$A$417,F334)=1,0,1)</f>
        <v>0</v>
      </c>
    </row>
    <row r="335" spans="6:8">
      <c r="F335" s="2" t="s">
        <v>736</v>
      </c>
      <c r="G335" s="2">
        <f>IF(COUNTIF('Script List'!$A$2:$A$161,'Raw Data'!B335)=1,0,1)</f>
        <v>0</v>
      </c>
      <c r="H335" s="2">
        <f>IF(COUNTIF('Raw Data'!$A$2:$A$417,F335)=1,0,1)</f>
        <v>0</v>
      </c>
    </row>
    <row r="336" spans="6:8">
      <c r="F336" s="2" t="s">
        <v>737</v>
      </c>
      <c r="G336" s="2">
        <f>IF(COUNTIF('Script List'!$A$2:$A$161,'Raw Data'!B336)=1,0,1)</f>
        <v>0</v>
      </c>
      <c r="H336" s="2">
        <f>IF(COUNTIF('Raw Data'!$A$2:$A$417,F336)=1,0,1)</f>
        <v>0</v>
      </c>
    </row>
    <row r="337" spans="6:8">
      <c r="F337" s="2" t="s">
        <v>738</v>
      </c>
      <c r="G337" s="2">
        <f>IF(COUNTIF('Script List'!$A$2:$A$161,'Raw Data'!B337)=1,0,1)</f>
        <v>0</v>
      </c>
      <c r="H337" s="2">
        <f>IF(COUNTIF('Raw Data'!$A$2:$A$417,F337)=1,0,1)</f>
        <v>0</v>
      </c>
    </row>
    <row r="338" spans="6:8">
      <c r="F338" s="2" t="s">
        <v>739</v>
      </c>
      <c r="G338" s="2">
        <f>IF(COUNTIF('Script List'!$A$2:$A$161,'Raw Data'!B338)=1,0,1)</f>
        <v>0</v>
      </c>
      <c r="H338" s="2">
        <f>IF(COUNTIF('Raw Data'!$A$2:$A$417,F338)=1,0,1)</f>
        <v>0</v>
      </c>
    </row>
    <row r="339" spans="6:8">
      <c r="F339" s="2" t="s">
        <v>740</v>
      </c>
      <c r="G339" s="2">
        <f>IF(COUNTIF('Script List'!$A$2:$A$161,'Raw Data'!B339)=1,0,1)</f>
        <v>0</v>
      </c>
      <c r="H339" s="2">
        <f>IF(COUNTIF('Raw Data'!$A$2:$A$417,F339)=1,0,1)</f>
        <v>0</v>
      </c>
    </row>
    <row r="340" spans="6:8">
      <c r="F340" s="2" t="s">
        <v>741</v>
      </c>
      <c r="G340" s="2">
        <f>IF(COUNTIF('Script List'!$A$2:$A$161,'Raw Data'!B340)=1,0,1)</f>
        <v>0</v>
      </c>
      <c r="H340" s="2">
        <f>IF(COUNTIF('Raw Data'!$A$2:$A$417,F340)=1,0,1)</f>
        <v>0</v>
      </c>
    </row>
    <row r="341" spans="6:8">
      <c r="F341" s="2" t="s">
        <v>742</v>
      </c>
      <c r="G341" s="2">
        <f>IF(COUNTIF('Script List'!$A$2:$A$161,'Raw Data'!B341)=1,0,1)</f>
        <v>0</v>
      </c>
      <c r="H341" s="2">
        <f>IF(COUNTIF('Raw Data'!$A$2:$A$417,F341)=1,0,1)</f>
        <v>0</v>
      </c>
    </row>
    <row r="342" spans="6:8">
      <c r="F342" s="2" t="s">
        <v>743</v>
      </c>
      <c r="G342" s="2">
        <f>IF(COUNTIF('Script List'!$A$2:$A$161,'Raw Data'!B342)=1,0,1)</f>
        <v>0</v>
      </c>
      <c r="H342" s="2">
        <f>IF(COUNTIF('Raw Data'!$A$2:$A$417,F342)=1,0,1)</f>
        <v>0</v>
      </c>
    </row>
    <row r="343" spans="6:8">
      <c r="F343" s="2" t="s">
        <v>744</v>
      </c>
      <c r="G343" s="2">
        <f>IF(COUNTIF('Script List'!$A$2:$A$161,'Raw Data'!B343)=1,0,1)</f>
        <v>0</v>
      </c>
      <c r="H343" s="2">
        <f>IF(COUNTIF('Raw Data'!$A$2:$A$417,F343)=1,0,1)</f>
        <v>0</v>
      </c>
    </row>
    <row r="344" spans="6:8">
      <c r="F344" s="2" t="s">
        <v>745</v>
      </c>
      <c r="G344" s="2">
        <f>IF(COUNTIF('Script List'!$A$2:$A$161,'Raw Data'!B344)=1,0,1)</f>
        <v>0</v>
      </c>
      <c r="H344" s="2">
        <f>IF(COUNTIF('Raw Data'!$A$2:$A$417,F344)=1,0,1)</f>
        <v>0</v>
      </c>
    </row>
    <row r="345" spans="6:8">
      <c r="F345" s="2" t="s">
        <v>746</v>
      </c>
      <c r="G345" s="2">
        <f>IF(COUNTIF('Script List'!$A$2:$A$161,'Raw Data'!B345)=1,0,1)</f>
        <v>0</v>
      </c>
      <c r="H345" s="2">
        <f>IF(COUNTIF('Raw Data'!$A$2:$A$417,F345)=1,0,1)</f>
        <v>0</v>
      </c>
    </row>
    <row r="346" spans="6:8">
      <c r="F346" s="2" t="s">
        <v>747</v>
      </c>
      <c r="G346" s="2">
        <f>IF(COUNTIF('Script List'!$A$2:$A$161,'Raw Data'!B346)=1,0,1)</f>
        <v>0</v>
      </c>
      <c r="H346" s="2">
        <f>IF(COUNTIF('Raw Data'!$A$2:$A$417,F346)=1,0,1)</f>
        <v>0</v>
      </c>
    </row>
    <row r="347" spans="6:8">
      <c r="F347" s="2" t="s">
        <v>748</v>
      </c>
      <c r="G347" s="2">
        <f>IF(COUNTIF('Script List'!$A$2:$A$161,'Raw Data'!B347)=1,0,1)</f>
        <v>0</v>
      </c>
      <c r="H347" s="2">
        <f>IF(COUNTIF('Raw Data'!$A$2:$A$417,F347)=1,0,1)</f>
        <v>0</v>
      </c>
    </row>
    <row r="348" spans="6:8">
      <c r="F348" s="2" t="s">
        <v>749</v>
      </c>
      <c r="G348" s="2">
        <f>IF(COUNTIF('Script List'!$A$2:$A$161,'Raw Data'!B348)=1,0,1)</f>
        <v>0</v>
      </c>
      <c r="H348" s="2">
        <f>IF(COUNTIF('Raw Data'!$A$2:$A$417,F348)=1,0,1)</f>
        <v>0</v>
      </c>
    </row>
    <row r="349" spans="6:8">
      <c r="F349" s="2" t="s">
        <v>750</v>
      </c>
      <c r="G349" s="2">
        <f>IF(COUNTIF('Script List'!$A$2:$A$161,'Raw Data'!B349)=1,0,1)</f>
        <v>0</v>
      </c>
      <c r="H349" s="2">
        <f>IF(COUNTIF('Raw Data'!$A$2:$A$417,F349)=1,0,1)</f>
        <v>0</v>
      </c>
    </row>
    <row r="350" spans="6:8">
      <c r="F350" s="2" t="s">
        <v>751</v>
      </c>
      <c r="G350" s="2">
        <f>IF(COUNTIF('Script List'!$A$2:$A$161,'Raw Data'!B350)=1,0,1)</f>
        <v>0</v>
      </c>
      <c r="H350" s="2">
        <f>IF(COUNTIF('Raw Data'!$A$2:$A$417,F350)=1,0,1)</f>
        <v>0</v>
      </c>
    </row>
    <row r="351" spans="6:8">
      <c r="F351" s="2" t="s">
        <v>752</v>
      </c>
      <c r="G351" s="2">
        <f>IF(COUNTIF('Script List'!$A$2:$A$161,'Raw Data'!B351)=1,0,1)</f>
        <v>0</v>
      </c>
      <c r="H351" s="2">
        <f>IF(COUNTIF('Raw Data'!$A$2:$A$417,F351)=1,0,1)</f>
        <v>0</v>
      </c>
    </row>
    <row r="352" spans="6:8">
      <c r="F352" s="2" t="s">
        <v>753</v>
      </c>
      <c r="G352" s="2">
        <f>IF(COUNTIF('Script List'!$A$2:$A$161,'Raw Data'!B352)=1,0,1)</f>
        <v>0</v>
      </c>
      <c r="H352" s="2">
        <f>IF(COUNTIF('Raw Data'!$A$2:$A$417,F352)=1,0,1)</f>
        <v>0</v>
      </c>
    </row>
    <row r="353" spans="6:8">
      <c r="F353" s="2" t="s">
        <v>754</v>
      </c>
      <c r="G353" s="2">
        <f>IF(COUNTIF('Script List'!$A$2:$A$161,'Raw Data'!B353)=1,0,1)</f>
        <v>0</v>
      </c>
      <c r="H353" s="2">
        <f>IF(COUNTIF('Raw Data'!$A$2:$A$417,F353)=1,0,1)</f>
        <v>0</v>
      </c>
    </row>
    <row r="354" spans="6:8">
      <c r="F354" s="2" t="s">
        <v>755</v>
      </c>
      <c r="G354" s="2">
        <f>IF(COUNTIF('Script List'!$A$2:$A$161,'Raw Data'!B354)=1,0,1)</f>
        <v>0</v>
      </c>
      <c r="H354" s="2">
        <f>IF(COUNTIF('Raw Data'!$A$2:$A$417,F354)=1,0,1)</f>
        <v>0</v>
      </c>
    </row>
    <row r="355" spans="6:8">
      <c r="F355" s="2" t="s">
        <v>756</v>
      </c>
      <c r="G355" s="2">
        <f>IF(COUNTIF('Script List'!$A$2:$A$161,'Raw Data'!B355)=1,0,1)</f>
        <v>0</v>
      </c>
      <c r="H355" s="2">
        <f>IF(COUNTIF('Raw Data'!$A$2:$A$417,F355)=1,0,1)</f>
        <v>0</v>
      </c>
    </row>
    <row r="356" spans="6:8">
      <c r="F356" s="2" t="s">
        <v>757</v>
      </c>
      <c r="G356" s="2">
        <f>IF(COUNTIF('Script List'!$A$2:$A$161,'Raw Data'!B356)=1,0,1)</f>
        <v>0</v>
      </c>
      <c r="H356" s="2">
        <f>IF(COUNTIF('Raw Data'!$A$2:$A$417,F356)=1,0,1)</f>
        <v>0</v>
      </c>
    </row>
    <row r="357" spans="6:8">
      <c r="F357" s="2" t="s">
        <v>758</v>
      </c>
      <c r="G357" s="2">
        <f>IF(COUNTIF('Script List'!$A$2:$A$161,'Raw Data'!B357)=1,0,1)</f>
        <v>0</v>
      </c>
      <c r="H357" s="2">
        <f>IF(COUNTIF('Raw Data'!$A$2:$A$417,F357)=1,0,1)</f>
        <v>0</v>
      </c>
    </row>
    <row r="358" spans="6:8">
      <c r="F358" s="2" t="s">
        <v>759</v>
      </c>
      <c r="G358" s="2">
        <f>IF(COUNTIF('Script List'!$A$2:$A$161,'Raw Data'!B358)=1,0,1)</f>
        <v>0</v>
      </c>
      <c r="H358" s="2">
        <f>IF(COUNTIF('Raw Data'!$A$2:$A$417,F358)=1,0,1)</f>
        <v>0</v>
      </c>
    </row>
    <row r="359" spans="6:8">
      <c r="F359" s="2" t="s">
        <v>760</v>
      </c>
      <c r="G359" s="2">
        <f>IF(COUNTIF('Script List'!$A$2:$A$161,'Raw Data'!B359)=1,0,1)</f>
        <v>0</v>
      </c>
      <c r="H359" s="2">
        <f>IF(COUNTIF('Raw Data'!$A$2:$A$417,F359)=1,0,1)</f>
        <v>0</v>
      </c>
    </row>
    <row r="360" spans="6:8">
      <c r="F360" s="2" t="s">
        <v>761</v>
      </c>
      <c r="G360" s="2">
        <f>IF(COUNTIF('Script List'!$A$2:$A$161,'Raw Data'!B360)=1,0,1)</f>
        <v>0</v>
      </c>
      <c r="H360" s="2">
        <f>IF(COUNTIF('Raw Data'!$A$2:$A$417,F360)=1,0,1)</f>
        <v>0</v>
      </c>
    </row>
    <row r="361" spans="6:8">
      <c r="F361" s="2" t="s">
        <v>762</v>
      </c>
      <c r="G361" s="2">
        <f>IF(COUNTIF('Script List'!$A$2:$A$161,'Raw Data'!B361)=1,0,1)</f>
        <v>0</v>
      </c>
      <c r="H361" s="2">
        <f>IF(COUNTIF('Raw Data'!$A$2:$A$417,F361)=1,0,1)</f>
        <v>0</v>
      </c>
    </row>
    <row r="362" spans="6:8">
      <c r="F362" s="2" t="s">
        <v>763</v>
      </c>
      <c r="G362" s="2">
        <f>IF(COUNTIF('Script List'!$A$2:$A$161,'Raw Data'!B362)=1,0,1)</f>
        <v>0</v>
      </c>
      <c r="H362" s="2">
        <f>IF(COUNTIF('Raw Data'!$A$2:$A$417,F362)=1,0,1)</f>
        <v>0</v>
      </c>
    </row>
    <row r="363" spans="6:8">
      <c r="F363" s="2" t="s">
        <v>764</v>
      </c>
      <c r="G363" s="2">
        <f>IF(COUNTIF('Script List'!$A$2:$A$161,'Raw Data'!B363)=1,0,1)</f>
        <v>0</v>
      </c>
      <c r="H363" s="2">
        <f>IF(COUNTIF('Raw Data'!$A$2:$A$417,F363)=1,0,1)</f>
        <v>0</v>
      </c>
    </row>
    <row r="364" spans="6:8">
      <c r="F364" s="2" t="s">
        <v>765</v>
      </c>
      <c r="G364" s="2">
        <f>IF(COUNTIF('Script List'!$A$2:$A$161,'Raw Data'!B364)=1,0,1)</f>
        <v>0</v>
      </c>
      <c r="H364" s="2">
        <f>IF(COUNTIF('Raw Data'!$A$2:$A$417,F364)=1,0,1)</f>
        <v>0</v>
      </c>
    </row>
    <row r="365" spans="6:8">
      <c r="F365" s="2" t="s">
        <v>766</v>
      </c>
      <c r="G365" s="2">
        <f>IF(COUNTIF('Script List'!$A$2:$A$161,'Raw Data'!B365)=1,0,1)</f>
        <v>0</v>
      </c>
      <c r="H365" s="2">
        <f>IF(COUNTIF('Raw Data'!$A$2:$A$417,F365)=1,0,1)</f>
        <v>0</v>
      </c>
    </row>
    <row r="366" spans="6:8">
      <c r="F366" s="2" t="s">
        <v>767</v>
      </c>
      <c r="G366" s="2">
        <f>IF(COUNTIF('Script List'!$A$2:$A$161,'Raw Data'!B366)=1,0,1)</f>
        <v>0</v>
      </c>
      <c r="H366" s="2">
        <f>IF(COUNTIF('Raw Data'!$A$2:$A$417,F366)=1,0,1)</f>
        <v>0</v>
      </c>
    </row>
    <row r="367" spans="6:8">
      <c r="F367" s="2" t="s">
        <v>768</v>
      </c>
      <c r="G367" s="2">
        <f>IF(COUNTIF('Script List'!$A$2:$A$161,'Raw Data'!B367)=1,0,1)</f>
        <v>0</v>
      </c>
      <c r="H367" s="2">
        <f>IF(COUNTIF('Raw Data'!$A$2:$A$417,F367)=1,0,1)</f>
        <v>0</v>
      </c>
    </row>
    <row r="368" spans="6:8">
      <c r="F368" s="2" t="s">
        <v>769</v>
      </c>
      <c r="G368" s="2">
        <f>IF(COUNTIF('Script List'!$A$2:$A$161,'Raw Data'!B368)=1,0,1)</f>
        <v>0</v>
      </c>
      <c r="H368" s="2">
        <f>IF(COUNTIF('Raw Data'!$A$2:$A$417,F368)=1,0,1)</f>
        <v>0</v>
      </c>
    </row>
    <row r="369" spans="6:8">
      <c r="F369" s="2" t="s">
        <v>770</v>
      </c>
      <c r="G369" s="2">
        <f>IF(COUNTIF('Script List'!$A$2:$A$161,'Raw Data'!B369)=1,0,1)</f>
        <v>0</v>
      </c>
      <c r="H369" s="2">
        <f>IF(COUNTIF('Raw Data'!$A$2:$A$417,F369)=1,0,1)</f>
        <v>0</v>
      </c>
    </row>
    <row r="370" spans="6:8">
      <c r="F370" s="2" t="s">
        <v>771</v>
      </c>
      <c r="G370" s="2">
        <f>IF(COUNTIF('Script List'!$A$2:$A$161,'Raw Data'!B370)=1,0,1)</f>
        <v>0</v>
      </c>
      <c r="H370" s="2">
        <f>IF(COUNTIF('Raw Data'!$A$2:$A$417,F370)=1,0,1)</f>
        <v>0</v>
      </c>
    </row>
    <row r="371" spans="6:8">
      <c r="F371" s="2" t="s">
        <v>772</v>
      </c>
      <c r="G371" s="2">
        <f>IF(COUNTIF('Script List'!$A$2:$A$161,'Raw Data'!B371)=1,0,1)</f>
        <v>0</v>
      </c>
      <c r="H371" s="2">
        <f>IF(COUNTIF('Raw Data'!$A$2:$A$417,F371)=1,0,1)</f>
        <v>0</v>
      </c>
    </row>
    <row r="372" spans="6:8">
      <c r="F372" s="2" t="s">
        <v>773</v>
      </c>
      <c r="G372" s="2">
        <f>IF(COUNTIF('Script List'!$A$2:$A$161,'Raw Data'!B372)=1,0,1)</f>
        <v>0</v>
      </c>
      <c r="H372" s="2">
        <f>IF(COUNTIF('Raw Data'!$A$2:$A$417,F372)=1,0,1)</f>
        <v>0</v>
      </c>
    </row>
    <row r="373" spans="6:8">
      <c r="F373" s="2" t="s">
        <v>774</v>
      </c>
      <c r="G373" s="2">
        <f>IF(COUNTIF('Script List'!$A$2:$A$161,'Raw Data'!B373)=1,0,1)</f>
        <v>0</v>
      </c>
      <c r="H373" s="2">
        <f>IF(COUNTIF('Raw Data'!$A$2:$A$417,F373)=1,0,1)</f>
        <v>0</v>
      </c>
    </row>
    <row r="374" spans="6:8">
      <c r="F374" s="2" t="s">
        <v>775</v>
      </c>
      <c r="G374" s="2">
        <f>IF(COUNTIF('Script List'!$A$2:$A$161,'Raw Data'!B374)=1,0,1)</f>
        <v>0</v>
      </c>
      <c r="H374" s="2">
        <f>IF(COUNTIF('Raw Data'!$A$2:$A$417,F374)=1,0,1)</f>
        <v>0</v>
      </c>
    </row>
    <row r="375" spans="6:8">
      <c r="F375" s="2" t="s">
        <v>776</v>
      </c>
      <c r="G375" s="2">
        <f>IF(COUNTIF('Script List'!$A$2:$A$161,'Raw Data'!B375)=1,0,1)</f>
        <v>0</v>
      </c>
      <c r="H375" s="2">
        <f>IF(COUNTIF('Raw Data'!$A$2:$A$417,F375)=1,0,1)</f>
        <v>0</v>
      </c>
    </row>
    <row r="376" spans="6:8">
      <c r="F376" s="2" t="s">
        <v>777</v>
      </c>
      <c r="G376" s="2">
        <f>IF(COUNTIF('Script List'!$A$2:$A$161,'Raw Data'!B376)=1,0,1)</f>
        <v>0</v>
      </c>
      <c r="H376" s="2">
        <f>IF(COUNTIF('Raw Data'!$A$2:$A$417,F376)=1,0,1)</f>
        <v>0</v>
      </c>
    </row>
    <row r="377" spans="6:8">
      <c r="F377" s="2" t="s">
        <v>778</v>
      </c>
      <c r="G377" s="2">
        <f>IF(COUNTIF('Script List'!$A$2:$A$161,'Raw Data'!B377)=1,0,1)</f>
        <v>0</v>
      </c>
      <c r="H377" s="2">
        <f>IF(COUNTIF('Raw Data'!$A$2:$A$417,F377)=1,0,1)</f>
        <v>0</v>
      </c>
    </row>
    <row r="378" spans="6:8">
      <c r="F378" s="2" t="s">
        <v>779</v>
      </c>
      <c r="G378" s="2">
        <f>IF(COUNTIF('Script List'!$A$2:$A$161,'Raw Data'!B378)=1,0,1)</f>
        <v>0</v>
      </c>
      <c r="H378" s="2">
        <f>IF(COUNTIF('Raw Data'!$A$2:$A$417,F378)=1,0,1)</f>
        <v>0</v>
      </c>
    </row>
    <row r="379" spans="6:8">
      <c r="F379" s="2" t="s">
        <v>780</v>
      </c>
      <c r="G379" s="2">
        <f>IF(COUNTIF('Script List'!$A$2:$A$161,'Raw Data'!B379)=1,0,1)</f>
        <v>0</v>
      </c>
      <c r="H379" s="2">
        <f>IF(COUNTIF('Raw Data'!$A$2:$A$417,F379)=1,0,1)</f>
        <v>0</v>
      </c>
    </row>
    <row r="380" spans="6:8">
      <c r="F380" s="2" t="s">
        <v>781</v>
      </c>
      <c r="G380" s="2">
        <f>IF(COUNTIF('Script List'!$A$2:$A$161,'Raw Data'!B380)=1,0,1)</f>
        <v>0</v>
      </c>
      <c r="H380" s="2">
        <f>IF(COUNTIF('Raw Data'!$A$2:$A$417,F380)=1,0,1)</f>
        <v>0</v>
      </c>
    </row>
    <row r="381" spans="6:8">
      <c r="F381" s="2" t="s">
        <v>782</v>
      </c>
      <c r="G381" s="2">
        <f>IF(COUNTIF('Script List'!$A$2:$A$161,'Raw Data'!B381)=1,0,1)</f>
        <v>0</v>
      </c>
      <c r="H381" s="2">
        <f>IF(COUNTIF('Raw Data'!$A$2:$A$417,F381)=1,0,1)</f>
        <v>0</v>
      </c>
    </row>
    <row r="382" spans="6:8">
      <c r="F382" s="2" t="s">
        <v>783</v>
      </c>
      <c r="G382" s="2">
        <f>IF(COUNTIF('Script List'!$A$2:$A$161,'Raw Data'!B382)=1,0,1)</f>
        <v>0</v>
      </c>
      <c r="H382" s="2">
        <f>IF(COUNTIF('Raw Data'!$A$2:$A$417,F382)=1,0,1)</f>
        <v>0</v>
      </c>
    </row>
    <row r="383" spans="6:8">
      <c r="F383" s="2" t="s">
        <v>784</v>
      </c>
      <c r="G383" s="2">
        <f>IF(COUNTIF('Script List'!$A$2:$A$161,'Raw Data'!B383)=1,0,1)</f>
        <v>0</v>
      </c>
      <c r="H383" s="2">
        <f>IF(COUNTIF('Raw Data'!$A$2:$A$417,F383)=1,0,1)</f>
        <v>0</v>
      </c>
    </row>
    <row r="384" spans="6:8">
      <c r="F384" s="2" t="s">
        <v>785</v>
      </c>
      <c r="G384" s="2">
        <f>IF(COUNTIF('Script List'!$A$2:$A$161,'Raw Data'!B384)=1,0,1)</f>
        <v>0</v>
      </c>
      <c r="H384" s="2">
        <f>IF(COUNTIF('Raw Data'!$A$2:$A$417,F384)=1,0,1)</f>
        <v>0</v>
      </c>
    </row>
    <row r="385" spans="6:8">
      <c r="F385" s="2" t="s">
        <v>786</v>
      </c>
      <c r="G385" s="2">
        <f>IF(COUNTIF('Script List'!$A$2:$A$161,'Raw Data'!B385)=1,0,1)</f>
        <v>0</v>
      </c>
      <c r="H385" s="2">
        <f>IF(COUNTIF('Raw Data'!$A$2:$A$417,F385)=1,0,1)</f>
        <v>0</v>
      </c>
    </row>
    <row r="386" spans="6:8">
      <c r="F386" s="2" t="s">
        <v>787</v>
      </c>
      <c r="G386" s="2">
        <f>IF(COUNTIF('Script List'!$A$2:$A$161,'Raw Data'!B386)=1,0,1)</f>
        <v>0</v>
      </c>
      <c r="H386" s="2">
        <f>IF(COUNTIF('Raw Data'!$A$2:$A$417,F386)=1,0,1)</f>
        <v>0</v>
      </c>
    </row>
    <row r="387" spans="6:8">
      <c r="F387" s="2" t="s">
        <v>788</v>
      </c>
      <c r="G387" s="2">
        <f>IF(COUNTIF('Script List'!$A$2:$A$161,'Raw Data'!B387)=1,0,1)</f>
        <v>0</v>
      </c>
      <c r="H387" s="2">
        <f>IF(COUNTIF('Raw Data'!$A$2:$A$417,F387)=1,0,1)</f>
        <v>0</v>
      </c>
    </row>
    <row r="388" spans="6:8">
      <c r="F388" s="2" t="s">
        <v>789</v>
      </c>
      <c r="G388" s="2">
        <f>IF(COUNTIF('Script List'!$A$2:$A$161,'Raw Data'!B388)=1,0,1)</f>
        <v>0</v>
      </c>
      <c r="H388" s="2">
        <f>IF(COUNTIF('Raw Data'!$A$2:$A$417,F388)=1,0,1)</f>
        <v>0</v>
      </c>
    </row>
    <row r="389" spans="6:8">
      <c r="F389" s="2" t="s">
        <v>790</v>
      </c>
      <c r="G389" s="2">
        <f>IF(COUNTIF('Script List'!$A$2:$A$161,'Raw Data'!B389)=1,0,1)</f>
        <v>0</v>
      </c>
      <c r="H389" s="2">
        <f>IF(COUNTIF('Raw Data'!$A$2:$A$417,F389)=1,0,1)</f>
        <v>0</v>
      </c>
    </row>
    <row r="390" spans="6:8">
      <c r="F390" s="2" t="s">
        <v>791</v>
      </c>
      <c r="G390" s="2">
        <f>IF(COUNTIF('Script List'!$A$2:$A$161,'Raw Data'!B390)=1,0,1)</f>
        <v>0</v>
      </c>
      <c r="H390" s="2">
        <f>IF(COUNTIF('Raw Data'!$A$2:$A$417,F390)=1,0,1)</f>
        <v>0</v>
      </c>
    </row>
    <row r="391" spans="6:8">
      <c r="F391" s="2" t="s">
        <v>792</v>
      </c>
      <c r="G391" s="2">
        <f>IF(COUNTIF('Script List'!$A$2:$A$161,'Raw Data'!B391)=1,0,1)</f>
        <v>0</v>
      </c>
      <c r="H391" s="2">
        <f>IF(COUNTIF('Raw Data'!$A$2:$A$417,F391)=1,0,1)</f>
        <v>0</v>
      </c>
    </row>
    <row r="392" spans="6:8">
      <c r="F392" s="2" t="s">
        <v>793</v>
      </c>
      <c r="G392" s="2">
        <f>IF(COUNTIF('Script List'!$A$2:$A$161,'Raw Data'!B392)=1,0,1)</f>
        <v>0</v>
      </c>
      <c r="H392" s="2">
        <f>IF(COUNTIF('Raw Data'!$A$2:$A$417,F392)=1,0,1)</f>
        <v>0</v>
      </c>
    </row>
    <row r="393" spans="6:8">
      <c r="F393" s="2" t="s">
        <v>794</v>
      </c>
      <c r="G393" s="2">
        <f>IF(COUNTIF('Script List'!$A$2:$A$161,'Raw Data'!B393)=1,0,1)</f>
        <v>0</v>
      </c>
      <c r="H393" s="2">
        <f>IF(COUNTIF('Raw Data'!$A$2:$A$417,F393)=1,0,1)</f>
        <v>0</v>
      </c>
    </row>
    <row r="394" spans="6:8">
      <c r="F394" s="2" t="s">
        <v>795</v>
      </c>
      <c r="G394" s="2">
        <f>IF(COUNTIF('Script List'!$A$2:$A$161,'Raw Data'!B394)=1,0,1)</f>
        <v>0</v>
      </c>
      <c r="H394" s="2">
        <f>IF(COUNTIF('Raw Data'!$A$2:$A$417,F394)=1,0,1)</f>
        <v>0</v>
      </c>
    </row>
    <row r="395" spans="6:8">
      <c r="F395" s="2" t="s">
        <v>796</v>
      </c>
      <c r="G395" s="2">
        <f>IF(COUNTIF('Script List'!$A$2:$A$161,'Raw Data'!B395)=1,0,1)</f>
        <v>0</v>
      </c>
      <c r="H395" s="2">
        <f>IF(COUNTIF('Raw Data'!$A$2:$A$417,F395)=1,0,1)</f>
        <v>0</v>
      </c>
    </row>
    <row r="396" spans="6:8">
      <c r="F396" s="2" t="s">
        <v>797</v>
      </c>
      <c r="G396" s="2">
        <f>IF(COUNTIF('Script List'!$A$2:$A$161,'Raw Data'!B396)=1,0,1)</f>
        <v>0</v>
      </c>
      <c r="H396" s="2">
        <f>IF(COUNTIF('Raw Data'!$A$2:$A$417,F396)=1,0,1)</f>
        <v>0</v>
      </c>
    </row>
    <row r="397" spans="6:8">
      <c r="F397" s="2" t="s">
        <v>798</v>
      </c>
      <c r="G397" s="2">
        <f>IF(COUNTIF('Script List'!$A$2:$A$161,'Raw Data'!B397)=1,0,1)</f>
        <v>0</v>
      </c>
      <c r="H397" s="2">
        <f>IF(COUNTIF('Raw Data'!$A$2:$A$417,F397)=1,0,1)</f>
        <v>0</v>
      </c>
    </row>
    <row r="398" spans="6:8">
      <c r="F398" s="2" t="s">
        <v>799</v>
      </c>
      <c r="G398" s="2">
        <f>IF(COUNTIF('Script List'!$A$2:$A$161,'Raw Data'!B398)=1,0,1)</f>
        <v>0</v>
      </c>
      <c r="H398" s="2">
        <f>IF(COUNTIF('Raw Data'!$A$2:$A$417,F398)=1,0,1)</f>
        <v>0</v>
      </c>
    </row>
    <row r="399" spans="6:8">
      <c r="F399" s="2" t="s">
        <v>800</v>
      </c>
      <c r="G399" s="2">
        <f>IF(COUNTIF('Script List'!$A$2:$A$161,'Raw Data'!B399)=1,0,1)</f>
        <v>0</v>
      </c>
      <c r="H399" s="2">
        <f>IF(COUNTIF('Raw Data'!$A$2:$A$417,F399)=1,0,1)</f>
        <v>0</v>
      </c>
    </row>
    <row r="400" spans="6:8">
      <c r="F400" s="2" t="s">
        <v>801</v>
      </c>
      <c r="G400" s="2">
        <f>IF(COUNTIF('Script List'!$A$2:$A$161,'Raw Data'!B400)=1,0,1)</f>
        <v>0</v>
      </c>
      <c r="H400" s="2">
        <f>IF(COUNTIF('Raw Data'!$A$2:$A$417,F400)=1,0,1)</f>
        <v>0</v>
      </c>
    </row>
    <row r="401" spans="6:8">
      <c r="F401" s="2" t="s">
        <v>802</v>
      </c>
      <c r="G401" s="2">
        <f>IF(COUNTIF('Script List'!$A$2:$A$161,'Raw Data'!B401)=1,0,1)</f>
        <v>0</v>
      </c>
      <c r="H401" s="2">
        <f>IF(COUNTIF('Raw Data'!$A$2:$A$417,F401)=1,0,1)</f>
        <v>0</v>
      </c>
    </row>
    <row r="402" spans="6:8">
      <c r="F402" s="2" t="s">
        <v>803</v>
      </c>
      <c r="G402" s="2">
        <f>IF(COUNTIF('Script List'!$A$2:$A$161,'Raw Data'!B402)=1,0,1)</f>
        <v>0</v>
      </c>
      <c r="H402" s="2">
        <f>IF(COUNTIF('Raw Data'!$A$2:$A$417,F402)=1,0,1)</f>
        <v>0</v>
      </c>
    </row>
    <row r="403" spans="6:8">
      <c r="F403" s="2" t="s">
        <v>804</v>
      </c>
      <c r="G403" s="2">
        <f>IF(COUNTIF('Script List'!$A$2:$A$161,'Raw Data'!B403)=1,0,1)</f>
        <v>0</v>
      </c>
      <c r="H403" s="2">
        <f>IF(COUNTIF('Raw Data'!$A$2:$A$417,F403)=1,0,1)</f>
        <v>0</v>
      </c>
    </row>
    <row r="404" spans="6:8">
      <c r="F404" s="2" t="s">
        <v>805</v>
      </c>
      <c r="G404" s="2">
        <f>IF(COUNTIF('Script List'!$A$2:$A$161,'Raw Data'!B404)=1,0,1)</f>
        <v>0</v>
      </c>
      <c r="H404" s="2">
        <f>IF(COUNTIF('Raw Data'!$A$2:$A$417,F404)=1,0,1)</f>
        <v>0</v>
      </c>
    </row>
    <row r="405" spans="6:8">
      <c r="F405" s="2" t="s">
        <v>806</v>
      </c>
      <c r="G405" s="2">
        <f>IF(COUNTIF('Script List'!$A$2:$A$161,'Raw Data'!B405)=1,0,1)</f>
        <v>0</v>
      </c>
      <c r="H405" s="2">
        <f>IF(COUNTIF('Raw Data'!$A$2:$A$417,F405)=1,0,1)</f>
        <v>0</v>
      </c>
    </row>
    <row r="406" spans="6:8">
      <c r="F406" s="2" t="s">
        <v>807</v>
      </c>
      <c r="G406" s="2">
        <f>IF(COUNTIF('Script List'!$A$2:$A$161,'Raw Data'!B406)=1,0,1)</f>
        <v>0</v>
      </c>
      <c r="H406" s="2">
        <f>IF(COUNTIF('Raw Data'!$A$2:$A$417,F406)=1,0,1)</f>
        <v>0</v>
      </c>
    </row>
    <row r="407" spans="6:8">
      <c r="F407" s="2" t="s">
        <v>808</v>
      </c>
      <c r="G407" s="2">
        <f>IF(COUNTIF('Script List'!$A$2:$A$161,'Raw Data'!B407)=1,0,1)</f>
        <v>0</v>
      </c>
      <c r="H407" s="2">
        <f>IF(COUNTIF('Raw Data'!$A$2:$A$417,F407)=1,0,1)</f>
        <v>0</v>
      </c>
    </row>
    <row r="408" spans="6:8">
      <c r="F408" s="2" t="s">
        <v>809</v>
      </c>
      <c r="G408" s="2">
        <f>IF(COUNTIF('Script List'!$A$2:$A$161,'Raw Data'!B408)=1,0,1)</f>
        <v>0</v>
      </c>
      <c r="H408" s="2">
        <f>IF(COUNTIF('Raw Data'!$A$2:$A$417,F408)=1,0,1)</f>
        <v>0</v>
      </c>
    </row>
    <row r="409" spans="6:8">
      <c r="F409" s="2" t="s">
        <v>810</v>
      </c>
      <c r="G409" s="2">
        <f>IF(COUNTIF('Script List'!$A$2:$A$161,'Raw Data'!B409)=1,0,1)</f>
        <v>0</v>
      </c>
      <c r="H409" s="2">
        <f>IF(COUNTIF('Raw Data'!$A$2:$A$417,F409)=1,0,1)</f>
        <v>0</v>
      </c>
    </row>
    <row r="410" spans="6:8">
      <c r="F410" s="2" t="s">
        <v>811</v>
      </c>
      <c r="G410" s="2">
        <f>IF(COUNTIF('Script List'!$A$2:$A$161,'Raw Data'!B410)=1,0,1)</f>
        <v>0</v>
      </c>
      <c r="H410" s="2">
        <f>IF(COUNTIF('Raw Data'!$A$2:$A$417,F410)=1,0,1)</f>
        <v>0</v>
      </c>
    </row>
    <row r="411" spans="6:8">
      <c r="F411" s="2" t="s">
        <v>812</v>
      </c>
      <c r="G411" s="2">
        <f>IF(COUNTIF('Script List'!$A$2:$A$161,'Raw Data'!B411)=1,0,1)</f>
        <v>0</v>
      </c>
      <c r="H411" s="2">
        <f>IF(COUNTIF('Raw Data'!$A$2:$A$417,F411)=1,0,1)</f>
        <v>0</v>
      </c>
    </row>
    <row r="412" spans="6:8">
      <c r="F412" s="2" t="s">
        <v>813</v>
      </c>
      <c r="G412" s="2">
        <f>IF(COUNTIF('Script List'!$A$2:$A$161,'Raw Data'!B412)=1,0,1)</f>
        <v>0</v>
      </c>
      <c r="H412" s="2">
        <f>IF(COUNTIF('Raw Data'!$A$2:$A$417,F412)=1,0,1)</f>
        <v>0</v>
      </c>
    </row>
    <row r="413" spans="6:8">
      <c r="F413" s="2" t="s">
        <v>814</v>
      </c>
      <c r="G413" s="2">
        <f>IF(COUNTIF('Script List'!$A$2:$A$161,'Raw Data'!B413)=1,0,1)</f>
        <v>0</v>
      </c>
      <c r="H413" s="2">
        <f>IF(COUNTIF('Raw Data'!$A$2:$A$417,F413)=1,0,1)</f>
        <v>0</v>
      </c>
    </row>
    <row r="414" spans="6:8">
      <c r="F414" s="2" t="s">
        <v>815</v>
      </c>
      <c r="G414" s="2">
        <f>IF(COUNTIF('Script List'!$A$2:$A$161,'Raw Data'!B414)=1,0,1)</f>
        <v>0</v>
      </c>
      <c r="H414" s="2">
        <f>IF(COUNTIF('Raw Data'!$A$2:$A$417,F414)=1,0,1)</f>
        <v>0</v>
      </c>
    </row>
    <row r="415" spans="6:8">
      <c r="F415" s="2" t="s">
        <v>816</v>
      </c>
      <c r="G415" s="2">
        <f>IF(COUNTIF('Script List'!$A$2:$A$161,'Raw Data'!B415)=1,0,1)</f>
        <v>0</v>
      </c>
      <c r="H415" s="2">
        <f>IF(COUNTIF('Raw Data'!$A$2:$A$417,F415)=1,0,1)</f>
        <v>0</v>
      </c>
    </row>
    <row r="416" spans="6:8">
      <c r="F416" s="2" t="s">
        <v>817</v>
      </c>
      <c r="G416" s="2">
        <f>IF(COUNTIF('Script List'!$A$2:$A$161,'Raw Data'!B416)=1,0,1)</f>
        <v>0</v>
      </c>
      <c r="H416" s="2">
        <f>IF(COUNTIF('Raw Data'!$A$2:$A$417,F416)=1,0,1)</f>
        <v>0</v>
      </c>
    </row>
    <row r="417" spans="6:8">
      <c r="F417" s="2" t="s">
        <v>818</v>
      </c>
      <c r="G417" s="2">
        <f>IF(COUNTIF('Script List'!$A$2:$A$161,'Raw Data'!B417)=1,0,1)</f>
        <v>0</v>
      </c>
      <c r="H417" s="2">
        <f>IF(COUNTIF('Raw Data'!$A$2:$A$417,F417)=1,0,1)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Start Here</vt:lpstr>
      <vt:lpstr>Dashboard</vt:lpstr>
      <vt:lpstr>Assumptions</vt:lpstr>
      <vt:lpstr>Script List</vt:lpstr>
      <vt:lpstr>Raw Data</vt:lpstr>
      <vt:lpstr>Analysis</vt:lpstr>
      <vt:lpstr>Checks</vt:lpstr>
      <vt:lpstr>Dashboard!Print_Area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2026-10-14T22:29:51Z</dcterms:created>
  <dcterms:modified xsi:type="dcterms:W3CDTF">2026-10-14T22:29:51Z</dcterms:modified>
</cp:coreProperties>
</file>